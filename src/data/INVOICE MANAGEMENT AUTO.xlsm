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4995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32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alibri"/>
      <family val="2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alibri"/>
      <family val="2"/>
      <b val="1"/>
      <sz val="11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entury Gothic"/>
      <family val="2"/>
      <color rgb="FFFF0000"/>
      <sz val="10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</fonts>
  <fills count="22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indexed="64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4"/>
    <xf numFmtId="0" fontId="13" fillId="0" borderId="14"/>
    <xf numFmtId="44" fontId="14" fillId="0" borderId="14"/>
  </cellStyleXfs>
  <cellXfs count="306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1" fillId="2" borderId="13" applyAlignment="1" pivotButton="0" quotePrefix="0" xfId="0">
      <alignment horizontal="center" vertical="center"/>
    </xf>
    <xf numFmtId="0" fontId="11" fillId="2" borderId="18" applyAlignment="1" pivotButton="0" quotePrefix="0" xfId="0">
      <alignment horizontal="center" vertical="center"/>
    </xf>
    <xf numFmtId="0" fontId="11" fillId="2" borderId="19" applyAlignment="1" pivotButton="0" quotePrefix="0" xfId="0">
      <alignment horizontal="center" vertical="center"/>
    </xf>
    <xf numFmtId="0" fontId="2" fillId="0" borderId="16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4" applyAlignment="1" pivotButton="0" quotePrefix="0" xfId="0">
      <alignment horizontal="center"/>
    </xf>
    <xf numFmtId="0" fontId="2" fillId="0" borderId="14" applyAlignment="1" pivotButton="0" quotePrefix="0" xfId="0">
      <alignment horizontal="left"/>
    </xf>
    <xf numFmtId="0" fontId="2" fillId="0" borderId="14" pivotButton="0" quotePrefix="0" xfId="0"/>
    <xf numFmtId="0" fontId="7" fillId="12" borderId="14" applyAlignment="1" pivotButton="0" quotePrefix="0" xfId="0">
      <alignment horizontal="center" vertical="center"/>
    </xf>
    <xf numFmtId="0" fontId="7" fillId="12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0" fontId="2" fillId="13" borderId="0" applyAlignment="1" pivotButton="0" quotePrefix="0" xfId="0">
      <alignment horizontal="center"/>
    </xf>
    <xf numFmtId="14" fontId="2" fillId="13" borderId="0" applyAlignment="1" pivotButton="0" quotePrefix="0" xfId="0">
      <alignment horizontal="center"/>
    </xf>
    <xf numFmtId="0" fontId="0" fillId="13" borderId="0" pivotButton="0" quotePrefix="0" xfId="0"/>
    <xf numFmtId="164" fontId="2" fillId="13" borderId="0" pivotButton="0" quotePrefix="0" xfId="0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0" fontId="2" fillId="14" borderId="0" pivotButton="0" quotePrefix="0" xfId="0"/>
    <xf numFmtId="0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 vertical="center" wrapText="1"/>
    </xf>
    <xf numFmtId="0" fontId="2" fillId="14" borderId="0" applyAlignment="1" pivotButton="0" quotePrefix="0" xfId="0">
      <alignment horizontal="left" vertical="center"/>
    </xf>
    <xf numFmtId="0" fontId="2" fillId="14" borderId="14" applyAlignment="1" pivotButton="0" quotePrefix="0" xfId="0">
      <alignment horizontal="center" vertical="center"/>
    </xf>
    <xf numFmtId="0" fontId="2" fillId="14" borderId="14" pivotButton="0" quotePrefix="0" xfId="0"/>
    <xf numFmtId="0" fontId="20" fillId="13" borderId="14" applyAlignment="1" pivotButton="0" quotePrefix="0" xfId="0">
      <alignment horizontal="center" vertical="center"/>
    </xf>
    <xf numFmtId="167" fontId="2" fillId="15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/>
    </xf>
    <xf numFmtId="0" fontId="2" fillId="13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20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1">
      <alignment horizontal="center" vertical="center"/>
      <protection locked="0" hidden="0"/>
    </xf>
    <xf numFmtId="0" fontId="2" fillId="0" borderId="20" applyAlignment="1" applyProtection="1" pivotButton="0" quotePrefix="0" xfId="0">
      <alignment horizontal="left" vertical="center" wrapText="1"/>
      <protection locked="0" hidden="0"/>
    </xf>
    <xf numFmtId="0" fontId="2" fillId="7" borderId="20" applyAlignment="1" applyProtection="1" pivotButton="0" quotePrefix="0" xfId="0">
      <alignment horizontal="center" vertical="center"/>
      <protection locked="1" hidden="1"/>
    </xf>
    <xf numFmtId="0" fontId="2" fillId="0" borderId="20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6" applyAlignment="1" pivotButton="0" quotePrefix="0" xfId="0">
      <alignment vertical="center"/>
    </xf>
    <xf numFmtId="0" fontId="2" fillId="0" borderId="16" applyAlignment="1" pivotButton="0" quotePrefix="0" xfId="0">
      <alignment vertical="center"/>
    </xf>
    <xf numFmtId="0" fontId="2" fillId="8" borderId="14" applyAlignment="1" pivotButton="0" quotePrefix="0" xfId="0">
      <alignment vertical="center" wrapText="1"/>
    </xf>
    <xf numFmtId="0" fontId="2" fillId="0" borderId="25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9" applyAlignment="1" applyProtection="1" pivotButton="0" quotePrefix="0" xfId="0">
      <alignment horizontal="left" vertical="center"/>
      <protection locked="0" hidden="0"/>
    </xf>
    <xf numFmtId="0" fontId="7" fillId="17" borderId="26" applyAlignment="1" applyProtection="1" pivotButton="0" quotePrefix="0" xfId="0">
      <alignment horizontal="center" vertical="center"/>
      <protection locked="0" hidden="0"/>
    </xf>
    <xf numFmtId="0" fontId="7" fillId="17" borderId="24" applyAlignment="1" applyProtection="1" pivotButton="0" quotePrefix="0" xfId="0">
      <alignment horizontal="center" vertical="center"/>
      <protection locked="0" hidden="0"/>
    </xf>
    <xf numFmtId="0" fontId="7" fillId="17" borderId="27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0" fillId="17" borderId="17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 wrapText="1"/>
    </xf>
    <xf numFmtId="0" fontId="20" fillId="17" borderId="9" applyAlignment="1" pivotButton="0" quotePrefix="0" xfId="0">
      <alignment horizontal="center" vertical="center"/>
    </xf>
    <xf numFmtId="0" fontId="20" fillId="17" borderId="0" applyAlignment="1" pivotButton="0" quotePrefix="0" xfId="0">
      <alignment horizontal="center" vertical="center" wrapText="1"/>
    </xf>
    <xf numFmtId="0" fontId="20" fillId="18" borderId="13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 wrapText="1"/>
    </xf>
    <xf numFmtId="168" fontId="20" fillId="18" borderId="8" applyAlignment="1" pivotButton="0" quotePrefix="0" xfId="0">
      <alignment horizontal="center" vertical="center"/>
    </xf>
    <xf numFmtId="169" fontId="20" fillId="18" borderId="9" applyAlignment="1" pivotButton="0" quotePrefix="0" xfId="0">
      <alignment horizontal="center" vertical="center"/>
    </xf>
    <xf numFmtId="169" fontId="20" fillId="18" borderId="13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0" fontId="2" fillId="0" borderId="15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20" pivotButton="0" quotePrefix="0" xfId="0"/>
    <xf numFmtId="0" fontId="2" fillId="0" borderId="20" applyAlignment="1" pivotButton="0" quotePrefix="0" xfId="0">
      <alignment horizontal="left" vertical="center"/>
    </xf>
    <xf numFmtId="0" fontId="2" fillId="0" borderId="20" applyAlignment="1" pivotButton="0" quotePrefix="0" xfId="0">
      <alignment horizontal="center"/>
    </xf>
    <xf numFmtId="166" fontId="2" fillId="0" borderId="20" applyAlignment="1" pivotButton="0" quotePrefix="0" xfId="0">
      <alignment horizontal="center" vertical="center"/>
    </xf>
    <xf numFmtId="165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center"/>
    </xf>
    <xf numFmtId="0" fontId="2" fillId="15" borderId="0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/>
    </xf>
    <xf numFmtId="0" fontId="2" fillId="14" borderId="0" applyAlignment="1" pivotButton="0" quotePrefix="0" xfId="0">
      <alignment horizontal="left" wrapText="1"/>
    </xf>
    <xf numFmtId="0" fontId="2" fillId="7" borderId="30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0" fontId="2" fillId="7" borderId="30" applyAlignment="1" pivotButton="0" quotePrefix="0" xfId="0">
      <alignment horizontal="left" vertical="center"/>
    </xf>
    <xf numFmtId="164" fontId="2" fillId="7" borderId="30" applyAlignment="1" pivotButton="0" quotePrefix="0" xfId="0">
      <alignment vertical="center"/>
    </xf>
    <xf numFmtId="0" fontId="2" fillId="16" borderId="10" applyAlignment="1" pivotButton="0" quotePrefix="0" xfId="0">
      <alignment horizontal="center"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0" fontId="2" fillId="16" borderId="28" applyAlignment="1" pivotButton="0" quotePrefix="0" xfId="0">
      <alignment horizontal="left" vertical="center" wrapText="1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10" borderId="14" applyAlignment="1" pivotButton="0" quotePrefix="0" xfId="0">
      <alignment wrapText="1"/>
    </xf>
    <xf numFmtId="0" fontId="19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horizontal="center" wrapText="1"/>
    </xf>
    <xf numFmtId="0" fontId="19" fillId="0" borderId="14" applyAlignment="1" pivotButton="0" quotePrefix="0" xfId="0">
      <alignment horizontal="left" vertical="center" wrapText="1"/>
    </xf>
    <xf numFmtId="0" fontId="2" fillId="0" borderId="14" applyAlignment="1" pivotButton="0" quotePrefix="0" xfId="0">
      <alignment horizontal="left" wrapText="1"/>
    </xf>
    <xf numFmtId="170" fontId="19" fillId="0" borderId="14" applyAlignment="1" pivotButton="0" quotePrefix="0" xfId="0">
      <alignment wrapText="1"/>
    </xf>
    <xf numFmtId="0" fontId="6" fillId="0" borderId="14" applyAlignment="1" pivotButton="0" quotePrefix="0" xfId="0">
      <alignment wrapText="1"/>
    </xf>
    <xf numFmtId="0" fontId="19" fillId="0" borderId="14" applyAlignment="1" pivotButton="0" quotePrefix="0" xfId="0">
      <alignment horizontal="right" wrapText="1"/>
    </xf>
    <xf numFmtId="0" fontId="19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0" fontId="6" fillId="0" borderId="14" applyAlignment="1" pivotButton="0" quotePrefix="0" xfId="0">
      <alignment horizontal="right"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0" fontId="19" fillId="8" borderId="14" applyAlignment="1" pivotButton="0" quotePrefix="0" xfId="0">
      <alignment horizontal="center" vertical="center" wrapText="1"/>
    </xf>
    <xf numFmtId="164" fontId="6" fillId="0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0" fontId="6" fillId="0" borderId="14" applyAlignment="1" pivotButton="0" quotePrefix="0" xfId="0">
      <alignment horizontal="center" vertical="center" wrapText="1"/>
    </xf>
    <xf numFmtId="49" fontId="6" fillId="0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0" fontId="27" fillId="19" borderId="1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0" fontId="28" fillId="19" borderId="1" applyAlignment="1" pivotButton="0" quotePrefix="0" xfId="0">
      <alignment horizontal="center" vertical="center"/>
    </xf>
    <xf numFmtId="0" fontId="28" fillId="19" borderId="2" applyAlignment="1" pivotButton="0" quotePrefix="0" xfId="0">
      <alignment horizontal="center" vertical="center"/>
    </xf>
    <xf numFmtId="164" fontId="28" fillId="19" borderId="3" applyAlignment="1" pivotButton="0" quotePrefix="0" xfId="0">
      <alignment horizontal="center" vertical="center"/>
    </xf>
    <xf numFmtId="0" fontId="29" fillId="3" borderId="1" applyAlignment="1" pivotButton="0" quotePrefix="0" xfId="0">
      <alignment horizontal="center" vertical="center"/>
    </xf>
    <xf numFmtId="0" fontId="29" fillId="4" borderId="2" applyAlignment="1" pivotButton="0" quotePrefix="0" xfId="0">
      <alignment horizontal="center" vertical="center"/>
    </xf>
    <xf numFmtId="0" fontId="29" fillId="5" borderId="1" applyAlignment="1" pivotButton="0" quotePrefix="0" xfId="0">
      <alignment horizontal="center" vertical="center"/>
    </xf>
    <xf numFmtId="0" fontId="29" fillId="6" borderId="2" applyAlignment="1" pivotButton="0" quotePrefix="0" xfId="0">
      <alignment horizontal="center" vertical="center"/>
    </xf>
    <xf numFmtId="164" fontId="3" fillId="20" borderId="3" applyAlignment="1" pivotButton="0" quotePrefix="0" xfId="0">
      <alignment vertical="center"/>
    </xf>
    <xf numFmtId="0" fontId="3" fillId="20" borderId="2" applyAlignment="1" pivotButton="0" quotePrefix="0" xfId="0">
      <alignment horizontal="center" vertical="center"/>
    </xf>
    <xf numFmtId="0" fontId="2" fillId="20" borderId="8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0" fontId="2" fillId="20" borderId="9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32" applyAlignment="1" pivotButton="0" quotePrefix="0" xfId="0">
      <alignment horizontal="center" vertical="center"/>
    </xf>
    <xf numFmtId="0" fontId="2" fillId="0" borderId="30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20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6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4" borderId="0" applyAlignment="1" pivotButton="0" quotePrefix="0" xfId="0">
      <alignment horizontal="left" vertical="center" wrapText="1"/>
    </xf>
    <xf numFmtId="1" fontId="2" fillId="20" borderId="2" applyAlignment="1" pivotButton="0" quotePrefix="0" xfId="0">
      <alignment horizontal="center" vertical="center"/>
    </xf>
    <xf numFmtId="1" fontId="2" fillId="20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8" applyAlignment="1" pivotButton="0" quotePrefix="0" xfId="0">
      <alignment horizontal="left" vertical="center"/>
    </xf>
    <xf numFmtId="165" fontId="2" fillId="0" borderId="20" applyAlignment="1" pivotButton="0" quotePrefix="0" xfId="0">
      <alignment horizontal="center" vertical="center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0" fontId="2" fillId="15" borderId="14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 wrapText="1"/>
    </xf>
    <xf numFmtId="0" fontId="2" fillId="13" borderId="14" applyAlignment="1" pivotButton="0" quotePrefix="0" xfId="0">
      <alignment horizontal="center" vertical="center"/>
    </xf>
    <xf numFmtId="167" fontId="2" fillId="15" borderId="14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0" fontId="2" fillId="14" borderId="3" applyAlignment="1" pivotButton="0" quotePrefix="0" xfId="0">
      <alignment horizontal="left" vertical="center" wrapText="1"/>
    </xf>
    <xf numFmtId="0" fontId="2" fillId="14" borderId="33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4" applyAlignment="1" pivotButton="0" quotePrefix="0" xfId="0">
      <alignment horizontal="left" wrapText="1"/>
    </xf>
    <xf numFmtId="169" fontId="2" fillId="14" borderId="0" applyAlignment="1" applyProtection="1" pivotButton="0" quotePrefix="0" xfId="0">
      <alignment horizontal="left" vertical="center" wrapText="1"/>
      <protection locked="0" hidden="0"/>
    </xf>
    <xf numFmtId="169" fontId="2" fillId="14" borderId="1" applyAlignment="1" pivotButton="0" quotePrefix="0" xfId="0">
      <alignment horizontal="left" vertical="center" wrapText="1"/>
    </xf>
    <xf numFmtId="169" fontId="2" fillId="14" borderId="29" applyAlignment="1" pivotButton="0" quotePrefix="0" xfId="0">
      <alignment horizontal="left" vertical="center" wrapText="1"/>
    </xf>
    <xf numFmtId="0" fontId="2" fillId="0" borderId="20" applyAlignment="1" pivotButton="0" quotePrefix="1" xfId="0">
      <alignment horizontal="center" vertical="center"/>
    </xf>
    <xf numFmtId="0" fontId="30" fillId="19" borderId="5" applyAlignment="1" pivotButton="0" quotePrefix="0" xfId="0">
      <alignment horizontal="center" vertical="center"/>
    </xf>
    <xf numFmtId="0" fontId="15" fillId="21" borderId="6" pivotButton="0" quotePrefix="0" xfId="0"/>
    <xf numFmtId="0" fontId="15" fillId="21" borderId="7" pivotButton="0" quotePrefix="0" xfId="0"/>
    <xf numFmtId="164" fontId="31" fillId="15" borderId="33" applyAlignment="1" pivotButton="0" quotePrefix="0" xfId="0">
      <alignment horizontal="center" vertical="center"/>
    </xf>
    <xf numFmtId="165" fontId="6" fillId="14" borderId="14" applyAlignment="1" pivotButton="0" quotePrefix="0" xfId="0">
      <alignment horizontal="center" vertical="center" wrapText="1"/>
    </xf>
    <xf numFmtId="49" fontId="8" fillId="0" borderId="14" applyAlignment="1" pivotButton="0" quotePrefix="0" xfId="0">
      <alignment horizontal="left" vertical="center" wrapText="1"/>
    </xf>
    <xf numFmtId="0" fontId="8" fillId="0" borderId="14" applyAlignment="1" pivotButton="0" quotePrefix="0" xfId="0">
      <alignment horizontal="left" vertical="center" wrapText="1"/>
    </xf>
    <xf numFmtId="164" fontId="6" fillId="0" borderId="14" applyAlignment="1" pivotButton="0" quotePrefix="0" xfId="0">
      <alignment horizontal="center" vertical="center" wrapText="1"/>
    </xf>
    <xf numFmtId="0" fontId="15" fillId="0" borderId="14" applyAlignment="1" pivotButton="0" quotePrefix="0" xfId="0">
      <alignment wrapText="1"/>
    </xf>
    <xf numFmtId="0" fontId="17" fillId="0" borderId="14" applyAlignment="1" pivotButton="0" quotePrefix="0" xfId="0">
      <alignment horizontal="right" vertical="center" wrapText="1"/>
    </xf>
    <xf numFmtId="0" fontId="15" fillId="0" borderId="14" applyAlignment="1" pivotButton="0" quotePrefix="0" xfId="0">
      <alignment horizontal="right" vertical="center" wrapText="1"/>
    </xf>
    <xf numFmtId="0" fontId="16" fillId="0" borderId="14" applyAlignment="1" pivotButton="0" quotePrefix="0" xfId="0">
      <alignment horizontal="left" vertical="center" wrapText="1"/>
    </xf>
    <xf numFmtId="0" fontId="19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wrapText="1"/>
    </xf>
    <xf numFmtId="172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wrapText="1"/>
    </xf>
    <xf numFmtId="0" fontId="17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horizontal="left" vertical="center" wrapText="1"/>
    </xf>
    <xf numFmtId="0" fontId="7" fillId="10" borderId="14" applyAlignment="1" pivotButton="0" quotePrefix="0" xfId="0">
      <alignment horizontal="right" vertical="center" wrapText="1"/>
    </xf>
    <xf numFmtId="0" fontId="7" fillId="10" borderId="14" applyAlignment="1" pivotButton="0" quotePrefix="0" xfId="0">
      <alignment horizontal="center" vertical="center" wrapText="1"/>
    </xf>
    <xf numFmtId="165" fontId="7" fillId="10" borderId="14" applyAlignment="1" pivotButton="0" quotePrefix="0" xfId="0">
      <alignment horizontal="center" vertical="center" wrapText="1"/>
    </xf>
    <xf numFmtId="165" fontId="20" fillId="9" borderId="14" applyAlignment="1" pivotButton="0" quotePrefix="0" xfId="0">
      <alignment wrapText="1"/>
    </xf>
    <xf numFmtId="0" fontId="0" fillId="0" borderId="14" applyAlignment="1" pivotButton="0" quotePrefix="0" xfId="0">
      <alignment horizontal="left" wrapText="1"/>
    </xf>
    <xf numFmtId="0" fontId="26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0" fontId="23" fillId="11" borderId="14" applyAlignment="1" pivotButton="0" quotePrefix="0" xfId="0">
      <alignment horizontal="center" vertical="center"/>
    </xf>
    <xf numFmtId="0" fontId="18" fillId="9" borderId="14" pivotButton="0" quotePrefix="0" xfId="0"/>
    <xf numFmtId="0" fontId="2" fillId="0" borderId="14" applyAlignment="1" pivotButton="0" quotePrefix="0" xfId="0">
      <alignment horizontal="left"/>
    </xf>
    <xf numFmtId="0" fontId="0" fillId="0" borderId="14" pivotButton="0" quotePrefix="0" xfId="0"/>
    <xf numFmtId="0" fontId="9" fillId="0" borderId="14" applyAlignment="1" pivotButton="0" quotePrefix="0" xfId="0">
      <alignment horizontal="left"/>
    </xf>
    <xf numFmtId="0" fontId="5" fillId="0" borderId="14" pivotButton="0" quotePrefix="0" xfId="0"/>
    <xf numFmtId="0" fontId="21" fillId="14" borderId="21" applyAlignment="1" pivotButton="0" quotePrefix="0" xfId="0">
      <alignment horizontal="center" vertical="center"/>
    </xf>
    <xf numFmtId="0" fontId="21" fillId="14" borderId="23" applyAlignment="1" pivotButton="0" quotePrefix="0" xfId="0">
      <alignment horizontal="center" vertical="center"/>
    </xf>
    <xf numFmtId="0" fontId="21" fillId="14" borderId="22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/>
    </xf>
    <xf numFmtId="0" fontId="5" fillId="0" borderId="17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165" fontId="2" fillId="0" borderId="0" pivotButton="0" quotePrefix="0" xfId="0"/>
    <xf numFmtId="164" fontId="28" fillId="19" borderId="3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164" fontId="3" fillId="20" borderId="3" applyAlignment="1" pivotButton="0" quotePrefix="0" xfId="0">
      <alignment vertical="center"/>
    </xf>
    <xf numFmtId="164" fontId="2" fillId="0" borderId="0" pivotButton="0" quotePrefix="0" xfId="0"/>
    <xf numFmtId="164" fontId="31" fillId="15" borderId="33" applyAlignment="1" pivotButton="0" quotePrefix="0" xfId="0">
      <alignment horizontal="center" vertical="center"/>
    </xf>
    <xf numFmtId="0" fontId="0" fillId="0" borderId="33" pivotButton="0" quotePrefix="0" xfId="0"/>
    <xf numFmtId="0" fontId="30" fillId="19" borderId="14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164" fontId="2" fillId="7" borderId="30" applyAlignment="1" pivotButton="0" quotePrefix="0" xfId="0">
      <alignment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165" fontId="7" fillId="10" borderId="14" applyAlignment="1" pivotButton="0" quotePrefix="0" xfId="0">
      <alignment horizontal="center" vertical="center" wrapText="1"/>
    </xf>
    <xf numFmtId="170" fontId="19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164" fontId="6" fillId="0" borderId="14" applyAlignment="1" pivotButton="0" quotePrefix="0" xfId="0">
      <alignment horizontal="center" vertical="center" wrapText="1"/>
    </xf>
    <xf numFmtId="172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166" fontId="6" fillId="0" borderId="14" applyAlignment="1" pivotButton="0" quotePrefix="0" xfId="0">
      <alignment horizontal="left" vertical="center" wrapText="1"/>
    </xf>
    <xf numFmtId="165" fontId="6" fillId="14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164" fontId="2" fillId="13" borderId="0" pivotButton="0" quotePrefix="0" xfId="0"/>
    <xf numFmtId="164" fontId="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165" fontId="2" fillId="0" borderId="20" applyAlignment="1" pivotButton="0" quotePrefix="0" xfId="0">
      <alignment horizontal="center" vertical="center"/>
    </xf>
    <xf numFmtId="166" fontId="2" fillId="0" borderId="2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4" borderId="0" applyAlignment="1" pivotButton="0" quotePrefix="0" xfId="0">
      <alignment horizontal="center" vertical="center"/>
    </xf>
    <xf numFmtId="0" fontId="21" fillId="14" borderId="34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3" pivotButton="0" quotePrefix="0" xfId="0"/>
    <xf numFmtId="167" fontId="2" fillId="15" borderId="0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167" fontId="2" fillId="15" borderId="14" applyAlignment="1" pivotButton="0" quotePrefix="0" xfId="0">
      <alignment horizontal="center" vertical="center"/>
    </xf>
    <xf numFmtId="0" fontId="0" fillId="0" borderId="17" pivotButton="0" quotePrefix="0" xfId="0"/>
    <xf numFmtId="0" fontId="2" fillId="0" borderId="14" applyAlignment="1" pivotButton="0" quotePrefix="0" xfId="0">
      <alignment horizontal="center" vertical="center"/>
    </xf>
    <xf numFmtId="164" fontId="2" fillId="0" borderId="16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5">
    <dxf>
      <fill>
        <patternFill patternType="solid">
          <fgColor rgb="FFED7043"/>
          <bgColor rgb="FFED7043"/>
        </patternFill>
      </fill>
    </dxf>
    <dxf>
      <fill>
        <patternFill patternType="solid">
          <fgColor rgb="FFED7043"/>
          <bgColor rgb="FFED7043"/>
        </patternFill>
      </fill>
    </dxf>
    <dxf>
      <numFmt numFmtId="167" formatCode="\(000\)\-000\-0000"/>
      <fill>
        <patternFill>
          <fgColor indexed="64"/>
          <bgColor auto="1"/>
        </patternFill>
      </fill>
      <alignment horizontal="center" vertical="center"/>
    </dxf>
    <dxf>
      <numFmt numFmtId="171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9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1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/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4"/>
      <tableStyleElement type="firstRowStripe" dxfId="153"/>
      <tableStyleElement type="secondRowStripe" dxfId="152"/>
    </tableStyle>
    <tableStyle name="Table Style 2" pivot="0" count="1">
      <tableStyleElement type="headerRow" dxfId="151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5" dataDxfId="144">
  <autoFilter ref="B6:N7"/>
  <sortState ref="B7:N7">
    <sortCondition ref="B6:B7"/>
  </sortState>
  <tableColumns count="13">
    <tableColumn id="1" name="Invoice #" dataDxfId="143"/>
    <tableColumn id="2" name="Invoice Date" dataDxfId="142"/>
    <tableColumn id="3" name="Client" dataDxfId="141"/>
    <tableColumn id="4" name="Serviced From" dataDxfId="140"/>
    <tableColumn id="5" name="Serviced Too" dataDxfId="139"/>
    <tableColumn id="6" name="Amount Due" dataDxfId="138" dataCellStyle="Currency"/>
    <tableColumn id="7" name="Invoice Sent" dataDxfId="137"/>
    <tableColumn id="8" name="Date Sent" dataDxfId="136"/>
    <tableColumn id="9" name="Amount Paid" dataDxfId="135" dataCellStyle="Currency"/>
    <tableColumn id="10" name="Balance" dataDxfId="134">
      <calculatedColumnFormula>IF(B7="","",(G7-J7))</calculatedColumnFormula>
    </tableColumn>
    <tableColumn id="11" name="Payment" dataDxfId="133">
      <calculatedColumnFormula array="1">IF($G7="","",_xlfn.IFS($J7="","Not Paid",$J7=$G7,"Paid",$J7=0,"Not Paid",$J7&gt;$G7,"Over Paid",$J7&lt;$G7,"Partial Payment"))</calculatedColumnFormula>
    </tableColumn>
    <tableColumn id="12" name="Overdue" dataDxfId="132"/>
    <tableColumn id="13" name="Notes" dataDxfId="1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06" dataDxfId="104" headerRowBorderDxfId="105" tableBorderDxfId="103">
  <autoFilter ref="A1:U48"/>
  <sortState ref="A2:U48">
    <sortCondition ref="A1:A48"/>
  </sortState>
  <tableColumns count="21">
    <tableColumn id="1" name="Client" dataDxfId="102"/>
    <tableColumn id="2" name="DOB" dataDxfId="101"/>
    <tableColumn id="3" name="Address" dataDxfId="100"/>
    <tableColumn id="4" name="City" dataDxfId="99"/>
    <tableColumn id="5" name="State" dataDxfId="98"/>
    <tableColumn id="6" name="Zip Code" dataDxfId="97"/>
    <tableColumn id="7" name="Phone No." dataDxfId="96"/>
    <tableColumn id="8" name="Insurance" dataDxfId="95"/>
    <tableColumn id="9" name="Claim No." dataDxfId="94"/>
    <tableColumn id="10" name="DOI" dataDxfId="93"/>
    <tableColumn id="11" name="Adjuster" dataDxfId="92"/>
    <tableColumn id="12" name="Adjuster Number" dataDxfId="91"/>
    <tableColumn id="13" name="Adjuster Ext." dataDxfId="90"/>
    <tableColumn id="14" name="Adjuster E-mail" dataDxfId="89" dataCellStyle="Hyperlink"/>
    <tableColumn id="15" name="Disability Script" dataDxfId="88"/>
    <tableColumn id="16" name="Column1" dataDxfId="87"/>
    <tableColumn id="17" name="Reminder" dataDxfId="86">
      <calculatedColumnFormula>IF(Table2[[#This Row],[Disability Script]]="","",IF(Table2[[#This Row],[Column1]]&lt;TODAY(),"Expired",""))</calculatedColumnFormula>
    </tableColumn>
    <tableColumn id="18" name="Transport Type" dataDxfId="85"/>
    <tableColumn id="19" name="Headquarters" dataDxfId="84"/>
    <tableColumn id="20" name="Assistance" dataDxfId="83"/>
    <tableColumn id="21" name="Status" dataDxfId="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63">
  <autoFilter ref="A5:U61"/>
  <sortState ref="A6:U61">
    <sortCondition ref="A5:A61"/>
  </sortState>
  <tableColumns count="21">
    <tableColumn id="1" name="Client" dataDxfId="62"/>
    <tableColumn id="2" name="DOB" dataDxfId="61"/>
    <tableColumn id="3" name="Address" dataDxfId="60"/>
    <tableColumn id="4" name="City" dataDxfId="59"/>
    <tableColumn id="5" name="State" dataDxfId="58"/>
    <tableColumn id="6" name="Zip Code" dataDxfId="57"/>
    <tableColumn id="7" name="Phone No." dataDxfId="56"/>
    <tableColumn id="8" name="Insurance" dataDxfId="55"/>
    <tableColumn id="9" name="Claim No." dataDxfId="54"/>
    <tableColumn id="10" name="DOI" dataDxfId="53"/>
    <tableColumn id="11" name="Adjuster" dataDxfId="52"/>
    <tableColumn id="12" name="Adjuster Number" dataDxfId="51"/>
    <tableColumn id="13" name="Adjuster Ext." dataDxfId="50"/>
    <tableColumn id="14" name="Adjuster E-mail" dataDxfId="49" dataCellStyle="Hyperlink"/>
    <tableColumn id="15" name="Disability Script" dataDxfId="48"/>
    <tableColumn id="16" name="Script Expiry" dataDxfId="47"/>
    <tableColumn id="17" name="Reminder" dataDxfId="46"/>
    <tableColumn id="18" name="Transport Type" dataDxfId="45"/>
    <tableColumn id="19" name="Headquarters" dataDxfId="44"/>
    <tableColumn id="20" name="Assistance" dataDxfId="43"/>
    <tableColumn id="21" name="Status" dataDxfId="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41" dataDxfId="40">
  <autoFilter ref="A6:U972"/>
  <sortState ref="A7:U972">
    <sortCondition ref="B6:B972"/>
  </sortState>
  <tableColumns count="21">
    <tableColumn id="1" name="Date" dataDxfId="39"/>
    <tableColumn id="2" name="Client" dataDxfId="38"/>
    <tableColumn id="27" name="Base" dataDxfId="37">
      <calculatedColumnFormula>IF(B7="", "", VLOOKUP(B7, 'CLIENT DATA'!A:S, 19, FALSE))</calculatedColumnFormula>
    </tableColumn>
    <tableColumn id="3" name="Home Address" dataDxfId="36">
      <calculatedColumnFormula array="1">IF(B7="", "", _xlfn.TEXTJOIN(", ", TRUE, IF('CLIENT DATA'!$A$2:$A$205=B7, 'CLIENT DATA'!$C$2:$F$205, "")))</calculatedColumnFormula>
    </tableColumn>
    <tableColumn id="4" name="Destination" dataDxfId="35"/>
    <tableColumn id="9" name="Destination 2" dataDxfId="34"/>
    <tableColumn id="10" name="Destination 3" dataDxfId="33"/>
    <tableColumn id="11" name="Destination 4" dataDxfId="32"/>
    <tableColumn id="18" name="Destination 5" dataDxfId="31"/>
    <tableColumn id="5" name="Wait Time " dataDxfId="30"/>
    <tableColumn id="19" name="Wait Time 2" dataDxfId="29"/>
    <tableColumn id="20" name="Wait Time 3" dataDxfId="28"/>
    <tableColumn id="21" name="Wait Time 4" dataDxfId="27"/>
    <tableColumn id="22" name="Wait Time 5" dataDxfId="26"/>
    <tableColumn id="6" name="Mileage " dataDxfId="25"/>
    <tableColumn id="7" name="Mileage 2" dataDxfId="24"/>
    <tableColumn id="16" name="Mileage 3" dataDxfId="23"/>
    <tableColumn id="24" name="Mileage 4" dataDxfId="22"/>
    <tableColumn id="23" name="Mileage 5" dataDxfId="21"/>
    <tableColumn id="25" name="Unloaded Pickup" dataDxfId="20"/>
    <tableColumn id="17" name="Unloaded Dropoff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16" headerRowBorderDxfId="15" tableBorderDxfId="14" totalsRowBorderDxfId="13">
  <autoFilter ref="A1:A125"/>
  <sortState ref="A2:A71">
    <sortCondition ref="A1:A71"/>
  </sortState>
  <tableColumns count="1">
    <tableColumn id="2" name="Destination" dataDxfId="12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11" dataDxfId="10" tableBorderDxfId="9">
  <autoFilter ref="A1:G30"/>
  <sortState ref="A2:G30">
    <sortCondition ref="A1:A30"/>
  </sortState>
  <tableColumns count="7">
    <tableColumn id="2" name="Insurance" dataDxfId="8"/>
    <tableColumn id="3" name="Address" dataDxfId="7"/>
    <tableColumn id="4" name="City" dataDxfId="6"/>
    <tableColumn id="5" name="State" dataDxfId="5"/>
    <tableColumn id="6" name="Zip Code" dataDxfId="4"/>
    <tableColumn id="8" name="Fax" dataDxfId="3"/>
    <tableColumn id="1" name="Alternate  Phone#" dataDxfId="2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6" min="1" max="1"/>
    <col width="20" customWidth="1" style="6" min="2" max="2"/>
    <col width="19.5703125" customWidth="1" style="6" min="3" max="3"/>
    <col width="31.85546875" customWidth="1" style="6" min="4" max="4"/>
    <col width="20.7109375" customWidth="1" style="238" min="5" max="5"/>
    <col width="19.140625" customWidth="1" style="238" min="6" max="6"/>
    <col width="19.140625" customWidth="1" style="6" min="7" max="7"/>
    <col width="18.85546875" customWidth="1" style="6" min="8" max="9"/>
    <col width="19" customWidth="1" style="6" min="10" max="10"/>
    <col width="17" customWidth="1" style="6" min="11" max="11"/>
    <col width="22.140625" customWidth="1" style="6" min="12" max="12"/>
    <col width="15.140625" customWidth="1" style="6" min="13" max="13"/>
    <col width="72.7109375" customWidth="1" style="6" min="14" max="14"/>
    <col width="14.42578125" customWidth="1" style="6" min="15" max="16384"/>
  </cols>
  <sheetData>
    <row r="1" ht="15" customHeight="1" s="237">
      <c r="E1" s="6" t="n"/>
      <c r="F1" s="6" t="n"/>
    </row>
    <row r="2" ht="16.5" customHeight="1" s="237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3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37">
      <c r="B3" s="3" t="n"/>
      <c r="C3" s="4" t="n"/>
      <c r="D3" s="1" t="n"/>
      <c r="E3" s="240">
        <f>SUM(G7:G6047)</f>
        <v/>
      </c>
      <c r="F3" s="241">
        <f>SUM(J7:J6052)</f>
        <v/>
      </c>
      <c r="G3" s="24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37">
      <c r="B4" s="3" t="n"/>
      <c r="C4" s="4" t="n"/>
      <c r="D4" s="1" t="n"/>
      <c r="E4" s="4" t="n"/>
      <c r="F4" s="4" t="n"/>
      <c r="G4" s="243" t="n"/>
      <c r="K4" s="244" t="inlineStr">
        <is>
          <t>Automatically populated</t>
        </is>
      </c>
      <c r="L4" s="245" t="n"/>
      <c r="M4" s="245" t="n"/>
      <c r="N4" s="2" t="n"/>
    </row>
    <row r="5" ht="16.5" customHeight="1" s="237">
      <c r="B5" s="246" t="inlineStr">
        <is>
          <t>Invoices</t>
        </is>
      </c>
    </row>
    <row r="6" ht="16.5" customHeight="1" s="237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47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47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37">
      <c r="B7" s="110" t="n"/>
      <c r="C7" s="248" t="n"/>
      <c r="D7" s="112" t="n"/>
      <c r="E7" s="248" t="n"/>
      <c r="F7" s="248" t="n"/>
      <c r="G7" s="249" t="n"/>
      <c r="H7" s="114" t="n"/>
      <c r="I7" s="250" t="n"/>
      <c r="J7" s="251" t="n"/>
      <c r="K7" s="252" t="n"/>
      <c r="L7" s="253" t="n"/>
      <c r="M7" s="254" t="n"/>
      <c r="N7" s="117" t="n"/>
    </row>
    <row r="8" ht="16.5" customHeight="1" s="237"/>
    <row r="9" ht="16.5" customHeight="1" s="237"/>
    <row r="10" ht="16.5" customHeight="1" s="237"/>
    <row r="11" ht="16.5" customHeight="1" s="237"/>
    <row r="12" ht="16.5" customHeight="1" s="237"/>
    <row r="13" ht="16.5" customHeight="1" s="237"/>
    <row r="14" ht="16.5" customHeight="1" s="237"/>
    <row r="15" ht="16.5" customHeight="1" s="237"/>
    <row r="16" ht="16.5" customHeight="1" s="237"/>
    <row r="17" ht="16.5" customHeight="1" s="237"/>
    <row r="18" ht="16.5" customHeight="1" s="237"/>
    <row r="19" ht="16.5" customHeight="1" s="237"/>
    <row r="20" ht="16.5" customHeight="1" s="237"/>
    <row r="21" ht="16.5" customHeight="1" s="237"/>
    <row r="22" ht="16.5" customHeight="1" s="237"/>
    <row r="23" ht="16.5" customHeight="1" s="237"/>
    <row r="24" ht="16.5" customHeight="1" s="237"/>
    <row r="25" ht="16.5" customHeight="1" s="237"/>
    <row r="26" ht="16.5" customHeight="1" s="237"/>
    <row r="27" ht="16.5" customHeight="1" s="237"/>
    <row r="28" ht="16.5" customHeight="1" s="237"/>
    <row r="29" ht="16.5" customHeight="1" s="237"/>
    <row r="30" ht="16.5" customHeight="1" s="237"/>
    <row r="31" ht="16.5" customHeight="1" s="237"/>
    <row r="32" ht="16.5" customHeight="1" s="237"/>
    <row r="33" ht="16.5" customHeight="1" s="237"/>
    <row r="34" ht="16.5" customHeight="1" s="237"/>
    <row r="35" ht="16.5" customHeight="1" s="237"/>
    <row r="36" ht="16.5" customHeight="1" s="237"/>
    <row r="37" ht="16.5" customHeight="1" s="237"/>
    <row r="38" ht="16.5" customHeight="1" s="237"/>
    <row r="39" ht="16.5" customHeight="1" s="237"/>
    <row r="40" ht="16.5" customHeight="1" s="237"/>
    <row r="41" ht="16.5" customHeight="1" s="237"/>
    <row r="42" ht="16.5" customHeight="1" s="237"/>
    <row r="43" ht="16.5" customHeight="1" s="237"/>
    <row r="44" ht="16.5" customHeight="1" s="237"/>
    <row r="45" ht="16.5" customHeight="1" s="237"/>
    <row r="46" ht="16.5" customHeight="1" s="237"/>
    <row r="47" ht="16.5" customHeight="1" s="237"/>
    <row r="48" ht="16.5" customHeight="1" s="237"/>
    <row r="49" ht="16.5" customHeight="1" s="237"/>
    <row r="50" ht="16.5" customHeight="1" s="237"/>
    <row r="51" ht="16.5" customHeight="1" s="237"/>
    <row r="52" ht="16.5" customHeight="1" s="237"/>
    <row r="53" ht="16.5" customHeight="1" s="237"/>
    <row r="54" ht="16.5" customHeight="1" s="237"/>
    <row r="55" ht="16.5" customHeight="1" s="237"/>
    <row r="56" ht="16.5" customHeight="1" s="237"/>
    <row r="57" ht="16.5" customHeight="1" s="237"/>
    <row r="58" ht="16.5" customHeight="1" s="237"/>
    <row r="59" ht="16.5" customHeight="1" s="237"/>
    <row r="60" ht="16.5" customHeight="1" s="237"/>
    <row r="61" ht="16.5" customHeight="1" s="237"/>
    <row r="62" ht="16.5" customHeight="1" s="237"/>
    <row r="63" ht="16.5" customHeight="1" s="237"/>
    <row r="64" ht="16.5" customHeight="1" s="237"/>
    <row r="65" ht="16.5" customHeight="1" s="237"/>
    <row r="66" ht="16.5" customHeight="1" s="237"/>
    <row r="67" ht="16.5" customHeight="1" s="237"/>
    <row r="68" ht="16.5" customHeight="1" s="237"/>
    <row r="69" ht="16.5" customHeight="1" s="237"/>
    <row r="70" ht="16.5" customHeight="1" s="237"/>
    <row r="71" ht="16.5" customHeight="1" s="237"/>
    <row r="72" ht="16.5" customHeight="1" s="237"/>
    <row r="73" ht="16.5" customHeight="1" s="237"/>
    <row r="74" ht="16.5" customHeight="1" s="237"/>
    <row r="75" ht="16.5" customHeight="1" s="237"/>
    <row r="76" ht="16.5" customHeight="1" s="237"/>
    <row r="77" ht="16.5" customHeight="1" s="237"/>
    <row r="78" ht="16.5" customHeight="1" s="237"/>
    <row r="79" ht="16.5" customHeight="1" s="237"/>
    <row r="80" ht="16.5" customHeight="1" s="237"/>
    <row r="81" ht="16.5" customHeight="1" s="237"/>
    <row r="82" ht="16.5" customHeight="1" s="237"/>
    <row r="83" ht="16.5" customHeight="1" s="237"/>
    <row r="84" ht="16.5" customHeight="1" s="237"/>
    <row r="85" ht="16.5" customHeight="1" s="237"/>
    <row r="86" ht="16.5" customHeight="1" s="237"/>
    <row r="87" ht="16.5" customHeight="1" s="237"/>
    <row r="88" ht="16.5" customHeight="1" s="237"/>
    <row r="89" ht="16.5" customHeight="1" s="237"/>
    <row r="90" ht="16.5" customHeight="1" s="237"/>
    <row r="91" ht="16.5" customHeight="1" s="237"/>
    <row r="92" ht="16.5" customHeight="1" s="237"/>
    <row r="93" ht="16.5" customHeight="1" s="237"/>
    <row r="94" ht="16.5" customHeight="1" s="237"/>
    <row r="95" ht="16.5" customHeight="1" s="237"/>
    <row r="96" ht="16.5" customHeight="1" s="237"/>
    <row r="97" ht="16.5" customHeight="1" s="237"/>
    <row r="98" ht="16.5" customHeight="1" s="237"/>
    <row r="99" ht="16.5" customHeight="1" s="237"/>
    <row r="100" ht="16.5" customHeight="1" s="237"/>
    <row r="101" ht="16.5" customHeight="1" s="237"/>
    <row r="102" ht="16.5" customHeight="1" s="237"/>
    <row r="103" ht="16.5" customHeight="1" s="237"/>
    <row r="104" ht="16.5" customHeight="1" s="237"/>
    <row r="105" ht="16.5" customHeight="1" s="237"/>
    <row r="106" ht="16.5" customHeight="1" s="237"/>
    <row r="107" ht="16.5" customHeight="1" s="237"/>
    <row r="108" ht="16.5" customHeight="1" s="237"/>
    <row r="109" ht="16.5" customHeight="1" s="237"/>
    <row r="110" ht="16.5" customHeight="1" s="237"/>
    <row r="111" ht="16.5" customHeight="1" s="237"/>
    <row r="112" ht="16.5" customHeight="1" s="237"/>
    <row r="113" ht="16.5" customHeight="1" s="237"/>
    <row r="114" ht="16.5" customHeight="1" s="237"/>
    <row r="115" ht="16.5" customHeight="1" s="237"/>
    <row r="116" ht="16.5" customHeight="1" s="237"/>
    <row r="117" ht="16.5" customHeight="1" s="237"/>
    <row r="118" ht="16.5" customHeight="1" s="237"/>
    <row r="119" ht="16.5" customHeight="1" s="237"/>
    <row r="120" ht="16.5" customHeight="1" s="237"/>
    <row r="121" ht="16.5" customHeight="1" s="237"/>
    <row r="122" ht="16.5" customHeight="1" s="237"/>
    <row r="123" ht="16.5" customHeight="1" s="237"/>
    <row r="124" ht="16.5" customHeight="1" s="237"/>
    <row r="125" ht="16.5" customHeight="1" s="237"/>
    <row r="126" ht="16.5" customHeight="1" s="237"/>
    <row r="127" ht="16.5" customHeight="1" s="237"/>
    <row r="128" ht="16.5" customHeight="1" s="237"/>
    <row r="129" ht="16.5" customHeight="1" s="237"/>
    <row r="130" ht="16.5" customHeight="1" s="237"/>
    <row r="131" ht="16.5" customHeight="1" s="237"/>
    <row r="132" ht="16.5" customHeight="1" s="237"/>
    <row r="133" ht="16.5" customHeight="1" s="237"/>
    <row r="134" ht="16.5" customHeight="1" s="237"/>
    <row r="135" ht="16.5" customHeight="1" s="237"/>
    <row r="136" ht="16.5" customHeight="1" s="237"/>
    <row r="137" ht="16.5" customHeight="1" s="237"/>
    <row r="138" ht="16.5" customHeight="1" s="237"/>
    <row r="139" ht="16.5" customHeight="1" s="237"/>
    <row r="140" ht="16.5" customHeight="1" s="237"/>
    <row r="141" ht="16.5" customHeight="1" s="237"/>
    <row r="142" ht="16.5" customHeight="1" s="237"/>
    <row r="143" ht="16.5" customHeight="1" s="237"/>
    <row r="144" ht="16.5" customHeight="1" s="237"/>
    <row r="145" ht="16.5" customHeight="1" s="237"/>
    <row r="146" ht="16.5" customHeight="1" s="237"/>
    <row r="147" ht="16.5" customHeight="1" s="237"/>
    <row r="148" ht="16.5" customHeight="1" s="237"/>
    <row r="149" ht="16.5" customHeight="1" s="237"/>
    <row r="150" ht="16.5" customHeight="1" s="237"/>
    <row r="151" ht="16.5" customHeight="1" s="237"/>
    <row r="152" ht="16.5" customHeight="1" s="237"/>
    <row r="153" ht="16.5" customHeight="1" s="237"/>
    <row r="154" ht="16.5" customHeight="1" s="237"/>
    <row r="155" ht="16.5" customHeight="1" s="237"/>
    <row r="156" ht="16.5" customHeight="1" s="237"/>
    <row r="157" ht="16.5" customHeight="1" s="237"/>
    <row r="158" ht="16.5" customHeight="1" s="237"/>
    <row r="159" ht="16.5" customHeight="1" s="237"/>
    <row r="160" ht="16.5" customHeight="1" s="237"/>
    <row r="161" ht="16.5" customHeight="1" s="237"/>
    <row r="162" ht="16.5" customHeight="1" s="237"/>
    <row r="163" ht="16.5" customHeight="1" s="237"/>
    <row r="164" ht="16.5" customHeight="1" s="237"/>
    <row r="165" ht="16.5" customHeight="1" s="237"/>
    <row r="166" ht="16.5" customHeight="1" s="237"/>
    <row r="167" ht="16.5" customHeight="1" s="237"/>
    <row r="168" ht="16.5" customHeight="1" s="237"/>
    <row r="169" ht="16.5" customHeight="1" s="237"/>
    <row r="170" ht="16.5" customHeight="1" s="237"/>
    <row r="171" ht="16.5" customHeight="1" s="237"/>
    <row r="172" ht="16.5" customHeight="1" s="237"/>
    <row r="173" ht="16.5" customHeight="1" s="237"/>
    <row r="174" ht="16.5" customHeight="1" s="237"/>
    <row r="175" ht="16.5" customHeight="1" s="237"/>
    <row r="176" ht="16.5" customHeight="1" s="237"/>
    <row r="177" ht="16.5" customHeight="1" s="237"/>
    <row r="178" ht="16.5" customHeight="1" s="237"/>
    <row r="179" ht="16.5" customHeight="1" s="237"/>
    <row r="180" ht="16.5" customHeight="1" s="237"/>
    <row r="181" ht="16.5" customHeight="1" s="237"/>
    <row r="182" ht="16.5" customHeight="1" s="237"/>
    <row r="183" ht="16.5" customHeight="1" s="237"/>
    <row r="184" ht="16.5" customHeight="1" s="237"/>
    <row r="185" ht="16.5" customHeight="1" s="237"/>
    <row r="186" ht="16.5" customHeight="1" s="237"/>
    <row r="187" ht="16.5" customHeight="1" s="237"/>
    <row r="188" ht="16.5" customHeight="1" s="237"/>
    <row r="189" ht="16.5" customHeight="1" s="237"/>
    <row r="190" ht="16.5" customHeight="1" s="237"/>
    <row r="191" ht="16.5" customHeight="1" s="237"/>
    <row r="192" ht="16.5" customHeight="1" s="237"/>
    <row r="193" ht="16.5" customHeight="1" s="237"/>
    <row r="194" ht="16.5" customHeight="1" s="237"/>
    <row r="195" ht="16.5" customHeight="1" s="237"/>
    <row r="196" ht="16.5" customHeight="1" s="237"/>
    <row r="197" ht="16.5" customHeight="1" s="237"/>
    <row r="198" ht="16.5" customHeight="1" s="237"/>
    <row r="199" ht="16.5" customHeight="1" s="237"/>
    <row r="200" ht="16.5" customHeight="1" s="237"/>
    <row r="201" ht="16.5" customHeight="1" s="237"/>
    <row r="202" ht="16.5" customHeight="1" s="237"/>
    <row r="203" ht="16.5" customHeight="1" s="237"/>
    <row r="204" ht="16.5" customHeight="1" s="237"/>
    <row r="205" ht="16.5" customHeight="1" s="237"/>
    <row r="206" ht="16.5" customHeight="1" s="237"/>
    <row r="207" ht="16.5" customHeight="1" s="237"/>
    <row r="208" ht="16.5" customHeight="1" s="237"/>
    <row r="209" ht="16.5" customHeight="1" s="237"/>
    <row r="210" ht="16.5" customHeight="1" s="237"/>
    <row r="211" ht="16.5" customHeight="1" s="237"/>
    <row r="212" ht="16.5" customHeight="1" s="237"/>
    <row r="213" ht="16.5" customHeight="1" s="237"/>
    <row r="214" ht="16.5" customHeight="1" s="237"/>
    <row r="215" ht="16.5" customHeight="1" s="237"/>
    <row r="216" ht="16.5" customHeight="1" s="237"/>
    <row r="217" ht="16.5" customHeight="1" s="237"/>
    <row r="218" ht="16.5" customHeight="1" s="237"/>
    <row r="219" ht="16.5" customHeight="1" s="237"/>
    <row r="220" ht="16.5" customHeight="1" s="237"/>
    <row r="221" ht="16.5" customHeight="1" s="237"/>
    <row r="222" ht="16.5" customHeight="1" s="237"/>
    <row r="223" ht="16.5" customHeight="1" s="237"/>
    <row r="224" ht="16.5" customHeight="1" s="237"/>
    <row r="225" ht="16.5" customHeight="1" s="237"/>
    <row r="226" ht="16.5" customHeight="1" s="237"/>
    <row r="227" ht="16.5" customHeight="1" s="237"/>
    <row r="228" ht="16.5" customHeight="1" s="237"/>
    <row r="229" ht="16.5" customHeight="1" s="237"/>
    <row r="230" ht="16.5" customHeight="1" s="237"/>
    <row r="231" ht="16.5" customHeight="1" s="237"/>
    <row r="232" ht="16.5" customHeight="1" s="237"/>
    <row r="233" ht="16.5" customHeight="1" s="237"/>
    <row r="234" ht="16.5" customHeight="1" s="237"/>
    <row r="235" ht="16.5" customHeight="1" s="237"/>
    <row r="236" ht="16.5" customHeight="1" s="237"/>
    <row r="237" ht="16.5" customHeight="1" s="237"/>
    <row r="238" ht="16.5" customHeight="1" s="237"/>
    <row r="239" ht="16.5" customHeight="1" s="237"/>
    <row r="240" ht="16.5" customHeight="1" s="237"/>
    <row r="241" ht="16.5" customHeight="1" s="237"/>
    <row r="242" ht="16.5" customHeight="1" s="237"/>
    <row r="243" ht="16.5" customHeight="1" s="237"/>
    <row r="244" ht="16.5" customHeight="1" s="237"/>
    <row r="245" ht="16.5" customHeight="1" s="237"/>
    <row r="246" ht="16.5" customHeight="1" s="237"/>
    <row r="247" ht="16.5" customHeight="1" s="237"/>
    <row r="248" ht="16.5" customHeight="1" s="237"/>
    <row r="249" ht="16.5" customHeight="1" s="237"/>
    <row r="250" ht="16.5" customHeight="1" s="237"/>
    <row r="251" ht="16.5" customHeight="1" s="237"/>
    <row r="252" ht="16.5" customHeight="1" s="237"/>
    <row r="253" ht="16.5" customHeight="1" s="237"/>
    <row r="254" ht="16.5" customHeight="1" s="237"/>
    <row r="255" ht="16.5" customHeight="1" s="237"/>
    <row r="256" ht="16.5" customHeight="1" s="237"/>
    <row r="257" ht="16.5" customHeight="1" s="237"/>
    <row r="258" ht="16.5" customHeight="1" s="237"/>
    <row r="259" ht="16.5" customHeight="1" s="237"/>
    <row r="260" ht="16.5" customHeight="1" s="237"/>
    <row r="261" ht="16.5" customHeight="1" s="237"/>
    <row r="262" ht="16.5" customHeight="1" s="237"/>
    <row r="263" ht="16.5" customHeight="1" s="237"/>
    <row r="264" ht="16.5" customHeight="1" s="237"/>
    <row r="265" ht="16.5" customHeight="1" s="237"/>
    <row r="266" ht="16.5" customHeight="1" s="237"/>
    <row r="267" ht="16.5" customHeight="1" s="237"/>
    <row r="268" ht="16.5" customHeight="1" s="237"/>
    <row r="269" ht="16.5" customHeight="1" s="237"/>
    <row r="270" ht="16.5" customHeight="1" s="237"/>
    <row r="271" ht="16.5" customHeight="1" s="237"/>
    <row r="272" ht="16.5" customHeight="1" s="237"/>
    <row r="273" ht="16.5" customHeight="1" s="237"/>
    <row r="274" ht="16.5" customHeight="1" s="237"/>
    <row r="275" ht="16.5" customHeight="1" s="237"/>
    <row r="276" ht="16.5" customHeight="1" s="237"/>
    <row r="277" ht="16.5" customHeight="1" s="237"/>
    <row r="278" ht="16.5" customHeight="1" s="237"/>
    <row r="279" ht="16.5" customHeight="1" s="237"/>
    <row r="280" ht="16.5" customHeight="1" s="237"/>
    <row r="281" ht="16.5" customHeight="1" s="237"/>
    <row r="282" ht="16.5" customHeight="1" s="237"/>
    <row r="283" ht="16.5" customHeight="1" s="237"/>
    <row r="284" ht="16.5" customHeight="1" s="237"/>
    <row r="285" ht="16.5" customHeight="1" s="237"/>
    <row r="286" ht="16.5" customHeight="1" s="237"/>
    <row r="287" ht="16.5" customHeight="1" s="237"/>
    <row r="288" ht="16.5" customHeight="1" s="237"/>
    <row r="289" ht="16.5" customHeight="1" s="237"/>
    <row r="290" ht="16.5" customHeight="1" s="237"/>
    <row r="291" ht="16.5" customHeight="1" s="237"/>
    <row r="292" ht="16.5" customHeight="1" s="237"/>
    <row r="293" ht="16.5" customHeight="1" s="237"/>
    <row r="294" ht="16.5" customHeight="1" s="237"/>
    <row r="295" ht="16.5" customHeight="1" s="237"/>
    <row r="296" ht="16.5" customHeight="1" s="237"/>
    <row r="297" ht="16.5" customHeight="1" s="237"/>
    <row r="298" ht="16.5" customHeight="1" s="237"/>
    <row r="299" ht="16.5" customHeight="1" s="237"/>
    <row r="300" ht="16.5" customHeight="1" s="237"/>
    <row r="301" ht="16.5" customHeight="1" s="237"/>
    <row r="302" ht="16.5" customHeight="1" s="237"/>
    <row r="303" ht="16.5" customHeight="1" s="237"/>
    <row r="304" ht="16.5" customHeight="1" s="237"/>
    <row r="305" ht="16.5" customHeight="1" s="237"/>
    <row r="306" ht="16.5" customHeight="1" s="237"/>
    <row r="307" ht="16.5" customHeight="1" s="237"/>
    <row r="308" ht="16.5" customHeight="1" s="237"/>
    <row r="309" ht="16.5" customHeight="1" s="237"/>
    <row r="310" ht="16.5" customHeight="1" s="237"/>
    <row r="311" ht="16.5" customHeight="1" s="237"/>
    <row r="312" ht="16.5" customHeight="1" s="237"/>
    <row r="313" ht="16.5" customHeight="1" s="237"/>
    <row r="314" ht="16.5" customHeight="1" s="237"/>
    <row r="315" ht="16.5" customHeight="1" s="237"/>
    <row r="316" ht="16.5" customHeight="1" s="237"/>
    <row r="317" ht="16.5" customHeight="1" s="237"/>
    <row r="318" ht="16.5" customHeight="1" s="237"/>
    <row r="319" ht="16.5" customHeight="1" s="237"/>
    <row r="320" ht="16.5" customHeight="1" s="237"/>
    <row r="321" ht="16.5" customHeight="1" s="237"/>
    <row r="322" ht="16.5" customHeight="1" s="237"/>
    <row r="323" ht="16.5" customHeight="1" s="237"/>
    <row r="324" ht="16.5" customHeight="1" s="237"/>
    <row r="325" ht="16.5" customHeight="1" s="237"/>
    <row r="326" ht="16.5" customHeight="1" s="237"/>
    <row r="327" ht="16.5" customHeight="1" s="237"/>
    <row r="328" ht="16.5" customHeight="1" s="237"/>
    <row r="329" ht="16.5" customHeight="1" s="237"/>
    <row r="330" ht="16.5" customHeight="1" s="237"/>
    <row r="331" ht="16.5" customHeight="1" s="237"/>
    <row r="332" ht="16.5" customHeight="1" s="237"/>
    <row r="333" ht="16.5" customHeight="1" s="237"/>
    <row r="334" ht="16.5" customHeight="1" s="237"/>
    <row r="335" ht="16.5" customHeight="1" s="237"/>
    <row r="336" ht="16.5" customHeight="1" s="237"/>
    <row r="337" ht="16.5" customHeight="1" s="237"/>
    <row r="338" ht="16.5" customHeight="1" s="237"/>
    <row r="339" ht="16.5" customHeight="1" s="237"/>
    <row r="340" ht="16.5" customHeight="1" s="237"/>
    <row r="341" ht="16.5" customHeight="1" s="237"/>
    <row r="342" ht="16.5" customHeight="1" s="237"/>
    <row r="343" ht="16.5" customHeight="1" s="237"/>
    <row r="344" ht="16.5" customHeight="1" s="237"/>
    <row r="345" ht="16.5" customHeight="1" s="237"/>
    <row r="346" ht="16.5" customHeight="1" s="237"/>
    <row r="347" ht="16.5" customHeight="1" s="237"/>
    <row r="348" ht="16.5" customHeight="1" s="237"/>
    <row r="349" ht="16.5" customHeight="1" s="237"/>
    <row r="350" ht="16.5" customHeight="1" s="237"/>
    <row r="351" ht="16.5" customHeight="1" s="237"/>
    <row r="352" ht="16.5" customHeight="1" s="237"/>
    <row r="353" ht="16.5" customHeight="1" s="237"/>
    <row r="354" ht="16.5" customHeight="1" s="237"/>
    <row r="355" ht="16.5" customHeight="1" s="237"/>
    <row r="356" ht="16.5" customHeight="1" s="237"/>
    <row r="357" ht="16.5" customHeight="1" s="237"/>
    <row r="358" ht="16.5" customHeight="1" s="237"/>
    <row r="359" ht="16.5" customHeight="1" s="237"/>
    <row r="360" ht="16.5" customHeight="1" s="237"/>
    <row r="361" ht="16.5" customHeight="1" s="237"/>
    <row r="362" ht="16.5" customHeight="1" s="237"/>
    <row r="363" ht="16.5" customHeight="1" s="237"/>
    <row r="364" ht="16.5" customHeight="1" s="237"/>
    <row r="365" ht="16.5" customHeight="1" s="237"/>
    <row r="366" ht="16.5" customHeight="1" s="237"/>
    <row r="367" ht="16.5" customHeight="1" s="237"/>
    <row r="368" ht="16.5" customHeight="1" s="237"/>
    <row r="369" ht="16.5" customHeight="1" s="237"/>
    <row r="370" ht="16.5" customHeight="1" s="237"/>
    <row r="371" ht="16.5" customHeight="1" s="237"/>
    <row r="372" ht="16.5" customHeight="1" s="237"/>
    <row r="373" ht="16.5" customHeight="1" s="237"/>
    <row r="374" ht="16.5" customHeight="1" s="237"/>
    <row r="375" ht="16.5" customHeight="1" s="237"/>
    <row r="376" ht="16.5" customHeight="1" s="237"/>
    <row r="377" ht="16.5" customHeight="1" s="237"/>
    <row r="378" ht="16.5" customHeight="1" s="237"/>
    <row r="379" ht="16.5" customHeight="1" s="237"/>
    <row r="380" ht="16.5" customHeight="1" s="237"/>
    <row r="381" ht="16.5" customHeight="1" s="237"/>
    <row r="382" ht="16.5" customHeight="1" s="237"/>
    <row r="383" ht="16.5" customHeight="1" s="237"/>
    <row r="384" ht="16.5" customHeight="1" s="237"/>
    <row r="385" ht="16.5" customHeight="1" s="237"/>
    <row r="386" ht="16.5" customHeight="1" s="237"/>
    <row r="387" ht="16.5" customHeight="1" s="237"/>
    <row r="388" ht="16.5" customHeight="1" s="237"/>
    <row r="389" ht="16.5" customHeight="1" s="237"/>
    <row r="390" ht="16.5" customHeight="1" s="237"/>
    <row r="391" ht="16.5" customHeight="1" s="237"/>
    <row r="392" ht="16.5" customHeight="1" s="237"/>
    <row r="393" ht="16.5" customHeight="1" s="237"/>
    <row r="394" ht="16.5" customHeight="1" s="237"/>
    <row r="395" ht="16.5" customHeight="1" s="237"/>
    <row r="396" ht="16.5" customHeight="1" s="237"/>
    <row r="397" ht="16.5" customHeight="1" s="237"/>
    <row r="398" ht="16.5" customHeight="1" s="237"/>
    <row r="399" ht="16.5" customHeight="1" s="237"/>
    <row r="400" ht="16.5" customHeight="1" s="237"/>
    <row r="401" ht="16.5" customHeight="1" s="237"/>
    <row r="402" ht="16.5" customHeight="1" s="237"/>
    <row r="403" ht="16.5" customHeight="1" s="237"/>
    <row r="404" ht="16.5" customHeight="1" s="237"/>
    <row r="405" ht="16.5" customHeight="1" s="237"/>
    <row r="406" ht="16.5" customHeight="1" s="237"/>
    <row r="407" ht="16.5" customHeight="1" s="237"/>
    <row r="408" ht="16.5" customHeight="1" s="237"/>
    <row r="409" ht="16.5" customHeight="1" s="237"/>
    <row r="410" ht="16.5" customHeight="1" s="237"/>
    <row r="411" ht="16.5" customHeight="1" s="237"/>
    <row r="412" ht="16.5" customHeight="1" s="237"/>
    <row r="413" ht="16.5" customHeight="1" s="237"/>
    <row r="414" ht="16.5" customHeight="1" s="237"/>
    <row r="415" ht="16.5" customHeight="1" s="237"/>
    <row r="416" ht="16.5" customHeight="1" s="237"/>
    <row r="417" ht="16.5" customHeight="1" s="237"/>
    <row r="418" ht="16.5" customHeight="1" s="237"/>
    <row r="419" ht="16.5" customHeight="1" s="237"/>
    <row r="420" ht="16.5" customHeight="1" s="237"/>
    <row r="421" ht="16.5" customHeight="1" s="237"/>
    <row r="422" ht="16.5" customHeight="1" s="237"/>
    <row r="423" ht="16.5" customHeight="1" s="237"/>
    <row r="424" ht="16.5" customHeight="1" s="237"/>
    <row r="425" ht="16.5" customHeight="1" s="237"/>
    <row r="426" ht="16.5" customHeight="1" s="237"/>
    <row r="427" ht="16.5" customHeight="1" s="237"/>
    <row r="428" ht="16.5" customHeight="1" s="237"/>
    <row r="429" ht="16.5" customHeight="1" s="237"/>
    <row r="430" ht="16.5" customHeight="1" s="237"/>
    <row r="431" ht="16.5" customHeight="1" s="237"/>
    <row r="432" ht="16.5" customHeight="1" s="237"/>
    <row r="433" ht="16.5" customHeight="1" s="237"/>
    <row r="434" ht="16.5" customHeight="1" s="237"/>
    <row r="435" ht="16.5" customHeight="1" s="237"/>
    <row r="436" ht="16.5" customHeight="1" s="237"/>
    <row r="437" ht="16.5" customHeight="1" s="237"/>
    <row r="438" ht="16.5" customHeight="1" s="237"/>
    <row r="439" ht="16.5" customHeight="1" s="237"/>
    <row r="440" ht="16.5" customHeight="1" s="237"/>
    <row r="441" ht="16.5" customHeight="1" s="237"/>
    <row r="442" ht="16.5" customHeight="1" s="237"/>
    <row r="443" ht="16.5" customHeight="1" s="237"/>
    <row r="444" ht="16.5" customHeight="1" s="237"/>
    <row r="445" ht="16.5" customHeight="1" s="237"/>
    <row r="446" ht="16.5" customHeight="1" s="237"/>
    <row r="447" ht="16.5" customHeight="1" s="237"/>
    <row r="448" ht="16.5" customHeight="1" s="237"/>
    <row r="449" ht="16.5" customHeight="1" s="237"/>
    <row r="450" ht="16.5" customHeight="1" s="237"/>
    <row r="451" ht="16.5" customHeight="1" s="237"/>
    <row r="452" ht="16.5" customHeight="1" s="237"/>
    <row r="453" ht="16.5" customHeight="1" s="237"/>
    <row r="454" ht="16.5" customHeight="1" s="237"/>
    <row r="455" ht="16.5" customHeight="1" s="237"/>
    <row r="456" ht="16.5" customHeight="1" s="237"/>
    <row r="457" ht="16.5" customHeight="1" s="237"/>
    <row r="458" ht="16.5" customHeight="1" s="237"/>
    <row r="459" ht="16.5" customHeight="1" s="237"/>
    <row r="460" ht="16.5" customHeight="1" s="237"/>
    <row r="461" ht="16.5" customHeight="1" s="237"/>
    <row r="462" ht="16.5" customHeight="1" s="237"/>
    <row r="463" ht="16.5" customHeight="1" s="237"/>
    <row r="464" ht="16.5" customHeight="1" s="237"/>
    <row r="465" ht="16.5" customHeight="1" s="237"/>
    <row r="466" ht="16.5" customHeight="1" s="237"/>
    <row r="467" ht="16.5" customHeight="1" s="237"/>
    <row r="468" ht="16.5" customHeight="1" s="237"/>
    <row r="469" ht="16.5" customHeight="1" s="237"/>
    <row r="470" ht="16.5" customHeight="1" s="237"/>
    <row r="471" ht="16.5" customHeight="1" s="237"/>
    <row r="472" ht="16.5" customHeight="1" s="237"/>
    <row r="473" ht="16.5" customHeight="1" s="237"/>
    <row r="474" ht="16.5" customHeight="1" s="237"/>
    <row r="475" ht="16.5" customHeight="1" s="237"/>
    <row r="476" ht="16.5" customHeight="1" s="237"/>
    <row r="477" ht="16.5" customHeight="1" s="237"/>
    <row r="478" ht="16.5" customHeight="1" s="237"/>
    <row r="479" ht="16.5" customHeight="1" s="237"/>
    <row r="480" ht="16.5" customHeight="1" s="237"/>
    <row r="481" ht="16.5" customHeight="1" s="237"/>
    <row r="482" ht="16.5" customHeight="1" s="237"/>
    <row r="483" ht="16.5" customHeight="1" s="237"/>
    <row r="484" ht="16.5" customHeight="1" s="237"/>
    <row r="485" ht="16.5" customHeight="1" s="237"/>
    <row r="486" ht="16.5" customHeight="1" s="237"/>
    <row r="487" ht="16.5" customHeight="1" s="237"/>
    <row r="488" ht="16.5" customHeight="1" s="237"/>
    <row r="489" ht="16.5" customHeight="1" s="237"/>
    <row r="490" ht="16.5" customHeight="1" s="237"/>
    <row r="491" ht="16.5" customHeight="1" s="237"/>
    <row r="492" ht="16.5" customHeight="1" s="237"/>
    <row r="493" ht="16.5" customHeight="1" s="237"/>
    <row r="494" ht="16.5" customHeight="1" s="237"/>
    <row r="495" ht="16.5" customHeight="1" s="237"/>
    <row r="496" ht="16.5" customHeight="1" s="237"/>
    <row r="497" ht="16.5" customHeight="1" s="237"/>
    <row r="498" ht="16.5" customHeight="1" s="237"/>
    <row r="499" ht="16.5" customHeight="1" s="237"/>
    <row r="500" ht="16.5" customHeight="1" s="237"/>
    <row r="501" ht="16.5" customHeight="1" s="237"/>
    <row r="502" ht="16.5" customHeight="1" s="237"/>
    <row r="503" ht="16.5" customHeight="1" s="237"/>
    <row r="504" ht="16.5" customHeight="1" s="237"/>
    <row r="505" ht="16.5" customHeight="1" s="237"/>
    <row r="506" ht="16.5" customHeight="1" s="237"/>
    <row r="507" ht="16.5" customHeight="1" s="237"/>
    <row r="508" ht="16.5" customHeight="1" s="237"/>
    <row r="509" ht="16.5" customHeight="1" s="237"/>
    <row r="510" ht="16.5" customHeight="1" s="237"/>
    <row r="511" ht="16.5" customHeight="1" s="237"/>
    <row r="512" ht="16.5" customHeight="1" s="237"/>
    <row r="513" ht="16.5" customHeight="1" s="237"/>
    <row r="514" ht="16.5" customHeight="1" s="237"/>
    <row r="515" ht="16.5" customHeight="1" s="237"/>
    <row r="516" ht="16.5" customHeight="1" s="237"/>
    <row r="517" ht="16.5" customHeight="1" s="237"/>
    <row r="518" ht="16.5" customHeight="1" s="237"/>
    <row r="519" ht="16.5" customHeight="1" s="237"/>
    <row r="520" ht="16.5" customHeight="1" s="237"/>
    <row r="521" ht="16.5" customHeight="1" s="237"/>
    <row r="522" ht="16.5" customHeight="1" s="237"/>
    <row r="523" ht="16.5" customHeight="1" s="237"/>
    <row r="524" ht="16.5" customHeight="1" s="237"/>
    <row r="525" ht="16.5" customHeight="1" s="237"/>
    <row r="526" ht="16.5" customHeight="1" s="237"/>
    <row r="527" ht="16.5" customHeight="1" s="237"/>
    <row r="528" ht="16.5" customHeight="1" s="237"/>
    <row r="529" ht="16.5" customHeight="1" s="237"/>
    <row r="530" ht="16.5" customHeight="1" s="237"/>
    <row r="531" ht="16.5" customHeight="1" s="237"/>
    <row r="532" ht="16.5" customHeight="1" s="237"/>
    <row r="533" ht="16.5" customHeight="1" s="237"/>
    <row r="534" ht="16.5" customHeight="1" s="237"/>
    <row r="535" ht="16.5" customHeight="1" s="237"/>
    <row r="536" ht="16.5" customHeight="1" s="237"/>
    <row r="537" ht="16.5" customHeight="1" s="237"/>
    <row r="538" ht="16.5" customHeight="1" s="237"/>
    <row r="539" ht="16.5" customHeight="1" s="237"/>
    <row r="540" ht="16.5" customHeight="1" s="237"/>
    <row r="541" ht="16.5" customHeight="1" s="237"/>
    <row r="542" ht="16.5" customHeight="1" s="237"/>
    <row r="543" ht="16.5" customHeight="1" s="237"/>
    <row r="544" ht="16.5" customHeight="1" s="237"/>
    <row r="545" ht="16.5" customHeight="1" s="237"/>
    <row r="546" ht="16.5" customHeight="1" s="237"/>
    <row r="547" ht="16.5" customHeight="1" s="237"/>
    <row r="548" ht="16.5" customHeight="1" s="237"/>
    <row r="549" ht="16.5" customHeight="1" s="237">
      <c r="A549" s="6" t="inlineStr">
        <is>
          <t>    </t>
        </is>
      </c>
    </row>
    <row r="550" ht="16.5" customHeight="1" s="237"/>
    <row r="551" ht="16.5" customHeight="1" s="237"/>
    <row r="552" ht="16.5" customHeight="1" s="237"/>
    <row r="553" ht="16.5" customHeight="1" s="237"/>
    <row r="554" ht="16.5" customHeight="1" s="237"/>
    <row r="555" ht="16.5" customHeight="1" s="237"/>
    <row r="556" ht="16.5" customHeight="1" s="237"/>
    <row r="557" ht="16.5" customHeight="1" s="237"/>
    <row r="558" ht="16.5" customHeight="1" s="237"/>
    <row r="559" ht="16.5" customHeight="1" s="237"/>
    <row r="560" ht="16.5" customHeight="1" s="237"/>
    <row r="561" ht="16.5" customHeight="1" s="237"/>
    <row r="562" ht="16.5" customHeight="1" s="237"/>
    <row r="563" ht="16.5" customHeight="1" s="237"/>
    <row r="564" ht="16.5" customHeight="1" s="237"/>
    <row r="565" ht="16.5" customHeight="1" s="237"/>
    <row r="566" ht="16.5" customHeight="1" s="237"/>
    <row r="567" ht="16.5" customHeight="1" s="237"/>
    <row r="568" ht="16.5" customHeight="1" s="237"/>
    <row r="569" ht="16.5" customHeight="1" s="237"/>
    <row r="570" ht="16.5" customHeight="1" s="237"/>
    <row r="571" ht="16.5" customHeight="1" s="237"/>
    <row r="572" ht="16.5" customHeight="1" s="237"/>
    <row r="573" ht="16.5" customHeight="1" s="237"/>
    <row r="574" ht="16.5" customHeight="1" s="237"/>
    <row r="575" ht="16.5" customHeight="1" s="237"/>
    <row r="576" ht="16.5" customHeight="1" s="237"/>
    <row r="577" ht="16.5" customHeight="1" s="237"/>
    <row r="578" ht="16.5" customHeight="1" s="237"/>
    <row r="579" ht="16.5" customHeight="1" s="237"/>
    <row r="580" ht="16.5" customHeight="1" s="237"/>
    <row r="581" ht="16.5" customHeight="1" s="237"/>
    <row r="582" ht="16.5" customHeight="1" s="237"/>
    <row r="583" ht="16.5" customHeight="1" s="237"/>
    <row r="584" ht="16.5" customHeight="1" s="237"/>
    <row r="585" ht="16.5" customHeight="1" s="237"/>
    <row r="586" ht="16.5" customHeight="1" s="237"/>
    <row r="587" ht="16.5" customHeight="1" s="237"/>
    <row r="588" ht="16.5" customHeight="1" s="237"/>
    <row r="589" ht="16.5" customHeight="1" s="237"/>
    <row r="590" ht="16.5" customHeight="1" s="237"/>
    <row r="591" ht="16.5" customHeight="1" s="237"/>
    <row r="592" ht="16.5" customHeight="1" s="237"/>
    <row r="593" ht="16.5" customHeight="1" s="237"/>
    <row r="594" ht="16.5" customHeight="1" s="237"/>
    <row r="595" ht="16.5" customHeight="1" s="237"/>
    <row r="596" ht="16.5" customHeight="1" s="237"/>
    <row r="597" ht="16.5" customHeight="1" s="237"/>
    <row r="598" ht="16.5" customHeight="1" s="237"/>
    <row r="599" ht="16.5" customHeight="1" s="237"/>
    <row r="600" ht="16.5" customHeight="1" s="237"/>
    <row r="601" ht="16.5" customHeight="1" s="237"/>
    <row r="602" ht="16.5" customHeight="1" s="237"/>
    <row r="603" ht="16.5" customHeight="1" s="237"/>
    <row r="604" ht="16.5" customHeight="1" s="237"/>
    <row r="605" ht="16.5" customHeight="1" s="237"/>
    <row r="606" ht="16.5" customHeight="1" s="237"/>
    <row r="607" ht="16.5" customHeight="1" s="237"/>
    <row r="608" ht="16.5" customHeight="1" s="237"/>
    <row r="609" ht="16.5" customHeight="1" s="237"/>
    <row r="610" ht="16.5" customHeight="1" s="237"/>
    <row r="611" ht="16.5" customHeight="1" s="237"/>
    <row r="612" ht="16.5" customHeight="1" s="237"/>
    <row r="613" ht="16.5" customHeight="1" s="237"/>
    <row r="614" ht="16.5" customHeight="1" s="237"/>
    <row r="615" ht="16.5" customHeight="1" s="237"/>
    <row r="616" ht="16.5" customHeight="1" s="237"/>
    <row r="617" ht="16.5" customHeight="1" s="237"/>
    <row r="618" ht="16.5" customHeight="1" s="237"/>
    <row r="619" ht="16.5" customHeight="1" s="237"/>
    <row r="620" ht="16.5" customHeight="1" s="237"/>
    <row r="621" ht="16.5" customHeight="1" s="237"/>
    <row r="622" ht="16.5" customHeight="1" s="237"/>
    <row r="623" ht="16.5" customHeight="1" s="237"/>
    <row r="624" ht="16.5" customHeight="1" s="237"/>
    <row r="625" ht="16.5" customHeight="1" s="237"/>
    <row r="626" ht="16.5" customHeight="1" s="237"/>
    <row r="627" ht="16.5" customHeight="1" s="237"/>
    <row r="628" ht="16.5" customHeight="1" s="237"/>
    <row r="629" ht="16.5" customHeight="1" s="237"/>
    <row r="630" ht="16.5" customHeight="1" s="237"/>
    <row r="631" ht="16.5" customHeight="1" s="237"/>
    <row r="632" ht="16.5" customHeight="1" s="237"/>
    <row r="633" ht="16.5" customHeight="1" s="237"/>
    <row r="634" ht="16.5" customHeight="1" s="237"/>
    <row r="635" ht="16.5" customHeight="1" s="237"/>
    <row r="636" ht="16.5" customHeight="1" s="237"/>
    <row r="637" ht="16.5" customHeight="1" s="237"/>
    <row r="638" ht="16.5" customHeight="1" s="237"/>
    <row r="639" ht="16.5" customHeight="1" s="237"/>
    <row r="640" ht="16.5" customHeight="1" s="237"/>
    <row r="641" ht="16.5" customHeight="1" s="237"/>
    <row r="642" ht="16.5" customHeight="1" s="237"/>
    <row r="643" ht="16.5" customHeight="1" s="237"/>
    <row r="644" ht="16.5" customHeight="1" s="237"/>
    <row r="645" ht="16.5" customHeight="1" s="237"/>
    <row r="646" ht="16.5" customHeight="1" s="237"/>
    <row r="647" ht="16.5" customHeight="1" s="237"/>
    <row r="648" ht="16.5" customHeight="1" s="237"/>
    <row r="649" ht="16.5" customHeight="1" s="237"/>
    <row r="650" ht="16.5" customHeight="1" s="237"/>
    <row r="651" ht="16.5" customHeight="1" s="237"/>
    <row r="652" ht="16.5" customHeight="1" s="237"/>
    <row r="653" ht="16.5" customHeight="1" s="237"/>
    <row r="654" ht="16.5" customHeight="1" s="237"/>
    <row r="655" ht="16.5" customHeight="1" s="237"/>
    <row r="656" ht="16.5" customHeight="1" s="237"/>
    <row r="657" ht="16.5" customHeight="1" s="237"/>
    <row r="658" ht="16.5" customHeight="1" s="237"/>
    <row r="659" ht="16.5" customHeight="1" s="237"/>
    <row r="660" ht="16.5" customHeight="1" s="237"/>
    <row r="661" ht="16.5" customHeight="1" s="237"/>
    <row r="662" ht="16.5" customHeight="1" s="237"/>
    <row r="663" ht="16.5" customHeight="1" s="237"/>
    <row r="664" ht="16.5" customHeight="1" s="237"/>
    <row r="665" ht="16.5" customHeight="1" s="237"/>
    <row r="666" ht="16.5" customHeight="1" s="237"/>
    <row r="667" ht="16.5" customHeight="1" s="237"/>
    <row r="668" ht="16.5" customHeight="1" s="237"/>
    <row r="669" ht="16.5" customHeight="1" s="237"/>
    <row r="670" ht="16.5" customHeight="1" s="237"/>
    <row r="671" ht="16.5" customHeight="1" s="237"/>
    <row r="672" ht="16.5" customHeight="1" s="237"/>
    <row r="673" ht="16.5" customHeight="1" s="237"/>
    <row r="674" ht="16.5" customHeight="1" s="237"/>
    <row r="675" ht="16.5" customHeight="1" s="237"/>
    <row r="676" ht="16.5" customHeight="1" s="237"/>
    <row r="677" ht="16.5" customHeight="1" s="237"/>
    <row r="678" ht="16.5" customHeight="1" s="237"/>
    <row r="679" ht="16.5" customHeight="1" s="237"/>
    <row r="680" ht="16.5" customHeight="1" s="237"/>
    <row r="681" ht="16.5" customHeight="1" s="237"/>
  </sheetData>
  <mergeCells count="2">
    <mergeCell ref="K4:M4"/>
    <mergeCell ref="B5:N5"/>
  </mergeCells>
  <conditionalFormatting sqref="L7:L117">
    <cfRule type="expression" priority="16" dxfId="150">
      <formula>$L7="Over Paid"</formula>
    </cfRule>
    <cfRule type="expression" priority="17" dxfId="149">
      <formula>$L7="Partial Payment"</formula>
    </cfRule>
    <cfRule type="expression" priority="18" dxfId="0">
      <formula>$L7="Not Paid"</formula>
    </cfRule>
    <cfRule type="expression" priority="19" dxfId="64">
      <formula>$L7="Paid"</formula>
    </cfRule>
    <cfRule type="expression" priority="20" dxfId="146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6" min="1" max="1"/>
    <col width="17.7109375" bestFit="1" customWidth="1" style="6" min="2" max="2"/>
    <col width="10.7109375" customWidth="1" style="6" min="3" max="7"/>
    <col width="15.7109375" customWidth="1" style="6" min="8" max="8"/>
    <col width="8.7109375" customWidth="1" style="6" min="9" max="16"/>
    <col hidden="1" width="8.7109375" customWidth="1" style="6" min="17" max="17"/>
    <col width="8.7109375" customWidth="1" style="6" min="18" max="26"/>
    <col width="14.42578125" customWidth="1" style="6" min="27" max="16384"/>
  </cols>
  <sheetData>
    <row r="1" ht="105" customHeight="1" s="237">
      <c r="A1" s="209" t="inlineStr">
        <is>
          <t>Insert Logo Here</t>
        </is>
      </c>
      <c r="F1" s="207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>
        <is>
          <t> </t>
        </is>
      </c>
    </row>
    <row r="2" ht="16.5" customHeight="1" s="237">
      <c r="A2" s="122" t="n"/>
      <c r="B2" s="122" t="n"/>
      <c r="C2" s="122" t="n"/>
      <c r="D2" s="122" t="n"/>
      <c r="E2" s="218" t="inlineStr">
        <is>
          <t>Invoice #:</t>
        </is>
      </c>
      <c r="G2" s="219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37">
      <c r="A3" s="122" t="n"/>
      <c r="B3" s="122" t="n"/>
      <c r="C3" s="122" t="n"/>
      <c r="D3" s="122" t="n"/>
      <c r="E3" s="218" t="inlineStr">
        <is>
          <t>Invoice Date:</t>
        </is>
      </c>
      <c r="G3" s="255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37">
      <c r="A4" s="123" t="inlineStr">
        <is>
          <t>Client:</t>
        </is>
      </c>
      <c r="B4" s="215" t="n"/>
      <c r="D4" s="125" t="n"/>
      <c r="E4" s="126" t="inlineStr">
        <is>
          <t>Claim No.:</t>
        </is>
      </c>
      <c r="F4" s="222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37">
      <c r="A5" s="256" t="inlineStr">
        <is>
          <t>D.O.B:</t>
        </is>
      </c>
      <c r="B5" s="257">
        <f>IF(B4="","",VLOOKUP($B$4,'CLIENT DATA'!$A$2:$S$48,2,FALSE))</f>
        <v/>
      </c>
      <c r="D5" s="125" t="n"/>
      <c r="E5" s="126" t="inlineStr">
        <is>
          <t>D.O.I:</t>
        </is>
      </c>
      <c r="F5" s="257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58">
        <f>3*SUBSTITUTE(Q4,"Miles","")</f>
        <v/>
      </c>
      <c r="R5" s="60" t="n"/>
    </row>
    <row r="6" ht="16.5" customHeight="1" s="237">
      <c r="A6" s="123" t="inlineStr">
        <is>
          <t>Address:</t>
        </is>
      </c>
      <c r="B6" s="222">
        <f>IF(B4="","",VLOOKUP($B$4,'CLIENT DATA'!$A$2:$S$48,3,FALSE))</f>
        <v/>
      </c>
      <c r="D6" s="125" t="n"/>
      <c r="E6" s="126" t="inlineStr">
        <is>
          <t>Insurance:</t>
        </is>
      </c>
      <c r="F6" s="222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37">
      <c r="A7" s="130" t="n"/>
      <c r="B7" s="215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59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37">
      <c r="A8" s="131" t="inlineStr">
        <is>
          <t>P:</t>
        </is>
      </c>
      <c r="B8" s="260">
        <f>IF(B4="","",VLOOKUP($B$4,'CLIENT DATA'!$A$2:$S$48,7,FALSE))</f>
        <v/>
      </c>
      <c r="C8" s="261" t="n"/>
      <c r="D8" s="125" t="n"/>
      <c r="E8" s="126" t="n"/>
      <c r="F8" s="259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37">
      <c r="A9" s="130" t="n"/>
      <c r="B9" s="133" t="n"/>
      <c r="C9" s="213" t="n"/>
      <c r="D9" s="125" t="n"/>
      <c r="E9" s="126" t="inlineStr">
        <is>
          <t>Adjuster:</t>
        </is>
      </c>
      <c r="F9" s="215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37">
      <c r="A10" s="262" t="n"/>
      <c r="B10" s="215" t="n"/>
      <c r="C10" s="213" t="n"/>
      <c r="D10" s="125" t="n"/>
      <c r="E10" s="126" t="inlineStr">
        <is>
          <t>P:</t>
        </is>
      </c>
      <c r="F10" s="260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37">
      <c r="A11" s="123" t="inlineStr">
        <is>
          <t>Codes:</t>
        </is>
      </c>
      <c r="B11" s="127">
        <f>IF(B4="","",VLOOKUP($B$4,'CLIENT DATA'!1:1048576,18,FALSE))</f>
        <v/>
      </c>
      <c r="C11" s="213" t="n"/>
      <c r="D11" s="125" t="n"/>
      <c r="E11" s="126" t="inlineStr">
        <is>
          <t>Ext:</t>
        </is>
      </c>
      <c r="F11" s="215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37">
      <c r="A12" s="263" t="n"/>
      <c r="B12" s="215" t="n"/>
      <c r="C12" s="125" t="n"/>
      <c r="D12" s="125" t="n"/>
      <c r="E12" s="126" t="inlineStr">
        <is>
          <t>F:</t>
        </is>
      </c>
      <c r="F12" s="264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37">
      <c r="A13" s="210" t="inlineStr">
        <is>
          <t>Date</t>
        </is>
      </c>
      <c r="B13" s="210" t="inlineStr">
        <is>
          <t>Destination</t>
        </is>
      </c>
      <c r="C13" s="210" t="inlineStr">
        <is>
          <t xml:space="preserve">Pick Up </t>
        </is>
      </c>
      <c r="D13" s="210" t="inlineStr">
        <is>
          <t>Drop Off</t>
        </is>
      </c>
      <c r="E13" s="210" t="inlineStr">
        <is>
          <t>Wait Time</t>
        </is>
      </c>
      <c r="F13" s="210" t="inlineStr">
        <is>
          <t>Mileage</t>
        </is>
      </c>
      <c r="G13" s="210" t="inlineStr">
        <is>
          <t>Unloaded</t>
        </is>
      </c>
      <c r="H13" s="210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37">
      <c r="C14" s="210" t="inlineStr">
        <is>
          <t>A0130</t>
        </is>
      </c>
      <c r="D14" s="210" t="inlineStr">
        <is>
          <t>A0130</t>
        </is>
      </c>
      <c r="E14" s="210" t="inlineStr">
        <is>
          <t>T2007</t>
        </is>
      </c>
      <c r="F14" s="210">
        <f t="array" ref="F14">_xlfn.IFS(B11="Wheel Chair","S0209",B11="Non-Wheel Chair","S0215",B11="","S0215")</f>
        <v/>
      </c>
      <c r="G14" s="210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37">
      <c r="A15" s="265" t="n"/>
      <c r="B15" s="203" t="n"/>
      <c r="C15" s="139" t="n"/>
      <c r="D15" s="139" t="n"/>
      <c r="E15" s="140" t="n"/>
      <c r="F15" s="140" t="n"/>
      <c r="G15" s="140" t="n"/>
      <c r="H15" s="258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37">
      <c r="C16" s="258" t="n"/>
      <c r="D16" s="258" t="n"/>
      <c r="E16" s="258" t="n"/>
      <c r="F16" s="258" t="n"/>
      <c r="G16" s="258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37">
      <c r="A17" s="265" t="n"/>
      <c r="B17" s="203" t="n"/>
      <c r="C17" s="139" t="n"/>
      <c r="D17" s="139" t="n"/>
      <c r="E17" s="140" t="n"/>
      <c r="F17" s="140" t="n"/>
      <c r="G17" s="140" t="n"/>
      <c r="H17" s="258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37">
      <c r="C18" s="258" t="n"/>
      <c r="D18" s="258" t="n"/>
      <c r="E18" s="258" t="n"/>
      <c r="F18" s="258" t="n"/>
      <c r="G18" s="258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37">
      <c r="A19" s="265" t="n"/>
      <c r="B19" s="203" t="n"/>
      <c r="C19" s="139" t="n"/>
      <c r="D19" s="139" t="n"/>
      <c r="E19" s="140" t="n"/>
      <c r="F19" s="140" t="n"/>
      <c r="G19" s="140" t="n"/>
      <c r="H19" s="258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37">
      <c r="C20" s="258" t="n"/>
      <c r="D20" s="258" t="n"/>
      <c r="E20" s="258" t="n"/>
      <c r="F20" s="258" t="n"/>
      <c r="G20" s="258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37">
      <c r="A21" s="265" t="n"/>
      <c r="B21" s="203" t="n"/>
      <c r="C21" s="139" t="n"/>
      <c r="D21" s="139" t="n"/>
      <c r="E21" s="140" t="n"/>
      <c r="F21" s="140" t="n"/>
      <c r="G21" s="140" t="n"/>
      <c r="H21" s="258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37">
      <c r="C22" s="258" t="n"/>
      <c r="D22" s="258" t="n"/>
      <c r="E22" s="258" t="n"/>
      <c r="F22" s="258" t="n"/>
      <c r="G22" s="258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37">
      <c r="A23" s="265" t="n"/>
      <c r="B23" s="203" t="n"/>
      <c r="C23" s="139" t="n"/>
      <c r="D23" s="139" t="n"/>
      <c r="E23" s="140" t="n"/>
      <c r="F23" s="140" t="n"/>
      <c r="G23" s="140" t="n"/>
      <c r="H23" s="258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37">
      <c r="C24" s="258" t="n"/>
      <c r="D24" s="258" t="n"/>
      <c r="E24" s="258" t="n"/>
      <c r="F24" s="258" t="n"/>
      <c r="G24" s="258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37">
      <c r="A25" s="265" t="n"/>
      <c r="B25" s="203" t="n"/>
      <c r="C25" s="139" t="n"/>
      <c r="D25" s="139" t="n"/>
      <c r="E25" s="140" t="n"/>
      <c r="F25" s="140" t="n"/>
      <c r="G25" s="140" t="n"/>
      <c r="H25" s="258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37">
      <c r="C26" s="258" t="n"/>
      <c r="D26" s="258" t="n"/>
      <c r="E26" s="258" t="n"/>
      <c r="F26" s="258" t="n"/>
      <c r="G26" s="258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37">
      <c r="A27" s="265" t="n"/>
      <c r="B27" s="203" t="n"/>
      <c r="C27" s="139" t="n"/>
      <c r="D27" s="139" t="n"/>
      <c r="E27" s="140" t="n"/>
      <c r="F27" s="140" t="n"/>
      <c r="G27" s="140" t="n"/>
      <c r="H27" s="258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37">
      <c r="C28" s="258" t="n"/>
      <c r="D28" s="258" t="n"/>
      <c r="E28" s="258" t="n"/>
      <c r="F28" s="258" t="n"/>
      <c r="G28" s="258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37">
      <c r="A29" s="265" t="n"/>
      <c r="B29" s="203" t="n"/>
      <c r="C29" s="139" t="n"/>
      <c r="D29" s="139" t="n"/>
      <c r="E29" s="140" t="n"/>
      <c r="F29" s="140" t="n"/>
      <c r="G29" s="140" t="n"/>
      <c r="H29" s="258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37">
      <c r="C30" s="258" t="n"/>
      <c r="D30" s="258" t="n"/>
      <c r="E30" s="258" t="n"/>
      <c r="F30" s="258" t="n"/>
      <c r="G30" s="258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37">
      <c r="A31" s="265" t="n"/>
      <c r="B31" s="203" t="n"/>
      <c r="C31" s="139" t="n"/>
      <c r="D31" s="139" t="n"/>
      <c r="E31" s="140" t="n"/>
      <c r="F31" s="140" t="n"/>
      <c r="G31" s="140" t="n"/>
      <c r="H31" s="258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37">
      <c r="C32" s="258" t="n"/>
      <c r="D32" s="258" t="n"/>
      <c r="E32" s="258" t="n"/>
      <c r="F32" s="258" t="n"/>
      <c r="G32" s="258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37">
      <c r="A33" s="265" t="n"/>
      <c r="B33" s="203" t="n"/>
      <c r="C33" s="139" t="n"/>
      <c r="D33" s="139" t="n"/>
      <c r="E33" s="140" t="n"/>
      <c r="F33" s="140" t="n"/>
      <c r="G33" s="140" t="n"/>
      <c r="H33" s="258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37">
      <c r="C34" s="258" t="n"/>
      <c r="D34" s="258" t="n"/>
      <c r="E34" s="258" t="n"/>
      <c r="F34" s="258" t="n"/>
      <c r="G34" s="258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37">
      <c r="A35" s="265" t="n"/>
      <c r="B35" s="203" t="n"/>
      <c r="C35" s="139" t="n"/>
      <c r="D35" s="139" t="n"/>
      <c r="E35" s="140" t="n"/>
      <c r="F35" s="140" t="n"/>
      <c r="G35" s="140" t="n"/>
      <c r="H35" s="258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37">
      <c r="C36" s="258" t="n"/>
      <c r="D36" s="258" t="n"/>
      <c r="E36" s="258" t="n"/>
      <c r="F36" s="258" t="n"/>
      <c r="G36" s="258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37">
      <c r="A37" s="265" t="n"/>
      <c r="B37" s="203" t="n"/>
      <c r="C37" s="139" t="n"/>
      <c r="D37" s="139" t="n"/>
      <c r="E37" s="140" t="n"/>
      <c r="F37" s="140" t="n"/>
      <c r="G37" s="140" t="n"/>
      <c r="H37" s="258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37">
      <c r="C38" s="258" t="n"/>
      <c r="D38" s="258" t="n"/>
      <c r="E38" s="258" t="n"/>
      <c r="F38" s="258" t="n"/>
      <c r="G38" s="258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37">
      <c r="A39" s="265" t="n"/>
      <c r="B39" s="203" t="n"/>
      <c r="C39" s="139" t="n"/>
      <c r="D39" s="139" t="n"/>
      <c r="E39" s="140" t="n"/>
      <c r="F39" s="140" t="n"/>
      <c r="G39" s="140" t="n"/>
      <c r="H39" s="258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37">
      <c r="C40" s="258" t="n"/>
      <c r="D40" s="258" t="n"/>
      <c r="E40" s="258" t="n"/>
      <c r="F40" s="258" t="n"/>
      <c r="G40" s="258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37">
      <c r="A41" s="265" t="n"/>
      <c r="B41" s="203" t="n"/>
      <c r="C41" s="139" t="n"/>
      <c r="D41" s="139" t="n"/>
      <c r="E41" s="140" t="n"/>
      <c r="F41" s="140" t="n"/>
      <c r="G41" s="140" t="n"/>
      <c r="H41" s="258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37">
      <c r="C42" s="258" t="n"/>
      <c r="D42" s="258" t="n"/>
      <c r="E42" s="258" t="n"/>
      <c r="F42" s="258" t="n"/>
      <c r="G42" s="258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37">
      <c r="A43" s="265" t="n"/>
      <c r="B43" s="203" t="n"/>
      <c r="C43" s="139" t="n"/>
      <c r="D43" s="139" t="n"/>
      <c r="E43" s="140" t="n"/>
      <c r="F43" s="140" t="n"/>
      <c r="G43" s="140" t="n"/>
      <c r="H43" s="258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37">
      <c r="C44" s="258" t="n"/>
      <c r="D44" s="258" t="n"/>
      <c r="E44" s="258" t="n"/>
      <c r="F44" s="258" t="n"/>
      <c r="G44" s="258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37">
      <c r="A45" s="266" t="n"/>
      <c r="B45" s="72" t="n"/>
      <c r="C45" s="72" t="n"/>
      <c r="D45" s="72" t="n"/>
      <c r="E45" s="267" t="n"/>
      <c r="F45" s="267" t="n"/>
      <c r="G45" s="267" t="n"/>
      <c r="H45" s="267">
        <f>SUM(H15:H44)</f>
        <v/>
      </c>
    </row>
  </sheetData>
  <mergeCells count="67">
    <mergeCell ref="B27:B28"/>
    <mergeCell ref="H29:H30"/>
    <mergeCell ref="F5:H5"/>
    <mergeCell ref="B7:C7"/>
    <mergeCell ref="H43:H44"/>
    <mergeCell ref="G2:H2"/>
    <mergeCell ref="B43:B44"/>
    <mergeCell ref="B17:B18"/>
    <mergeCell ref="F8:H8"/>
    <mergeCell ref="A41:A42"/>
    <mergeCell ref="H41:H42"/>
    <mergeCell ref="A1:E1"/>
    <mergeCell ref="H21:H22"/>
    <mergeCell ref="H31:H32"/>
    <mergeCell ref="B29:B30"/>
    <mergeCell ref="B23:B24"/>
    <mergeCell ref="B39:B40"/>
    <mergeCell ref="H39:H40"/>
    <mergeCell ref="A27:A28"/>
    <mergeCell ref="H17:H18"/>
    <mergeCell ref="B13:B14"/>
    <mergeCell ref="A25:A26"/>
    <mergeCell ref="A37:A38"/>
    <mergeCell ref="F9:H9"/>
    <mergeCell ref="G3:H3"/>
    <mergeCell ref="B37:B38"/>
    <mergeCell ref="B15:B16"/>
    <mergeCell ref="B19:B20"/>
    <mergeCell ref="H19:H20"/>
    <mergeCell ref="A21:A22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E3:F3"/>
    <mergeCell ref="H25:H26"/>
    <mergeCell ref="B21:B22"/>
    <mergeCell ref="B4:C4"/>
    <mergeCell ref="B35:B36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37" min="1" max="1"/>
    <col width="16" customWidth="1" style="237" min="2" max="2"/>
    <col width="14.5703125" customWidth="1" style="237" min="3" max="3"/>
    <col width="13.28515625" customWidth="1" style="237" min="4" max="4"/>
    <col width="14.140625" customWidth="1" style="237" min="5" max="5"/>
    <col width="8.7109375" customWidth="1" style="237" min="7" max="16"/>
  </cols>
  <sheetData>
    <row r="1" ht="16.5" customHeight="1" s="237">
      <c r="A1" s="225" t="inlineStr">
        <is>
          <t>Balance Sheet</t>
        </is>
      </c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</row>
    <row r="2" ht="16.5" customHeight="1" s="237">
      <c r="G2" s="6" t="n"/>
      <c r="H2" s="6" t="n"/>
      <c r="I2" s="6" t="n"/>
      <c r="J2" s="6" t="n"/>
      <c r="K2" s="6" t="n"/>
      <c r="L2" s="6" t="n"/>
      <c r="M2" s="6" t="n"/>
      <c r="N2" s="6" t="n"/>
      <c r="O2" s="6" t="n"/>
      <c r="P2" s="6" t="n"/>
    </row>
    <row r="3" ht="16.5" customHeight="1" s="237">
      <c r="A3" s="34" t="n"/>
      <c r="B3" s="36" t="n"/>
      <c r="C3" s="36" t="n"/>
      <c r="D3" s="36" t="n"/>
      <c r="E3" s="36" t="n"/>
      <c r="F3" s="3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</row>
    <row r="4" ht="16.5" customHeight="1" s="237">
      <c r="A4" s="227" t="inlineStr">
        <is>
          <t>Client:</t>
        </is>
      </c>
      <c r="B4" s="227" t="n"/>
      <c r="D4" s="36" t="inlineStr">
        <is>
          <t>Claim No.:</t>
        </is>
      </c>
      <c r="E4" s="229">
        <f>IF(B4="","",VLOOKUP(B4,'CLIENT DATA'!$A$2:$S$149869,9,FALSE))</f>
        <v/>
      </c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</row>
    <row r="5" ht="16.5" customHeight="1" s="237">
      <c r="A5" s="34" t="n"/>
      <c r="B5" s="36" t="n"/>
      <c r="C5" s="36" t="n"/>
      <c r="D5" s="36" t="n"/>
      <c r="E5" s="36" t="n"/>
      <c r="F5" s="3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</row>
    <row r="6" ht="16.5" customHeight="1" s="237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</row>
    <row r="7" ht="16.5" customHeight="1" s="237">
      <c r="A7" s="159" t="n"/>
      <c r="B7" s="268">
        <f>IF($A7="","",VLOOKUP($A7,'INVOICE TRACKER'!$B$7:$N$94244,4,FALSE))</f>
        <v/>
      </c>
      <c r="C7" s="268">
        <f>IF($A7="","",VLOOKUP($A7,'INVOICE TRACKER'!$B$7:$N$94244,5,FALSE))</f>
        <v/>
      </c>
      <c r="D7" s="269">
        <f>IF($A7="","",IF(VLOOKUP($A7,'INVOICE TRACKER'!$B$7:$N$94244,8,FALSE)="","",VLOOKUP($A7,'INVOICE TRACKER'!$B$7:$N$94244,8,FALSE)))</f>
        <v/>
      </c>
      <c r="E7" s="270">
        <f>IF($A7="","",VLOOKUP($A7,'INVOICE TRACKER'!$B$7:$N$94244,6,FALSE))</f>
        <v/>
      </c>
      <c r="F7" s="271">
        <f>IF($A7="","",VLOOKUP($A7,'INVOICE TRACKER'!$B$7:$N$94244,9,FALSE))</f>
        <v/>
      </c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</row>
    <row r="8" ht="16.5" customHeight="1" s="237">
      <c r="A8" s="159" t="n"/>
      <c r="B8" s="268">
        <f>IF($A8="","",VLOOKUP($A8,'INVOICE TRACKER'!$B$7:$N$94244,4,FALSE))</f>
        <v/>
      </c>
      <c r="C8" s="268">
        <f>IF($A8="","",VLOOKUP($A8,'INVOICE TRACKER'!$B$7:$N$94244,5,FALSE))</f>
        <v/>
      </c>
      <c r="D8" s="269">
        <f>IF($A8="","",IF(VLOOKUP($A8,'INVOICE TRACKER'!$B$7:$N$94244,8,FALSE)="","",VLOOKUP($A8,'INVOICE TRACKER'!$B$7:$N$94244,8,FALSE)))</f>
        <v/>
      </c>
      <c r="E8" s="270">
        <f>IF($A8="","",VLOOKUP($A8,'INVOICE TRACKER'!$B$7:$N$94244,6,FALSE))</f>
        <v/>
      </c>
      <c r="F8" s="271">
        <f>IF($A8="","",VLOOKUP($A8,'INVOICE TRACKER'!$B$7:$N$94244,9,FALSE))</f>
        <v/>
      </c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</row>
    <row r="9" ht="16.5" customHeight="1" s="237">
      <c r="A9" s="160" t="n"/>
      <c r="B9" s="268">
        <f>IF($A9="","",VLOOKUP($A9,'INVOICE TRACKER'!$B$7:$N$94244,4,FALSE))</f>
        <v/>
      </c>
      <c r="C9" s="268">
        <f>IF($A9="","",VLOOKUP($A9,'INVOICE TRACKER'!$B$7:$N$94244,5,FALSE))</f>
        <v/>
      </c>
      <c r="D9" s="269">
        <f>IF($A9="","",IF(VLOOKUP($A9,'INVOICE TRACKER'!$B$7:$N$94244,8,FALSE)="","",VLOOKUP($A9,'INVOICE TRACKER'!$B$7:$N$94244,8,FALSE)))</f>
        <v/>
      </c>
      <c r="E9" s="270">
        <f>IF($A9="","",VLOOKUP($A9,'INVOICE TRACKER'!$B$7:$N$94244,6,FALSE))</f>
        <v/>
      </c>
      <c r="F9" s="271">
        <f>IF($A9="","",VLOOKUP($A9,'INVOICE TRACKER'!$B$7:$N$94244,9,FALSE))</f>
        <v/>
      </c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</row>
    <row r="10" ht="16.5" customHeight="1" s="237">
      <c r="A10" s="34" t="n"/>
      <c r="B10" s="268">
        <f>IF($A10="","",VLOOKUP($A10,'INVOICE TRACKER'!$B$7:$N$94244,4,FALSE))</f>
        <v/>
      </c>
      <c r="C10" s="268">
        <f>IF($A10="","",VLOOKUP($A10,'INVOICE TRACKER'!$B$7:$N$94244,5,FALSE))</f>
        <v/>
      </c>
      <c r="D10" s="269">
        <f>IF($A10="","",IF(VLOOKUP($A10,'INVOICE TRACKER'!$B$7:$N$94244,8,FALSE)="","",VLOOKUP($A10,'INVOICE TRACKER'!$B$7:$N$94244,8,FALSE)))</f>
        <v/>
      </c>
      <c r="E10" s="270">
        <f>IF($A10="","",VLOOKUP($A10,'INVOICE TRACKER'!$B$7:$N$94244,6,FALSE))</f>
        <v/>
      </c>
      <c r="F10" s="271">
        <f>IF($A10="","",VLOOKUP($A10,'INVOICE TRACKER'!$B$7:$N$94244,9,FALSE))</f>
        <v/>
      </c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1" ht="16.5" customHeight="1" s="237">
      <c r="A11" s="34" t="n"/>
      <c r="B11" s="268">
        <f>IF($A11="","",VLOOKUP($A11,'INVOICE TRACKER'!$B$7:$N$94244,4,FALSE))</f>
        <v/>
      </c>
      <c r="C11" s="268">
        <f>IF($A11="","",VLOOKUP($A11,'INVOICE TRACKER'!$B$7:$N$94244,5,FALSE))</f>
        <v/>
      </c>
      <c r="D11" s="269">
        <f>IF($A11="","",IF(VLOOKUP($A11,'INVOICE TRACKER'!$B$7:$N$94244,8,FALSE)="","",VLOOKUP($A11,'INVOICE TRACKER'!$B$7:$N$94244,8,FALSE)))</f>
        <v/>
      </c>
      <c r="E11" s="270">
        <f>IF($A11="","",VLOOKUP($A11,'INVOICE TRACKER'!$B$7:$N$94244,6,FALSE))</f>
        <v/>
      </c>
      <c r="F11" s="271">
        <f>IF($A11="","",VLOOKUP($A11,'INVOICE TRACKER'!$B$7:$N$94244,9,FALSE))</f>
        <v/>
      </c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</row>
    <row r="12" ht="16.5" customHeight="1" s="237">
      <c r="A12" s="34" t="n"/>
      <c r="B12" s="268">
        <f>IF($A12="","",VLOOKUP($A12,'INVOICE TRACKER'!$B$7:$N$94244,4,FALSE))</f>
        <v/>
      </c>
      <c r="C12" s="268">
        <f>IF($A12="","",VLOOKUP($A12,'INVOICE TRACKER'!$B$7:$N$94244,5,FALSE))</f>
        <v/>
      </c>
      <c r="D12" s="269">
        <f>IF($A12="","",IF(VLOOKUP($A12,'INVOICE TRACKER'!$B$7:$N$94244,8,FALSE)="","",VLOOKUP($A12,'INVOICE TRACKER'!$B$7:$N$94244,8,FALSE)))</f>
        <v/>
      </c>
      <c r="E12" s="270">
        <f>IF($A12="","",VLOOKUP($A12,'INVOICE TRACKER'!$B$7:$N$94244,6,FALSE))</f>
        <v/>
      </c>
      <c r="F12" s="271">
        <f>IF($A12="","",VLOOKUP($A12,'INVOICE TRACKER'!$B$7:$N$94244,9,FALSE))</f>
        <v/>
      </c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</row>
    <row r="13" ht="16.5" customHeight="1" s="237">
      <c r="A13" s="34" t="n"/>
      <c r="B13" s="268">
        <f>IF($A13="","",VLOOKUP($A13,'INVOICE TRACKER'!$B$7:$N$94244,4,FALSE))</f>
        <v/>
      </c>
      <c r="C13" s="268">
        <f>IF($A13="","",VLOOKUP($A13,'INVOICE TRACKER'!$B$7:$N$94244,5,FALSE))</f>
        <v/>
      </c>
      <c r="D13" s="269">
        <f>IF($A13="","",IF(VLOOKUP($A13,'INVOICE TRACKER'!$B$7:$N$94244,8,FALSE)="","",VLOOKUP($A13,'INVOICE TRACKER'!$B$7:$N$94244,8,FALSE)))</f>
        <v/>
      </c>
      <c r="E13" s="270">
        <f>IF($A13="","",VLOOKUP($A13,'INVOICE TRACKER'!$B$7:$N$94244,6,FALSE))</f>
        <v/>
      </c>
      <c r="F13" s="271">
        <f>IF($A13="","",VLOOKUP($A13,'INVOICE TRACKER'!$B$7:$N$94244,9,FALSE))</f>
        <v/>
      </c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</row>
    <row r="14" ht="16.5" customHeight="1" s="237">
      <c r="A14" s="34" t="n"/>
      <c r="B14" s="268">
        <f>IF($A14="","",VLOOKUP($A14,'INVOICE TRACKER'!$B$7:$N$94244,4,FALSE))</f>
        <v/>
      </c>
      <c r="C14" s="268">
        <f>IF($A14="","",VLOOKUP($A14,'INVOICE TRACKER'!$B$7:$N$94244,5,FALSE))</f>
        <v/>
      </c>
      <c r="D14" s="269">
        <f>IF($A14="","",IF(VLOOKUP($A14,'INVOICE TRACKER'!$B$7:$N$94244,8,FALSE)="","",VLOOKUP($A14,'INVOICE TRACKER'!$B$7:$N$94244,8,FALSE)))</f>
        <v/>
      </c>
      <c r="E14" s="270">
        <f>IF($A14="","",VLOOKUP($A14,'INVOICE TRACKER'!$B$7:$N$94244,6,FALSE))</f>
        <v/>
      </c>
      <c r="F14" s="271">
        <f>IF($A14="","",VLOOKUP($A14,'INVOICE TRACKER'!$B$7:$N$94244,9,FALSE))</f>
        <v/>
      </c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</row>
    <row r="15" ht="16.5" customHeight="1" s="237">
      <c r="A15" s="34" t="n"/>
      <c r="B15" s="268">
        <f>IF($A15="","",VLOOKUP($A15,'INVOICE TRACKER'!$B$7:$N$94244,4,FALSE))</f>
        <v/>
      </c>
      <c r="C15" s="268">
        <f>IF($A15="","",VLOOKUP($A15,'INVOICE TRACKER'!$B$7:$N$94244,5,FALSE))</f>
        <v/>
      </c>
      <c r="D15" s="269">
        <f>IF($A15="","",IF(VLOOKUP($A15,'INVOICE TRACKER'!$B$7:$N$94244,8,FALSE)="","",VLOOKUP($A15,'INVOICE TRACKER'!$B$7:$N$94244,8,FALSE)))</f>
        <v/>
      </c>
      <c r="E15" s="270">
        <f>IF($A15="","",VLOOKUP($A15,'INVOICE TRACKER'!$B$7:$N$94244,6,FALSE))</f>
        <v/>
      </c>
      <c r="F15" s="271">
        <f>IF($A15="","",VLOOKUP($A15,'INVOICE TRACKER'!$B$7:$N$94244,9,FALSE))</f>
        <v/>
      </c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</row>
    <row r="16" ht="16.5" customHeight="1" s="237">
      <c r="A16" s="34" t="n"/>
      <c r="B16" s="268">
        <f>IF($A16="","",VLOOKUP($A16,'INVOICE TRACKER'!$B$7:$N$94244,4,FALSE))</f>
        <v/>
      </c>
      <c r="C16" s="268">
        <f>IF($A16="","",VLOOKUP($A16,'INVOICE TRACKER'!$B$7:$N$94244,5,FALSE))</f>
        <v/>
      </c>
      <c r="D16" s="269">
        <f>IF($A16="","",IF(VLOOKUP($A16,'INVOICE TRACKER'!$B$7:$N$94244,8,FALSE)="","",VLOOKUP($A16,'INVOICE TRACKER'!$B$7:$N$94244,8,FALSE)))</f>
        <v/>
      </c>
      <c r="E16" s="270">
        <f>IF($A16="","",VLOOKUP($A16,'INVOICE TRACKER'!$B$7:$N$94244,6,FALSE))</f>
        <v/>
      </c>
      <c r="F16" s="271">
        <f>IF($A16="","",VLOOKUP($A16,'INVOICE TRACKER'!$B$7:$N$94244,9,FALSE))</f>
        <v/>
      </c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</row>
    <row r="17" ht="16.5" customHeight="1" s="237">
      <c r="A17" s="34" t="n"/>
      <c r="B17" s="268">
        <f>IF($A17="","",VLOOKUP($A17,'INVOICE TRACKER'!$B$7:$N$94244,4,FALSE))</f>
        <v/>
      </c>
      <c r="C17" s="268">
        <f>IF($A17="","",VLOOKUP($A17,'INVOICE TRACKER'!$B$7:$N$94244,5,FALSE))</f>
        <v/>
      </c>
      <c r="D17" s="269">
        <f>IF($A17="","",IF(VLOOKUP($A17,'INVOICE TRACKER'!$B$7:$N$94244,8,FALSE)="","",VLOOKUP($A17,'INVOICE TRACKER'!$B$7:$N$94244,8,FALSE)))</f>
        <v/>
      </c>
      <c r="E17" s="270">
        <f>IF($A17="","",VLOOKUP($A17,'INVOICE TRACKER'!$B$7:$N$94244,6,FALSE))</f>
        <v/>
      </c>
      <c r="F17" s="271">
        <f>IF($A17="","",VLOOKUP($A17,'INVOICE TRACKER'!$B$7:$N$94244,9,FALSE))</f>
        <v/>
      </c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8" ht="16.5" customHeight="1" s="237">
      <c r="A18" s="34" t="n"/>
      <c r="B18" s="268">
        <f>IF($A18="","",VLOOKUP($A18,'INVOICE TRACKER'!$B$7:$N$94244,4,FALSE))</f>
        <v/>
      </c>
      <c r="C18" s="268">
        <f>IF($A18="","",VLOOKUP($A18,'INVOICE TRACKER'!$B$7:$N$94244,5,FALSE))</f>
        <v/>
      </c>
      <c r="D18" s="269">
        <f>IF($A18="","",IF(VLOOKUP($A18,'INVOICE TRACKER'!$B$7:$N$94244,8,FALSE)="","",VLOOKUP($A18,'INVOICE TRACKER'!$B$7:$N$94244,8,FALSE)))</f>
        <v/>
      </c>
      <c r="E18" s="270">
        <f>IF($A18="","",VLOOKUP($A18,'INVOICE TRACKER'!$B$7:$N$94244,6,FALSE))</f>
        <v/>
      </c>
      <c r="F18" s="271">
        <f>IF($A18="","",VLOOKUP($A18,'INVOICE TRACKER'!$B$7:$N$94244,9,FALSE))</f>
        <v/>
      </c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</row>
    <row r="19" ht="16.5" customHeight="1" s="237">
      <c r="A19" s="34" t="n"/>
      <c r="B19" s="268">
        <f>IF($A19="","",VLOOKUP($A19,'INVOICE TRACKER'!$B$7:$N$94244,4,FALSE))</f>
        <v/>
      </c>
      <c r="C19" s="268">
        <f>IF($A19="","",VLOOKUP($A19,'INVOICE TRACKER'!$B$7:$N$94244,5,FALSE))</f>
        <v/>
      </c>
      <c r="D19" s="269">
        <f>IF($A19="","",IF(VLOOKUP($A19,'INVOICE TRACKER'!$B$7:$N$94244,8,FALSE)="","",VLOOKUP($A19,'INVOICE TRACKER'!$B$7:$N$94244,8,FALSE)))</f>
        <v/>
      </c>
      <c r="E19" s="270">
        <f>IF($A19="","",VLOOKUP($A19,'INVOICE TRACKER'!$B$7:$N$94244,6,FALSE))</f>
        <v/>
      </c>
      <c r="F19" s="271">
        <f>IF($A19="","",VLOOKUP($A19,'INVOICE TRACKER'!$B$7:$N$94244,9,FALSE))</f>
        <v/>
      </c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</row>
    <row r="20" ht="16.5" customHeight="1" s="237">
      <c r="A20" s="34" t="n"/>
      <c r="B20" s="268">
        <f>IF($A20="","",VLOOKUP($A20,'INVOICE TRACKER'!$B$7:$N$94244,4,FALSE))</f>
        <v/>
      </c>
      <c r="C20" s="268">
        <f>IF($A20="","",VLOOKUP($A20,'INVOICE TRACKER'!$B$7:$N$94244,5,FALSE))</f>
        <v/>
      </c>
      <c r="D20" s="269">
        <f>IF($A20="","",IF(VLOOKUP($A20,'INVOICE TRACKER'!$B$7:$N$94244,8,FALSE)="","",VLOOKUP($A20,'INVOICE TRACKER'!$B$7:$N$94244,8,FALSE)))</f>
        <v/>
      </c>
      <c r="E20" s="270">
        <f>IF($A20="","",VLOOKUP($A20,'INVOICE TRACKER'!$B$7:$N$94244,6,FALSE))</f>
        <v/>
      </c>
      <c r="F20" s="271">
        <f>IF($A20="","",VLOOKUP($A20,'INVOICE TRACKER'!$B$7:$N$94244,9,FALSE))</f>
        <v/>
      </c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</row>
    <row r="21" ht="16.5" customHeight="1" s="237">
      <c r="A21" s="34" t="n"/>
      <c r="B21" s="268">
        <f>IF($A21="","",VLOOKUP($A21,'INVOICE TRACKER'!$B$7:$N$94244,4,FALSE))</f>
        <v/>
      </c>
      <c r="C21" s="268">
        <f>IF($A21="","",VLOOKUP($A21,'INVOICE TRACKER'!$B$7:$N$94244,5,FALSE))</f>
        <v/>
      </c>
      <c r="D21" s="269">
        <f>IF($A21="","",IF(VLOOKUP($A21,'INVOICE TRACKER'!$B$7:$N$94244,8,FALSE)="","",VLOOKUP($A21,'INVOICE TRACKER'!$B$7:$N$94244,8,FALSE)))</f>
        <v/>
      </c>
      <c r="E21" s="270">
        <f>IF($A21="","",VLOOKUP($A21,'INVOICE TRACKER'!$B$7:$N$94244,6,FALSE))</f>
        <v/>
      </c>
      <c r="F21" s="271">
        <f>IF($A21="","",VLOOKUP($A21,'INVOICE TRACKER'!$B$7:$N$94244,9,FALSE))</f>
        <v/>
      </c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</row>
    <row r="22" ht="16.5" customHeight="1" s="237">
      <c r="A22" s="34" t="n"/>
      <c r="B22" s="268">
        <f>IF($A22="","",VLOOKUP($A22,'INVOICE TRACKER'!$B$7:$N$94244,4,FALSE))</f>
        <v/>
      </c>
      <c r="C22" s="268">
        <f>IF($A22="","",VLOOKUP($A22,'INVOICE TRACKER'!$B$7:$N$94244,5,FALSE))</f>
        <v/>
      </c>
      <c r="D22" s="269">
        <f>IF($A22="","",IF(VLOOKUP($A22,'INVOICE TRACKER'!$B$7:$N$94244,8,FALSE)="","",VLOOKUP($A22,'INVOICE TRACKER'!$B$7:$N$94244,8,FALSE)))</f>
        <v/>
      </c>
      <c r="E22" s="270">
        <f>IF($A22="","",VLOOKUP($A22,'INVOICE TRACKER'!$B$7:$N$94244,6,FALSE))</f>
        <v/>
      </c>
      <c r="F22" s="271">
        <f>IF($A22="","",VLOOKUP($A22,'INVOICE TRACKER'!$B$7:$N$94244,9,FALSE))</f>
        <v/>
      </c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</row>
    <row r="23" ht="16.5" customHeight="1" s="237">
      <c r="A23" s="34" t="n"/>
      <c r="B23" s="268">
        <f>IF($A23="","",VLOOKUP($A23,'INVOICE TRACKER'!$B$7:$N$94244,4,FALSE))</f>
        <v/>
      </c>
      <c r="C23" s="268">
        <f>IF($A23="","",VLOOKUP($A23,'INVOICE TRACKER'!$B$7:$N$94244,5,FALSE))</f>
        <v/>
      </c>
      <c r="D23" s="269">
        <f>IF($A23="","",IF(VLOOKUP($A23,'INVOICE TRACKER'!$B$7:$N$94244,8,FALSE)="","",VLOOKUP($A23,'INVOICE TRACKER'!$B$7:$N$94244,8,FALSE)))</f>
        <v/>
      </c>
      <c r="E23" s="270">
        <f>IF($A23="","",VLOOKUP($A23,'INVOICE TRACKER'!$B$7:$N$94244,6,FALSE))</f>
        <v/>
      </c>
      <c r="F23" s="271">
        <f>IF($A23="","",VLOOKUP($A23,'INVOICE TRACKER'!$B$7:$N$94244,9,FALSE))</f>
        <v/>
      </c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</row>
    <row r="24" ht="16.5" customHeight="1" s="237">
      <c r="A24" s="34" t="n"/>
      <c r="B24" s="268">
        <f>IF($A24="","",VLOOKUP($A24,'INVOICE TRACKER'!$B$7:$N$94244,4,FALSE))</f>
        <v/>
      </c>
      <c r="C24" s="268">
        <f>IF($A24="","",VLOOKUP($A24,'INVOICE TRACKER'!$B$7:$N$94244,5,FALSE))</f>
        <v/>
      </c>
      <c r="D24" s="269">
        <f>IF($A24="","",IF(VLOOKUP($A24,'INVOICE TRACKER'!$B$7:$N$94244,8,FALSE)="","",VLOOKUP($A24,'INVOICE TRACKER'!$B$7:$N$94244,8,FALSE)))</f>
        <v/>
      </c>
      <c r="E24" s="270">
        <f>IF($A24="","",VLOOKUP($A24,'INVOICE TRACKER'!$B$7:$N$94244,6,FALSE))</f>
        <v/>
      </c>
      <c r="F24" s="271">
        <f>IF($A24="","",VLOOKUP($A24,'INVOICE TRACKER'!$B$7:$N$94244,9,FALSE))</f>
        <v/>
      </c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 ht="16.5" customHeight="1" s="237">
      <c r="A25" s="34" t="n"/>
      <c r="B25" s="268">
        <f>IF($A25="","",VLOOKUP($A25,'INVOICE TRACKER'!$B$7:$N$94244,4,FALSE))</f>
        <v/>
      </c>
      <c r="C25" s="268">
        <f>IF($A25="","",VLOOKUP($A25,'INVOICE TRACKER'!$B$7:$N$94244,5,FALSE))</f>
        <v/>
      </c>
      <c r="D25" s="269">
        <f>IF($A25="","",IF(VLOOKUP($A25,'INVOICE TRACKER'!$B$7:$N$94244,8,FALSE)="","",VLOOKUP($A25,'INVOICE TRACKER'!$B$7:$N$94244,8,FALSE)))</f>
        <v/>
      </c>
      <c r="E25" s="270">
        <f>IF($A25="","",VLOOKUP($A25,'INVOICE TRACKER'!$B$7:$N$94244,6,FALSE))</f>
        <v/>
      </c>
      <c r="F25" s="271">
        <f>IF($A25="","",VLOOKUP($A25,'INVOICE TRACKER'!$B$7:$N$94244,9,FALSE))</f>
        <v/>
      </c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 ht="16.5" customHeight="1" s="237">
      <c r="A26" s="34" t="n"/>
      <c r="B26" s="268">
        <f>IF($A26="","",VLOOKUP($A26,'INVOICE TRACKER'!$B$7:$N$94244,4,FALSE))</f>
        <v/>
      </c>
      <c r="C26" s="268">
        <f>IF($A26="","",VLOOKUP($A26,'INVOICE TRACKER'!$B$7:$N$94244,5,FALSE))</f>
        <v/>
      </c>
      <c r="D26" s="269">
        <f>IF($A26="","",IF(VLOOKUP($A26,'INVOICE TRACKER'!$B$7:$N$94244,8,FALSE)="","",VLOOKUP($A26,'INVOICE TRACKER'!$B$7:$N$94244,8,FALSE)))</f>
        <v/>
      </c>
      <c r="E26" s="270">
        <f>IF($A26="","",VLOOKUP($A26,'INVOICE TRACKER'!$B$7:$N$94244,6,FALSE))</f>
        <v/>
      </c>
      <c r="F26" s="271">
        <f>IF($A26="","",VLOOKUP($A26,'INVOICE TRACKER'!$B$7:$N$94244,9,FALSE))</f>
        <v/>
      </c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  <row r="27" ht="16.5" customHeight="1" s="237">
      <c r="A27" s="34" t="n"/>
      <c r="B27" s="268">
        <f>IF($A27="","",VLOOKUP($A27,'INVOICE TRACKER'!$B$7:$N$94244,4,FALSE))</f>
        <v/>
      </c>
      <c r="C27" s="268">
        <f>IF($A27="","",VLOOKUP($A27,'INVOICE TRACKER'!$B$7:$N$94244,5,FALSE))</f>
        <v/>
      </c>
      <c r="D27" s="269">
        <f>IF($A27="","",IF(VLOOKUP($A27,'INVOICE TRACKER'!$B$7:$N$94244,8,FALSE)="","",VLOOKUP($A27,'INVOICE TRACKER'!$B$7:$N$94244,8,FALSE)))</f>
        <v/>
      </c>
      <c r="E27" s="270">
        <f>IF($A27="","",VLOOKUP($A27,'INVOICE TRACKER'!$B$7:$N$94244,6,FALSE))</f>
        <v/>
      </c>
      <c r="F27" s="271">
        <f>IF($A27="","",VLOOKUP($A27,'INVOICE TRACKER'!$B$7:$N$94244,9,FALSE))</f>
        <v/>
      </c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</row>
    <row r="28" ht="16.5" customHeight="1" s="237">
      <c r="A28" s="34" t="n"/>
      <c r="B28" s="268">
        <f>IF($A28="","",VLOOKUP($A28,'INVOICE TRACKER'!$B$7:$N$94244,4,FALSE))</f>
        <v/>
      </c>
      <c r="C28" s="268">
        <f>IF($A28="","",VLOOKUP($A28,'INVOICE TRACKER'!$B$7:$N$94244,5,FALSE))</f>
        <v/>
      </c>
      <c r="D28" s="269">
        <f>IF($A28="","",IF(VLOOKUP($A28,'INVOICE TRACKER'!$B$7:$N$94244,8,FALSE)="","",VLOOKUP($A28,'INVOICE TRACKER'!$B$7:$N$94244,8,FALSE)))</f>
        <v/>
      </c>
      <c r="E28" s="270">
        <f>IF($A28="","",VLOOKUP($A28,'INVOICE TRACKER'!$B$7:$N$94244,6,FALSE))</f>
        <v/>
      </c>
      <c r="F28" s="271">
        <f>IF($A28="","",VLOOKUP($A28,'INVOICE TRACKER'!$B$7:$N$94244,9,FALSE))</f>
        <v/>
      </c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</row>
    <row r="29" ht="16.5" customHeight="1" s="237">
      <c r="A29" s="34" t="n"/>
      <c r="B29" s="268">
        <f>IF($A29="","",VLOOKUP($A29,'INVOICE TRACKER'!$B$7:$N$94244,4,FALSE))</f>
        <v/>
      </c>
      <c r="C29" s="268">
        <f>IF($A29="","",VLOOKUP($A29,'INVOICE TRACKER'!$B$7:$N$94244,5,FALSE))</f>
        <v/>
      </c>
      <c r="D29" s="269">
        <f>IF($A29="","",IF(VLOOKUP($A29,'INVOICE TRACKER'!$B$7:$N$94244,8,FALSE)="","",VLOOKUP($A29,'INVOICE TRACKER'!$B$7:$N$94244,8,FALSE)))</f>
        <v/>
      </c>
      <c r="E29" s="270">
        <f>IF($A29="","",VLOOKUP($A29,'INVOICE TRACKER'!$B$7:$N$94244,6,FALSE))</f>
        <v/>
      </c>
      <c r="F29" s="271">
        <f>IF($A29="","",VLOOKUP($A29,'INVOICE TRACKER'!$B$7:$N$94244,9,FALSE))</f>
        <v/>
      </c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</row>
    <row r="30" ht="16.5" customHeight="1" s="237">
      <c r="A30" s="34" t="n"/>
      <c r="B30" s="268">
        <f>IF($A30="","",VLOOKUP($A30,'INVOICE TRACKER'!$B$7:$N$94244,4,FALSE))</f>
        <v/>
      </c>
      <c r="C30" s="268">
        <f>IF($A30="","",VLOOKUP($A30,'INVOICE TRACKER'!$B$7:$N$94244,5,FALSE))</f>
        <v/>
      </c>
      <c r="D30" s="269">
        <f>IF($A30="","",IF(VLOOKUP($A30,'INVOICE TRACKER'!$B$7:$N$94244,8,FALSE)="","",VLOOKUP($A30,'INVOICE TRACKER'!$B$7:$N$94244,8,FALSE)))</f>
        <v/>
      </c>
      <c r="E30" s="270">
        <f>IF($A30="","",VLOOKUP($A30,'INVOICE TRACKER'!$B$7:$N$94244,6,FALSE))</f>
        <v/>
      </c>
      <c r="F30" s="271">
        <f>IF($A30="","",VLOOKUP($A30,'INVOICE TRACKER'!$B$7:$N$94244,9,FALSE))</f>
        <v/>
      </c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</row>
    <row r="31" ht="16.5" customHeight="1" s="237">
      <c r="A31" s="34" t="n"/>
      <c r="B31" s="268">
        <f>IF($A31="","",VLOOKUP($A31,'INVOICE TRACKER'!$B$7:$N$94244,4,FALSE))</f>
        <v/>
      </c>
      <c r="C31" s="268">
        <f>IF($A31="","",VLOOKUP($A31,'INVOICE TRACKER'!$B$7:$N$94244,5,FALSE))</f>
        <v/>
      </c>
      <c r="D31" s="269">
        <f>IF($A31="","",IF(VLOOKUP($A31,'INVOICE TRACKER'!$B$7:$N$94244,8,FALSE)="","",VLOOKUP($A31,'INVOICE TRACKER'!$B$7:$N$94244,8,FALSE)))</f>
        <v/>
      </c>
      <c r="E31" s="270">
        <f>IF($A31="","",VLOOKUP($A31,'INVOICE TRACKER'!$B$7:$N$94244,6,FALSE))</f>
        <v/>
      </c>
      <c r="F31" s="271">
        <f>IF($A31="","",VLOOKUP($A31,'INVOICE TRACKER'!$B$7:$N$94244,9,FALSE))</f>
        <v/>
      </c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</row>
    <row r="32" ht="16.5" customHeight="1" s="237">
      <c r="A32" s="34" t="n"/>
      <c r="B32" s="268">
        <f>IF($A32="","",VLOOKUP($A32,'INVOICE TRACKER'!$B$7:$N$94244,4,FALSE))</f>
        <v/>
      </c>
      <c r="C32" s="268">
        <f>IF($A32="","",VLOOKUP($A32,'INVOICE TRACKER'!$B$7:$N$94244,5,FALSE))</f>
        <v/>
      </c>
      <c r="D32" s="269">
        <f>IF($A32="","",IF(VLOOKUP($A32,'INVOICE TRACKER'!$B$7:$N$94244,8,FALSE)="","",VLOOKUP($A32,'INVOICE TRACKER'!$B$7:$N$94244,8,FALSE)))</f>
        <v/>
      </c>
      <c r="E32" s="270">
        <f>IF($A32="","",VLOOKUP($A32,'INVOICE TRACKER'!$B$7:$N$94244,6,FALSE))</f>
        <v/>
      </c>
      <c r="F32" s="271">
        <f>IF($A32="","",VLOOKUP($A32,'INVOICE TRACKER'!$B$7:$N$94244,9,FALSE))</f>
        <v/>
      </c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</row>
    <row r="33" ht="16.5" customHeight="1" s="237">
      <c r="B33" s="268">
        <f>IF($A33="","",VLOOKUP($A33,'INVOICE TRACKER'!$B$7:$N$94244,4,FALSE))</f>
        <v/>
      </c>
      <c r="C33" s="268">
        <f>IF($A33="","",VLOOKUP($A33,'INVOICE TRACKER'!$B$7:$N$94244,5,FALSE))</f>
        <v/>
      </c>
      <c r="D33" s="269">
        <f>IF($A33="","",IF(VLOOKUP($A33,'INVOICE TRACKER'!$B$7:$N$94244,8,FALSE)="","",VLOOKUP($A33,'INVOICE TRACKER'!$B$7:$N$94244,8,FALSE)))</f>
        <v/>
      </c>
      <c r="E33" s="270">
        <f>IF($A33="","",VLOOKUP($A33,'INVOICE TRACKER'!$B$7:$N$94244,6,FALSE))</f>
        <v/>
      </c>
      <c r="F33" s="271">
        <f>IF($A33="","",VLOOKUP($A33,'INVOICE TRACKER'!$B$7:$N$94244,9,FALSE))</f>
        <v/>
      </c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</row>
    <row r="34" ht="16.5" customHeight="1" s="237">
      <c r="B34" s="268">
        <f>IF($A34="","",VLOOKUP($A34,'INVOICE TRACKER'!$B$7:$N$94244,4,FALSE))</f>
        <v/>
      </c>
      <c r="C34" s="268">
        <f>IF($A34="","",VLOOKUP($A34,'INVOICE TRACKER'!$B$7:$N$94244,5,FALSE))</f>
        <v/>
      </c>
      <c r="D34" s="269">
        <f>IF($A34="","",IF(VLOOKUP($A34,'INVOICE TRACKER'!$B$7:$N$94244,8,FALSE)="","",VLOOKUP($A34,'INVOICE TRACKER'!$B$7:$N$94244,8,FALSE)))</f>
        <v/>
      </c>
      <c r="E34" s="270">
        <f>IF($A34="","",VLOOKUP($A34,'INVOICE TRACKER'!$B$7:$N$94244,6,FALSE))</f>
        <v/>
      </c>
      <c r="F34" s="271">
        <f>IF($A34="","",VLOOKUP($A34,'INVOICE TRACKER'!$B$7:$N$94244,9,FALSE))</f>
        <v/>
      </c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</row>
    <row r="35" ht="16.5" customHeight="1" s="237">
      <c r="A35" s="10" t="n"/>
      <c r="B35" s="268">
        <f>IF($A35="","",VLOOKUP($A35,'INVOICE TRACKER'!$B$7:$N$94244,4,FALSE))</f>
        <v/>
      </c>
      <c r="C35" s="268">
        <f>IF($A35="","",VLOOKUP($A35,'INVOICE TRACKER'!$B$7:$N$94244,5,FALSE))</f>
        <v/>
      </c>
      <c r="D35" s="269">
        <f>IF($A35="","",IF(VLOOKUP($A35,'INVOICE TRACKER'!$B$7:$N$94244,8,FALSE)="","",VLOOKUP($A35,'INVOICE TRACKER'!$B$7:$N$94244,8,FALSE)))</f>
        <v/>
      </c>
      <c r="E35" s="270">
        <f>IF($A35="","",VLOOKUP($A35,'INVOICE TRACKER'!$B$7:$N$94244,6,FALSE))</f>
        <v/>
      </c>
      <c r="F35" s="271">
        <f>IF($A35="","",VLOOKUP($A35,'INVOICE TRACKER'!$B$7:$N$94244,9,FALSE))</f>
        <v/>
      </c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</row>
    <row r="36" ht="16.5" customHeight="1" s="237">
      <c r="A36" s="10" t="n"/>
      <c r="B36" s="268">
        <f>IF($A36="","",VLOOKUP($A36,'INVOICE TRACKER'!$B$7:$N$94244,4,FALSE))</f>
        <v/>
      </c>
      <c r="C36" s="268">
        <f>IF($A36="","",VLOOKUP($A36,'INVOICE TRACKER'!$B$7:$N$94244,5,FALSE))</f>
        <v/>
      </c>
      <c r="D36" s="269">
        <f>IF($A36="","",IF(VLOOKUP($A36,'INVOICE TRACKER'!$B$7:$N$94244,8,FALSE)="","",VLOOKUP($A36,'INVOICE TRACKER'!$B$7:$N$94244,8,FALSE)))</f>
        <v/>
      </c>
      <c r="E36" s="270">
        <f>IF($A36="","",VLOOKUP($A36,'INVOICE TRACKER'!$B$7:$N$94244,6,FALSE))</f>
        <v/>
      </c>
      <c r="F36" s="271">
        <f>IF($A36="","",VLOOKUP($A36,'INVOICE TRACKER'!$B$7:$N$94244,9,FALSE))</f>
        <v/>
      </c>
      <c r="G36" s="6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</row>
    <row r="37" ht="16.5" customHeight="1" s="237">
      <c r="A37" s="10" t="n"/>
      <c r="B37" s="268">
        <f>IF($A37="","",VLOOKUP($A37,'INVOICE TRACKER'!$B$7:$N$94244,4,FALSE))</f>
        <v/>
      </c>
      <c r="C37" s="268">
        <f>IF($A37="","",VLOOKUP($A37,'INVOICE TRACKER'!$B$7:$N$94244,5,FALSE))</f>
        <v/>
      </c>
      <c r="D37" s="269">
        <f>IF($A37="","",IF(VLOOKUP($A37,'INVOICE TRACKER'!$B$7:$N$94244,8,FALSE)="","",VLOOKUP($A37,'INVOICE TRACKER'!$B$7:$N$94244,8,FALSE)))</f>
        <v/>
      </c>
      <c r="E37" s="270">
        <f>IF($A37="","",VLOOKUP($A37,'INVOICE TRACKER'!$B$7:$N$94244,6,FALSE))</f>
        <v/>
      </c>
      <c r="F37" s="271">
        <f>IF($A37="","",VLOOKUP($A37,'INVOICE TRACKER'!$B$7:$N$94244,9,FALSE))</f>
        <v/>
      </c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</row>
    <row r="38" ht="16.5" customHeight="1" s="237">
      <c r="A38" s="10" t="n"/>
      <c r="B38" s="268">
        <f>IF($A38="","",VLOOKUP($A38,'INVOICE TRACKER'!$B$7:$N$94244,4,FALSE))</f>
        <v/>
      </c>
      <c r="C38" s="268">
        <f>IF($A38="","",VLOOKUP($A38,'INVOICE TRACKER'!$B$7:$N$94244,5,FALSE))</f>
        <v/>
      </c>
      <c r="D38" s="269">
        <f>IF($A38="","",IF(VLOOKUP($A38,'INVOICE TRACKER'!$B$7:$N$94244,8,FALSE)="","",VLOOKUP($A38,'INVOICE TRACKER'!$B$7:$N$94244,8,FALSE)))</f>
        <v/>
      </c>
      <c r="E38" s="270">
        <f>IF($A38="","",VLOOKUP($A38,'INVOICE TRACKER'!$B$7:$N$94244,6,FALSE))</f>
        <v/>
      </c>
      <c r="F38" s="271">
        <f>IF($A38="","",VLOOKUP($A38,'INVOICE TRACKER'!$B$7:$N$94244,9,FALSE))</f>
        <v/>
      </c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</row>
    <row r="39" ht="16.5" customHeight="1" s="237">
      <c r="A39" s="10" t="n"/>
      <c r="B39" s="268">
        <f>IF($A39="","",VLOOKUP($A39,'INVOICE TRACKER'!$B$7:$N$94244,4,FALSE))</f>
        <v/>
      </c>
      <c r="C39" s="268">
        <f>IF($A39="","",VLOOKUP($A39,'INVOICE TRACKER'!$B$7:$N$94244,5,FALSE))</f>
        <v/>
      </c>
      <c r="D39" s="269">
        <f>IF($A39="","",IF(VLOOKUP($A39,'INVOICE TRACKER'!$B$7:$N$94244,8,FALSE)="","",VLOOKUP($A39,'INVOICE TRACKER'!$B$7:$N$94244,8,FALSE)))</f>
        <v/>
      </c>
      <c r="E39" s="270">
        <f>IF($A39="","",VLOOKUP($A39,'INVOICE TRACKER'!$B$7:$N$94244,6,FALSE))</f>
        <v/>
      </c>
      <c r="F39" s="271">
        <f>IF($A39="","",VLOOKUP($A39,'INVOICE TRACKER'!$B$7:$N$94244,9,FALSE))</f>
        <v/>
      </c>
      <c r="G39" s="6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</row>
    <row r="40" ht="16.5" customHeight="1" s="237">
      <c r="A40" s="43" t="inlineStr">
        <is>
          <t>__</t>
        </is>
      </c>
      <c r="B40" s="44" t="n"/>
      <c r="C40" s="44" t="n"/>
      <c r="D40" s="45" t="n"/>
      <c r="E40" s="272">
        <f>SUM(E7:E39)</f>
        <v/>
      </c>
      <c r="F40" s="273">
        <f>SUM(F7:F39)</f>
        <v/>
      </c>
      <c r="G40" s="6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</row>
    <row r="41" ht="16.5" customHeight="1" s="237">
      <c r="A41" s="43" t="n"/>
      <c r="B41" s="44" t="n"/>
      <c r="C41" s="44" t="n"/>
      <c r="D41" s="274" t="inlineStr">
        <is>
          <t>Balance</t>
        </is>
      </c>
      <c r="E41" s="275">
        <f>E40-F40</f>
        <v/>
      </c>
      <c r="F41" s="275" t="n"/>
      <c r="G41" s="6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</row>
    <row r="42" ht="16.5" customHeight="1" s="237">
      <c r="A42" s="10" t="n"/>
      <c r="B42" s="13" t="n"/>
      <c r="C42" s="13" t="n"/>
      <c r="D42" s="276" t="n"/>
      <c r="E42" s="243" t="n"/>
      <c r="F42" s="243" t="n"/>
      <c r="G42" s="6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</row>
    <row r="43" ht="16.5" customHeight="1" s="237">
      <c r="A43" s="10" t="n"/>
      <c r="B43" s="13" t="n"/>
      <c r="C43" s="13" t="n"/>
      <c r="D43" s="276" t="n"/>
      <c r="E43" s="243" t="n"/>
      <c r="F43" s="243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</row>
    <row r="44" ht="16.5" customHeight="1" s="237">
      <c r="A44" s="10" t="n"/>
      <c r="B44" s="13" t="n"/>
      <c r="C44" s="13" t="n"/>
      <c r="D44" s="276" t="n"/>
      <c r="E44" s="243" t="n"/>
      <c r="F44" s="243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</row>
    <row r="45" ht="16.5" customHeight="1" s="237">
      <c r="A45" s="10" t="n"/>
      <c r="B45" s="13" t="n"/>
      <c r="C45" s="13" t="n"/>
      <c r="D45" s="276" t="n"/>
      <c r="E45" s="243" t="n"/>
      <c r="F45" s="243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</row>
    <row r="46" ht="16.5" customHeight="1" s="237">
      <c r="A46" s="10" t="n"/>
      <c r="B46" s="13" t="n"/>
      <c r="C46" s="13" t="n"/>
      <c r="D46" s="276" t="n"/>
      <c r="E46" s="243" t="n"/>
      <c r="F46" s="243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</row>
    <row r="47" ht="16.5" customHeight="1" s="237">
      <c r="A47" s="10" t="n"/>
      <c r="B47" s="13" t="n"/>
      <c r="C47" s="13" t="n"/>
      <c r="D47" s="276" t="n"/>
      <c r="E47" s="243" t="n"/>
      <c r="F47" s="243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</row>
    <row r="48" ht="16.5" customHeight="1" s="237">
      <c r="A48" s="10" t="n"/>
      <c r="B48" s="13" t="n"/>
      <c r="C48" s="13" t="n"/>
      <c r="D48" s="276" t="n"/>
      <c r="E48" s="243" t="n"/>
      <c r="F48" s="243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</row>
    <row r="49" ht="16.5" customHeight="1" s="237">
      <c r="A49" s="10" t="n"/>
      <c r="B49" s="13" t="n"/>
      <c r="C49" s="13" t="n"/>
      <c r="D49" s="276" t="n"/>
      <c r="E49" s="243" t="n"/>
      <c r="F49" s="243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</row>
    <row r="50" ht="16.5" customHeight="1" s="237">
      <c r="A50" s="10" t="n"/>
      <c r="B50" s="13" t="n"/>
      <c r="C50" s="13" t="n"/>
      <c r="D50" s="276" t="n"/>
      <c r="E50" s="243" t="n"/>
      <c r="F50" s="243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</row>
    <row r="51" ht="16.5" customHeight="1" s="237">
      <c r="A51" s="10" t="n"/>
      <c r="B51" s="13" t="n"/>
      <c r="C51" s="13" t="n"/>
      <c r="D51" s="276" t="n"/>
      <c r="E51" s="243" t="n"/>
      <c r="F51" s="243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</row>
    <row r="52" ht="16.5" customHeight="1" s="237">
      <c r="A52" s="10" t="n"/>
      <c r="B52" s="13" t="n"/>
      <c r="C52" s="13" t="n"/>
      <c r="D52" s="276" t="n"/>
      <c r="E52" s="243" t="n"/>
      <c r="F52" s="243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</row>
    <row r="53" ht="16.5" customHeight="1" s="237">
      <c r="A53" s="10" t="n"/>
      <c r="B53" s="13" t="n"/>
      <c r="C53" s="13" t="n"/>
      <c r="D53" s="276" t="n"/>
      <c r="E53" s="243" t="n"/>
      <c r="F53" s="243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</row>
    <row r="54" ht="16.5" customHeight="1" s="237">
      <c r="A54" s="10" t="n"/>
      <c r="B54" s="13" t="n"/>
      <c r="C54" s="13" t="n"/>
      <c r="D54" s="276" t="n"/>
      <c r="E54" s="243" t="n"/>
      <c r="F54" s="243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</row>
    <row r="55" ht="16.5" customHeight="1" s="237">
      <c r="A55" s="10" t="n"/>
      <c r="B55" s="13" t="n"/>
      <c r="C55" s="13" t="n"/>
      <c r="D55" s="276" t="n"/>
      <c r="E55" s="243" t="n"/>
      <c r="F55" s="243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</row>
    <row r="56" ht="16.5" customHeight="1" s="237">
      <c r="A56" s="10" t="n"/>
      <c r="B56" s="13" t="n"/>
      <c r="C56" s="13" t="n"/>
      <c r="D56" s="276" t="n"/>
      <c r="E56" s="243" t="n"/>
      <c r="F56" s="243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</row>
    <row r="57" ht="16.5" customHeight="1" s="237">
      <c r="A57" s="10" t="n"/>
      <c r="B57" s="13" t="n"/>
      <c r="C57" s="13" t="n"/>
      <c r="D57" s="276" t="n"/>
      <c r="E57" s="243" t="n"/>
      <c r="F57" s="243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</row>
    <row r="58" ht="16.5" customHeight="1" s="237">
      <c r="A58" s="10" t="n"/>
      <c r="B58" s="13" t="n"/>
      <c r="C58" s="13" t="n"/>
      <c r="D58" s="276" t="n"/>
      <c r="E58" s="243" t="n"/>
      <c r="F58" s="243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</row>
    <row r="59" ht="16.5" customHeight="1" s="237">
      <c r="A59" s="10" t="n"/>
      <c r="B59" s="13" t="n"/>
      <c r="C59" s="13" t="n"/>
      <c r="D59" s="276" t="n"/>
      <c r="E59" s="243" t="n"/>
      <c r="F59" s="243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</row>
    <row r="60" ht="16.5" customHeight="1" s="237">
      <c r="A60" s="10" t="n"/>
      <c r="B60" s="13" t="n"/>
      <c r="C60" s="13" t="n"/>
      <c r="D60" s="276" t="n"/>
      <c r="E60" s="243" t="n"/>
      <c r="F60" s="243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</row>
    <row r="61" ht="16.5" customHeight="1" s="237">
      <c r="A61" s="10" t="n"/>
      <c r="B61" s="13" t="n"/>
      <c r="C61" s="13" t="n"/>
      <c r="D61" s="276" t="n"/>
      <c r="E61" s="243" t="n"/>
      <c r="F61" s="243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</row>
    <row r="62" ht="16.5" customHeight="1" s="237">
      <c r="A62" s="10" t="n"/>
      <c r="B62" s="13" t="n"/>
      <c r="C62" s="13" t="n"/>
      <c r="D62" s="276" t="n"/>
      <c r="E62" s="243" t="n"/>
      <c r="F62" s="243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</row>
    <row r="63" ht="16.5" customHeight="1" s="237">
      <c r="A63" s="10" t="n"/>
      <c r="B63" s="13" t="n"/>
      <c r="C63" s="13" t="n"/>
      <c r="D63" s="276" t="n"/>
      <c r="E63" s="243" t="n"/>
      <c r="F63" s="243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</row>
    <row r="64" ht="16.5" customHeight="1" s="237">
      <c r="A64" s="10" t="n"/>
      <c r="B64" s="13" t="n"/>
      <c r="C64" s="13" t="n"/>
      <c r="D64" s="276" t="n"/>
      <c r="E64" s="243" t="n"/>
      <c r="F64" s="243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</row>
    <row r="65" ht="16.5" customHeight="1" s="237">
      <c r="A65" s="10" t="n"/>
      <c r="B65" s="13" t="n"/>
      <c r="C65" s="13" t="n"/>
      <c r="D65" s="276" t="n"/>
      <c r="E65" s="243" t="n"/>
      <c r="F65" s="243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</row>
    <row r="66" ht="16.5" customHeight="1" s="237">
      <c r="A66" s="10" t="n"/>
      <c r="B66" s="13" t="n"/>
      <c r="C66" s="13" t="n"/>
      <c r="D66" s="276" t="n"/>
      <c r="E66" s="243" t="n"/>
      <c r="F66" s="243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</row>
    <row r="67" ht="16.5" customHeight="1" s="237">
      <c r="A67" s="10" t="n"/>
      <c r="B67" s="13" t="n"/>
      <c r="C67" s="13" t="n"/>
      <c r="D67" s="276" t="n"/>
      <c r="E67" s="243" t="n"/>
      <c r="F67" s="243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</row>
    <row r="68" ht="16.5" customHeight="1" s="237">
      <c r="A68" s="10" t="n"/>
      <c r="B68" s="13" t="n"/>
      <c r="C68" s="13" t="n"/>
      <c r="D68" s="276" t="n"/>
      <c r="E68" s="243" t="n"/>
      <c r="F68" s="243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</row>
    <row r="69" ht="16.5" customHeight="1" s="237">
      <c r="A69" s="10" t="n"/>
      <c r="B69" s="13" t="n"/>
      <c r="C69" s="13" t="n"/>
      <c r="D69" s="276" t="n"/>
      <c r="E69" s="243" t="n"/>
      <c r="F69" s="243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</row>
    <row r="70" ht="16.5" customHeight="1" s="237">
      <c r="A70" s="10" t="n"/>
      <c r="B70" s="13" t="n"/>
      <c r="C70" s="13" t="n"/>
      <c r="D70" s="276" t="n"/>
      <c r="E70" s="243" t="n"/>
      <c r="F70" s="243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</row>
    <row r="71" ht="16.5" customHeight="1" s="237">
      <c r="A71" s="10" t="n"/>
      <c r="B71" s="13" t="n"/>
      <c r="C71" s="13" t="n"/>
      <c r="D71" s="276" t="n"/>
      <c r="E71" s="243" t="n"/>
      <c r="F71" s="243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</row>
    <row r="72" ht="16.5" customHeight="1" s="237">
      <c r="A72" s="10" t="n"/>
      <c r="B72" s="13" t="n"/>
      <c r="C72" s="13" t="n"/>
      <c r="D72" s="276" t="n"/>
      <c r="E72" s="243" t="n"/>
      <c r="F72" s="243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</row>
    <row r="73" ht="16.5" customHeight="1" s="237">
      <c r="A73" s="10" t="n"/>
      <c r="B73" s="13" t="n"/>
      <c r="C73" s="13" t="n"/>
      <c r="D73" s="276" t="n"/>
      <c r="E73" s="243" t="n"/>
      <c r="F73" s="243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</row>
    <row r="74" ht="16.5" customHeight="1" s="237">
      <c r="A74" s="10" t="n"/>
      <c r="B74" s="13" t="n"/>
      <c r="C74" s="13" t="n"/>
      <c r="D74" s="276" t="n"/>
      <c r="E74" s="243" t="n"/>
      <c r="F74" s="243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</row>
    <row r="75" ht="16.5" customHeight="1" s="237">
      <c r="A75" s="10" t="n"/>
      <c r="B75" s="13" t="n"/>
      <c r="C75" s="13" t="n"/>
      <c r="D75" s="276" t="n"/>
      <c r="E75" s="243" t="n"/>
      <c r="F75" s="243" t="n"/>
      <c r="G75" s="6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</row>
    <row r="76" ht="16.5" customHeight="1" s="237">
      <c r="A76" s="10" t="n"/>
      <c r="B76" s="13" t="n"/>
      <c r="C76" s="13" t="n"/>
      <c r="D76" s="276" t="n"/>
      <c r="E76" s="243" t="n"/>
      <c r="F76" s="243" t="n"/>
      <c r="G76" s="6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</row>
    <row r="77" ht="16.5" customHeight="1" s="237">
      <c r="A77" s="10" t="n"/>
      <c r="B77" s="13" t="n"/>
      <c r="C77" s="13" t="n"/>
      <c r="D77" s="276" t="n"/>
      <c r="E77" s="243" t="n"/>
      <c r="F77" s="243" t="n"/>
      <c r="G77" s="6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</row>
    <row r="78" ht="16.5" customHeight="1" s="237">
      <c r="A78" s="10" t="n"/>
      <c r="B78" s="13" t="n"/>
      <c r="C78" s="13" t="n"/>
      <c r="D78" s="276" t="n"/>
      <c r="E78" s="243" t="n"/>
      <c r="F78" s="243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</row>
    <row r="79" ht="16.5" customHeight="1" s="237">
      <c r="A79" s="10" t="n"/>
      <c r="B79" s="13" t="n"/>
      <c r="C79" s="13" t="n"/>
      <c r="D79" s="276" t="n"/>
      <c r="E79" s="243" t="n"/>
      <c r="F79" s="243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</row>
    <row r="80" ht="16.5" customHeight="1" s="237">
      <c r="A80" s="10" t="n"/>
      <c r="B80" s="13" t="n"/>
      <c r="C80" s="13" t="n"/>
      <c r="D80" s="276" t="n"/>
      <c r="E80" s="243" t="n"/>
      <c r="F80" s="243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</row>
    <row r="81" ht="16.5" customHeight="1" s="237">
      <c r="A81" s="10" t="n"/>
      <c r="B81" s="13" t="n"/>
      <c r="C81" s="13" t="n"/>
      <c r="D81" s="276" t="n"/>
      <c r="E81" s="243" t="n"/>
      <c r="F81" s="243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</row>
    <row r="82" ht="16.5" customHeight="1" s="237">
      <c r="A82" s="10" t="n"/>
      <c r="B82" s="13" t="n"/>
      <c r="C82" s="13" t="n"/>
      <c r="D82" s="276" t="n"/>
      <c r="E82" s="243" t="n"/>
      <c r="F82" s="243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</row>
    <row r="83" ht="16.5" customHeight="1" s="237">
      <c r="A83" s="10" t="n"/>
      <c r="B83" s="13" t="n"/>
      <c r="C83" s="13" t="n"/>
      <c r="D83" s="276" t="n"/>
      <c r="E83" s="243" t="n"/>
      <c r="F83" s="243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</row>
    <row r="84" ht="16.5" customHeight="1" s="237">
      <c r="A84" s="10" t="n"/>
      <c r="B84" s="13" t="n"/>
      <c r="C84" s="13" t="n"/>
      <c r="D84" s="276" t="n"/>
      <c r="E84" s="243" t="n"/>
      <c r="F84" s="243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</row>
    <row r="85" ht="16.5" customHeight="1" s="237">
      <c r="A85" s="10" t="n"/>
      <c r="B85" s="13" t="n"/>
      <c r="C85" s="13" t="n"/>
      <c r="D85" s="276" t="n"/>
      <c r="E85" s="243" t="n"/>
      <c r="F85" s="243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</row>
    <row r="86" ht="16.5" customHeight="1" s="237">
      <c r="A86" s="10" t="n"/>
      <c r="B86" s="13" t="n"/>
      <c r="C86" s="13" t="n"/>
      <c r="D86" s="276" t="n"/>
      <c r="E86" s="243" t="n"/>
      <c r="F86" s="243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</row>
    <row r="87" ht="16.5" customHeight="1" s="237">
      <c r="A87" s="10" t="n"/>
      <c r="B87" s="13" t="n"/>
      <c r="C87" s="13" t="n"/>
      <c r="D87" s="276" t="n"/>
      <c r="E87" s="243" t="n"/>
      <c r="F87" s="243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</row>
    <row r="88" ht="16.5" customHeight="1" s="237">
      <c r="A88" s="10" t="n"/>
      <c r="B88" s="13" t="n"/>
      <c r="C88" s="13" t="n"/>
      <c r="D88" s="276" t="n"/>
      <c r="E88" s="243" t="n"/>
      <c r="F88" s="243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</row>
    <row r="89" ht="16.5" customHeight="1" s="237">
      <c r="A89" s="10" t="n"/>
      <c r="B89" s="13" t="n"/>
      <c r="C89" s="13" t="n"/>
      <c r="D89" s="276" t="n"/>
      <c r="E89" s="243" t="n"/>
      <c r="F89" s="243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</row>
    <row r="90" ht="16.5" customHeight="1" s="237">
      <c r="A90" s="10" t="n"/>
      <c r="B90" s="13" t="n"/>
      <c r="C90" s="13" t="n"/>
      <c r="D90" s="276" t="n"/>
      <c r="E90" s="243" t="n"/>
      <c r="F90" s="243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</row>
    <row r="91" ht="16.5" customHeight="1" s="237">
      <c r="A91" s="10" t="n"/>
      <c r="B91" s="13" t="n"/>
      <c r="C91" s="13" t="n"/>
      <c r="D91" s="276" t="n"/>
      <c r="E91" s="243" t="n"/>
      <c r="F91" s="243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</row>
    <row r="92" ht="16.5" customHeight="1" s="237">
      <c r="A92" s="10" t="n"/>
      <c r="B92" s="13" t="n"/>
      <c r="C92" s="13" t="n"/>
      <c r="D92" s="276" t="n"/>
      <c r="E92" s="243" t="n"/>
      <c r="F92" s="243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</row>
    <row r="93" ht="16.5" customHeight="1" s="237">
      <c r="A93" s="10" t="n"/>
      <c r="B93" s="13" t="n"/>
      <c r="C93" s="13" t="n"/>
      <c r="D93" s="276" t="n"/>
      <c r="E93" s="243" t="n"/>
      <c r="F93" s="243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</row>
    <row r="94" ht="16.5" customHeight="1" s="237">
      <c r="A94" s="10" t="n"/>
      <c r="B94" s="13" t="n"/>
      <c r="C94" s="13" t="n"/>
      <c r="D94" s="276" t="n"/>
      <c r="E94" s="243" t="n"/>
      <c r="F94" s="243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</row>
    <row r="95" ht="16.5" customHeight="1" s="237">
      <c r="A95" s="10" t="n"/>
      <c r="B95" s="13" t="n"/>
      <c r="C95" s="13" t="n"/>
      <c r="D95" s="276" t="n"/>
      <c r="E95" s="243" t="n"/>
      <c r="F95" s="243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</row>
    <row r="96" ht="16.5" customHeight="1" s="237">
      <c r="A96" s="10" t="n"/>
      <c r="B96" s="13" t="n"/>
      <c r="C96" s="13" t="n"/>
      <c r="D96" s="276" t="n"/>
      <c r="E96" s="243" t="n"/>
      <c r="F96" s="243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</row>
    <row r="97" ht="16.5" customHeight="1" s="237">
      <c r="A97" s="10" t="n"/>
      <c r="B97" s="13" t="n"/>
      <c r="C97" s="13" t="n"/>
      <c r="D97" s="276" t="n"/>
      <c r="E97" s="243" t="n"/>
      <c r="F97" s="243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</row>
    <row r="98" ht="16.5" customHeight="1" s="237">
      <c r="A98" s="10" t="n"/>
      <c r="B98" s="13" t="n"/>
      <c r="C98" s="13" t="n"/>
      <c r="D98" s="276" t="n"/>
      <c r="E98" s="243" t="n"/>
      <c r="F98" s="243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</row>
    <row r="99" ht="16.5" customHeight="1" s="237">
      <c r="A99" s="10" t="n"/>
      <c r="B99" s="13" t="n"/>
      <c r="C99" s="13" t="n"/>
      <c r="D99" s="276" t="n"/>
      <c r="E99" s="243" t="n"/>
      <c r="F99" s="243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</row>
    <row r="100" ht="16.5" customHeight="1" s="237">
      <c r="A100" s="10" t="n"/>
      <c r="B100" s="13" t="n"/>
      <c r="C100" s="13" t="n"/>
      <c r="D100" s="276" t="n"/>
      <c r="E100" s="243" t="n"/>
      <c r="F100" s="243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</row>
    <row r="101" ht="16.5" customHeight="1" s="237">
      <c r="A101" s="10" t="n"/>
      <c r="B101" s="13" t="n"/>
      <c r="C101" s="13" t="n"/>
      <c r="D101" s="276" t="n"/>
      <c r="E101" s="243" t="n"/>
      <c r="F101" s="243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</row>
    <row r="102" ht="16.5" customHeight="1" s="237">
      <c r="A102" s="10" t="n"/>
      <c r="B102" s="13" t="n"/>
      <c r="C102" s="13" t="n"/>
      <c r="D102" s="276" t="n"/>
      <c r="E102" s="243" t="n"/>
      <c r="F102" s="243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</row>
    <row r="103" ht="16.5" customHeight="1" s="237">
      <c r="A103" s="10" t="n"/>
      <c r="B103" s="13" t="n"/>
      <c r="C103" s="13" t="n"/>
      <c r="D103" s="276" t="n"/>
      <c r="E103" s="243" t="n"/>
      <c r="F103" s="243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</row>
    <row r="104" ht="16.5" customHeight="1" s="237">
      <c r="A104" s="10" t="n"/>
      <c r="B104" s="13" t="n"/>
      <c r="C104" s="13" t="n"/>
      <c r="D104" s="276" t="n"/>
      <c r="E104" s="243" t="n"/>
      <c r="F104" s="243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</row>
    <row r="105" ht="16.5" customHeight="1" s="237">
      <c r="A105" s="10" t="n"/>
      <c r="B105" s="13" t="n"/>
      <c r="C105" s="13" t="n"/>
      <c r="D105" s="276" t="n"/>
      <c r="E105" s="243" t="n"/>
      <c r="F105" s="243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</row>
    <row r="106" ht="16.5" customHeight="1" s="237">
      <c r="A106" s="10" t="n"/>
      <c r="B106" s="13" t="n"/>
      <c r="C106" s="13" t="n"/>
      <c r="D106" s="276" t="n"/>
      <c r="E106" s="243" t="n"/>
      <c r="F106" s="243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</row>
    <row r="107" ht="16.5" customHeight="1" s="237">
      <c r="A107" s="10" t="n"/>
      <c r="B107" s="13" t="n"/>
      <c r="C107" s="13" t="n"/>
      <c r="D107" s="276" t="n"/>
      <c r="E107" s="243" t="n"/>
      <c r="F107" s="243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</row>
    <row r="108" ht="16.5" customHeight="1" s="237">
      <c r="A108" s="10" t="n"/>
      <c r="B108" s="13" t="n"/>
      <c r="C108" s="13" t="n"/>
      <c r="D108" s="276" t="n"/>
      <c r="E108" s="243" t="n"/>
      <c r="F108" s="243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</row>
    <row r="109" ht="16.5" customHeight="1" s="237">
      <c r="A109" s="10" t="n"/>
      <c r="B109" s="13" t="n"/>
      <c r="C109" s="13" t="n"/>
      <c r="D109" s="276" t="n"/>
      <c r="E109" s="243" t="n"/>
      <c r="F109" s="243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</row>
    <row r="110" ht="16.5" customHeight="1" s="237">
      <c r="A110" s="10" t="n"/>
      <c r="B110" s="13" t="n"/>
      <c r="C110" s="13" t="n"/>
      <c r="D110" s="276" t="n"/>
      <c r="E110" s="243" t="n"/>
      <c r="F110" s="243" t="n"/>
      <c r="G110" s="6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</row>
    <row r="111" ht="16.5" customHeight="1" s="237">
      <c r="A111" s="10" t="n"/>
      <c r="B111" s="13" t="n"/>
      <c r="C111" s="13" t="n"/>
      <c r="D111" s="276" t="n"/>
      <c r="E111" s="243" t="n"/>
      <c r="F111" s="243" t="n"/>
      <c r="G111" s="6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</row>
    <row r="112" ht="16.5" customHeight="1" s="237">
      <c r="A112" s="10" t="n"/>
      <c r="B112" s="13" t="n"/>
      <c r="C112" s="13" t="n"/>
      <c r="D112" s="276" t="n"/>
      <c r="E112" s="243" t="n"/>
      <c r="F112" s="243" t="n"/>
      <c r="G112" s="6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</row>
    <row r="113" ht="16.5" customHeight="1" s="237">
      <c r="A113" s="10" t="n"/>
      <c r="B113" s="13" t="n"/>
      <c r="C113" s="13" t="n"/>
      <c r="D113" s="276" t="n"/>
      <c r="E113" s="243" t="n"/>
      <c r="F113" s="243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</row>
    <row r="114" ht="16.5" customHeight="1" s="237">
      <c r="A114" s="10" t="n"/>
      <c r="B114" s="13" t="n"/>
      <c r="C114" s="13" t="n"/>
      <c r="D114" s="276" t="n"/>
      <c r="E114" s="243" t="n"/>
      <c r="F114" s="243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</row>
    <row r="115" ht="16.5" customHeight="1" s="237">
      <c r="A115" s="10" t="n"/>
      <c r="B115" s="13" t="n"/>
      <c r="C115" s="13" t="n"/>
      <c r="D115" s="276" t="n"/>
      <c r="E115" s="243" t="n"/>
      <c r="F115" s="243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</row>
    <row r="116" ht="16.5" customHeight="1" s="237">
      <c r="A116" s="10" t="n"/>
      <c r="B116" s="13" t="n"/>
      <c r="C116" s="13" t="n"/>
      <c r="D116" s="276" t="n"/>
      <c r="E116" s="243" t="n"/>
      <c r="F116" s="243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</row>
    <row r="117" ht="16.5" customHeight="1" s="237">
      <c r="A117" s="10" t="n"/>
      <c r="B117" s="13" t="n"/>
      <c r="C117" s="13" t="n"/>
      <c r="D117" s="276" t="n"/>
      <c r="E117" s="243" t="n"/>
      <c r="F117" s="243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</row>
    <row r="118" ht="16.5" customHeight="1" s="237">
      <c r="A118" s="10" t="n"/>
      <c r="B118" s="13" t="n"/>
      <c r="C118" s="13" t="n"/>
      <c r="D118" s="276" t="n"/>
      <c r="E118" s="243" t="n"/>
      <c r="F118" s="243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</row>
    <row r="119" ht="16.5" customHeight="1" s="237">
      <c r="A119" s="10" t="n"/>
      <c r="B119" s="13" t="n"/>
      <c r="C119" s="13" t="n"/>
      <c r="D119" s="276" t="n"/>
      <c r="E119" s="243" t="n"/>
      <c r="F119" s="243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</row>
    <row r="120" ht="16.5" customHeight="1" s="237">
      <c r="A120" s="10" t="n"/>
      <c r="B120" s="13" t="n"/>
      <c r="C120" s="13" t="n"/>
      <c r="D120" s="276" t="n"/>
      <c r="E120" s="243" t="n"/>
      <c r="F120" s="243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</row>
    <row r="121" ht="16.5" customHeight="1" s="237">
      <c r="A121" s="10" t="n"/>
      <c r="B121" s="13" t="n"/>
      <c r="C121" s="13" t="n"/>
      <c r="D121" s="276" t="n"/>
      <c r="E121" s="243" t="n"/>
      <c r="F121" s="243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</row>
    <row r="122" ht="16.5" customHeight="1" s="237">
      <c r="A122" s="10" t="n"/>
      <c r="B122" s="13" t="n"/>
      <c r="C122" s="13" t="n"/>
      <c r="D122" s="276" t="n"/>
      <c r="E122" s="243" t="n"/>
      <c r="F122" s="243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</row>
    <row r="123" ht="16.5" customHeight="1" s="237">
      <c r="A123" s="10" t="n"/>
      <c r="B123" s="13" t="n"/>
      <c r="C123" s="13" t="n"/>
      <c r="D123" s="276" t="n"/>
      <c r="E123" s="243" t="n"/>
      <c r="F123" s="243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</row>
    <row r="124" ht="16.5" customHeight="1" s="237">
      <c r="A124" s="10" t="n"/>
      <c r="B124" s="13" t="n"/>
      <c r="C124" s="13" t="n"/>
      <c r="D124" s="276" t="n"/>
      <c r="E124" s="243" t="n"/>
      <c r="F124" s="243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</row>
    <row r="125" ht="16.5" customHeight="1" s="237">
      <c r="A125" s="10" t="n"/>
      <c r="B125" s="13" t="n"/>
      <c r="C125" s="13" t="n"/>
      <c r="D125" s="276" t="n"/>
      <c r="E125" s="243" t="n"/>
      <c r="F125" s="243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</row>
    <row r="126" ht="16.5" customHeight="1" s="237">
      <c r="A126" s="10" t="n"/>
      <c r="B126" s="13" t="n"/>
      <c r="C126" s="13" t="n"/>
      <c r="D126" s="276" t="n"/>
      <c r="E126" s="243" t="n"/>
      <c r="F126" s="243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</row>
    <row r="127" ht="16.5" customHeight="1" s="237">
      <c r="A127" s="10" t="n"/>
      <c r="B127" s="13" t="n"/>
      <c r="C127" s="13" t="n"/>
      <c r="D127" s="276" t="n"/>
      <c r="E127" s="243" t="n"/>
      <c r="F127" s="243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</row>
    <row r="128" ht="16.5" customHeight="1" s="237">
      <c r="A128" s="10" t="n"/>
      <c r="B128" s="13" t="n"/>
      <c r="C128" s="13" t="n"/>
      <c r="D128" s="276" t="n"/>
      <c r="E128" s="243" t="n"/>
      <c r="F128" s="243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</row>
    <row r="129" ht="16.5" customHeight="1" s="237">
      <c r="A129" s="10" t="n"/>
      <c r="B129" s="13" t="n"/>
      <c r="C129" s="13" t="n"/>
      <c r="D129" s="276" t="n"/>
      <c r="E129" s="243" t="n"/>
      <c r="F129" s="243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</row>
    <row r="130" ht="16.5" customHeight="1" s="237">
      <c r="A130" s="10" t="n"/>
      <c r="B130" s="13" t="n"/>
      <c r="C130" s="13" t="n"/>
      <c r="D130" s="276" t="n"/>
      <c r="E130" s="243" t="n"/>
      <c r="F130" s="243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</row>
    <row r="131" ht="16.5" customHeight="1" s="237">
      <c r="A131" s="10" t="n"/>
      <c r="B131" s="13" t="n"/>
      <c r="C131" s="13" t="n"/>
      <c r="D131" s="276" t="n"/>
      <c r="E131" s="243" t="n"/>
      <c r="F131" s="243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</row>
    <row r="132" ht="16.5" customHeight="1" s="237">
      <c r="A132" s="10" t="n"/>
      <c r="B132" s="13" t="n"/>
      <c r="C132" s="13" t="n"/>
      <c r="D132" s="276" t="n"/>
      <c r="E132" s="243" t="n"/>
      <c r="F132" s="243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</row>
    <row r="133" ht="16.5" customHeight="1" s="237">
      <c r="A133" s="10" t="n"/>
      <c r="B133" s="13" t="n"/>
      <c r="C133" s="13" t="n"/>
      <c r="D133" s="276" t="n"/>
      <c r="E133" s="243" t="n"/>
      <c r="F133" s="243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</row>
    <row r="134" ht="16.5" customHeight="1" s="237">
      <c r="A134" s="10" t="n"/>
      <c r="B134" s="13" t="n"/>
      <c r="C134" s="13" t="n"/>
      <c r="D134" s="276" t="n"/>
      <c r="E134" s="243" t="n"/>
      <c r="F134" s="243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</row>
    <row r="135" ht="16.5" customHeight="1" s="237">
      <c r="A135" s="10" t="n"/>
      <c r="B135" s="13" t="n"/>
      <c r="C135" s="13" t="n"/>
      <c r="D135" s="276" t="n"/>
      <c r="E135" s="243" t="n"/>
      <c r="F135" s="243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</row>
    <row r="136" ht="16.5" customHeight="1" s="237">
      <c r="A136" s="10" t="n"/>
      <c r="B136" s="13" t="n"/>
      <c r="C136" s="13" t="n"/>
      <c r="D136" s="276" t="n"/>
      <c r="E136" s="243" t="n"/>
      <c r="F136" s="243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</row>
    <row r="137" ht="16.5" customHeight="1" s="237">
      <c r="A137" s="10" t="n"/>
      <c r="B137" s="13" t="n"/>
      <c r="C137" s="13" t="n"/>
      <c r="D137" s="276" t="n"/>
      <c r="E137" s="243" t="n"/>
      <c r="F137" s="243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</row>
    <row r="138" ht="16.5" customHeight="1" s="237">
      <c r="A138" s="10" t="n"/>
      <c r="B138" s="13" t="n"/>
      <c r="C138" s="13" t="n"/>
      <c r="D138" s="276" t="n"/>
      <c r="E138" s="243" t="n"/>
      <c r="F138" s="243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</row>
    <row r="139" ht="16.5" customHeight="1" s="237">
      <c r="A139" s="10" t="n"/>
      <c r="B139" s="13" t="n"/>
      <c r="C139" s="13" t="n"/>
      <c r="D139" s="276" t="n"/>
      <c r="E139" s="243" t="n"/>
      <c r="F139" s="243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</row>
    <row r="140" ht="16.5" customHeight="1" s="237">
      <c r="A140" s="10" t="n"/>
      <c r="B140" s="13" t="n"/>
      <c r="C140" s="13" t="n"/>
      <c r="D140" s="276" t="n"/>
      <c r="E140" s="243" t="n"/>
      <c r="F140" s="243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</row>
    <row r="141" ht="16.5" customHeight="1" s="237">
      <c r="A141" s="10" t="n"/>
      <c r="B141" s="13" t="n"/>
      <c r="C141" s="13" t="n"/>
      <c r="D141" s="276" t="n"/>
      <c r="E141" s="243" t="n"/>
      <c r="F141" s="243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</row>
    <row r="142" ht="16.5" customHeight="1" s="237">
      <c r="A142" s="10" t="n"/>
      <c r="B142" s="13" t="n"/>
      <c r="C142" s="13" t="n"/>
      <c r="D142" s="276" t="n"/>
      <c r="E142" s="243" t="n"/>
      <c r="F142" s="243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</row>
    <row r="143" ht="16.5" customHeight="1" s="237">
      <c r="A143" s="10" t="n"/>
      <c r="B143" s="13" t="n"/>
      <c r="C143" s="13" t="n"/>
      <c r="D143" s="276" t="n"/>
      <c r="E143" s="243" t="n"/>
      <c r="F143" s="243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</row>
    <row r="144" ht="16.5" customHeight="1" s="237">
      <c r="A144" s="10" t="n"/>
      <c r="B144" s="13" t="n"/>
      <c r="C144" s="13" t="n"/>
      <c r="D144" s="276" t="n"/>
      <c r="E144" s="243" t="n"/>
      <c r="F144" s="243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</row>
    <row r="145" ht="16.5" customHeight="1" s="237">
      <c r="A145" s="10" t="n"/>
      <c r="B145" s="13" t="n"/>
      <c r="C145" s="13" t="n"/>
      <c r="D145" s="276" t="n"/>
      <c r="E145" s="243" t="n"/>
      <c r="F145" s="243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</row>
    <row r="146" ht="16.5" customHeight="1" s="237">
      <c r="A146" s="10" t="n"/>
      <c r="B146" s="13" t="n"/>
      <c r="C146" s="13" t="n"/>
      <c r="D146" s="276" t="n"/>
      <c r="E146" s="243" t="n"/>
      <c r="F146" s="243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</row>
    <row r="147" ht="16.5" customHeight="1" s="237">
      <c r="A147" s="10" t="n"/>
      <c r="B147" s="13" t="n"/>
      <c r="C147" s="13" t="n"/>
      <c r="D147" s="276" t="n"/>
      <c r="E147" s="243" t="n"/>
      <c r="F147" s="243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</row>
    <row r="148" ht="16.5" customHeight="1" s="237">
      <c r="A148" s="10" t="n"/>
      <c r="B148" s="13" t="n"/>
      <c r="C148" s="13" t="n"/>
      <c r="D148" s="276" t="n"/>
      <c r="E148" s="243" t="n"/>
      <c r="F148" s="243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</row>
    <row r="149" ht="16.5" customHeight="1" s="237">
      <c r="A149" s="10" t="n"/>
      <c r="B149" s="13" t="n"/>
      <c r="C149" s="13" t="n"/>
      <c r="D149" s="276" t="n"/>
      <c r="E149" s="243" t="n"/>
      <c r="F149" s="243" t="n"/>
      <c r="G149" s="6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</row>
    <row r="150" ht="16.5" customHeight="1" s="237">
      <c r="A150" s="10" t="n"/>
      <c r="B150" s="13" t="n"/>
      <c r="C150" s="13" t="n"/>
      <c r="D150" s="276" t="n"/>
      <c r="E150" s="243" t="n"/>
      <c r="F150" s="243" t="n"/>
      <c r="G150" s="6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</row>
    <row r="151" ht="16.5" customHeight="1" s="237">
      <c r="A151" s="10" t="n"/>
      <c r="B151" s="13" t="n"/>
      <c r="C151" s="13" t="n"/>
      <c r="D151" s="276" t="n"/>
      <c r="E151" s="243" t="n"/>
      <c r="F151" s="243" t="n"/>
      <c r="G151" s="6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</row>
    <row r="152" ht="16.5" customHeight="1" s="237">
      <c r="A152" s="10" t="n"/>
      <c r="B152" s="13" t="n"/>
      <c r="C152" s="13" t="n"/>
      <c r="D152" s="276" t="n"/>
      <c r="E152" s="243" t="n"/>
      <c r="F152" s="243" t="n"/>
      <c r="G152" s="6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</row>
    <row r="153" ht="16.5" customHeight="1" s="237">
      <c r="A153" s="10" t="n"/>
      <c r="B153" s="13" t="n"/>
      <c r="C153" s="13" t="n"/>
      <c r="D153" s="276" t="n"/>
      <c r="E153" s="243" t="n"/>
      <c r="F153" s="243" t="n"/>
      <c r="G153" s="6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</row>
    <row r="154" ht="16.5" customHeight="1" s="237">
      <c r="A154" s="10" t="n"/>
      <c r="B154" s="13" t="n"/>
      <c r="C154" s="13" t="n"/>
      <c r="D154" s="276" t="n"/>
      <c r="E154" s="243" t="n"/>
      <c r="F154" s="243" t="n"/>
      <c r="G154" s="6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</row>
    <row r="155" ht="16.5" customHeight="1" s="237">
      <c r="A155" s="10" t="n"/>
      <c r="B155" s="13" t="n"/>
      <c r="C155" s="13" t="n"/>
      <c r="D155" s="276" t="n"/>
      <c r="E155" s="243" t="n"/>
      <c r="F155" s="243" t="n"/>
      <c r="G155" s="6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</row>
    <row r="156" ht="16.5" customHeight="1" s="237">
      <c r="A156" s="10" t="n"/>
      <c r="B156" s="13" t="n"/>
      <c r="C156" s="13" t="n"/>
      <c r="D156" s="276" t="n"/>
      <c r="E156" s="243" t="n"/>
      <c r="F156" s="243" t="n"/>
      <c r="G156" s="6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</row>
    <row r="157" ht="16.5" customHeight="1" s="237">
      <c r="A157" s="10" t="n"/>
      <c r="B157" s="13" t="n"/>
      <c r="C157" s="13" t="n"/>
      <c r="D157" s="276" t="n"/>
      <c r="E157" s="243" t="n"/>
      <c r="F157" s="243" t="n"/>
      <c r="G157" s="6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</row>
    <row r="158" ht="16.5" customHeight="1" s="237">
      <c r="A158" s="10" t="n"/>
      <c r="B158" s="13" t="n"/>
      <c r="C158" s="13" t="n"/>
      <c r="D158" s="276" t="n"/>
      <c r="E158" s="243" t="n"/>
      <c r="F158" s="243" t="n"/>
      <c r="G158" s="6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</row>
    <row r="159" ht="16.5" customHeight="1" s="237">
      <c r="A159" s="10" t="n"/>
      <c r="B159" s="13" t="n"/>
      <c r="C159" s="13" t="n"/>
      <c r="D159" s="276" t="n"/>
      <c r="E159" s="243" t="n"/>
      <c r="F159" s="243" t="n"/>
      <c r="G159" s="6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</row>
    <row r="160" ht="16.5" customHeight="1" s="237">
      <c r="A160" s="10" t="n"/>
      <c r="B160" s="13" t="n"/>
      <c r="C160" s="13" t="n"/>
      <c r="D160" s="276" t="n"/>
      <c r="E160" s="243" t="n"/>
      <c r="F160" s="243" t="n"/>
      <c r="G160" s="6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</row>
    <row r="161" ht="16.5" customHeight="1" s="237">
      <c r="A161" s="10" t="n"/>
      <c r="B161" s="13" t="n"/>
      <c r="C161" s="13" t="n"/>
      <c r="D161" s="276" t="n"/>
      <c r="E161" s="243" t="n"/>
      <c r="F161" s="243" t="n"/>
      <c r="G161" s="6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</row>
    <row r="162" ht="16.5" customHeight="1" s="237">
      <c r="A162" s="10" t="n"/>
      <c r="B162" s="13" t="n"/>
      <c r="C162" s="13" t="n"/>
      <c r="D162" s="276" t="n"/>
      <c r="E162" s="243" t="n"/>
      <c r="F162" s="243" t="n"/>
      <c r="G162" s="6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</row>
    <row r="163" ht="16.5" customHeight="1" s="237">
      <c r="A163" s="10" t="n"/>
      <c r="B163" s="13" t="n"/>
      <c r="C163" s="13" t="n"/>
      <c r="D163" s="276" t="n"/>
      <c r="E163" s="243" t="n"/>
      <c r="F163" s="243" t="n"/>
      <c r="G163" s="6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</row>
    <row r="164" ht="16.5" customHeight="1" s="237">
      <c r="A164" s="10" t="n"/>
      <c r="B164" s="13" t="n"/>
      <c r="C164" s="13" t="n"/>
      <c r="D164" s="276" t="n"/>
      <c r="E164" s="243" t="n"/>
      <c r="F164" s="243" t="n"/>
      <c r="G164" s="6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</row>
    <row r="165" ht="16.5" customHeight="1" s="237">
      <c r="A165" s="10" t="n"/>
      <c r="B165" s="13" t="n"/>
      <c r="C165" s="13" t="n"/>
      <c r="D165" s="276" t="n"/>
      <c r="E165" s="243" t="n"/>
      <c r="F165" s="243" t="n"/>
      <c r="G165" s="6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</row>
    <row r="166" ht="16.5" customHeight="1" s="237">
      <c r="A166" s="10" t="n"/>
      <c r="B166" s="13" t="n"/>
      <c r="C166" s="13" t="n"/>
      <c r="D166" s="276" t="n"/>
      <c r="E166" s="243" t="n"/>
      <c r="F166" s="243" t="n"/>
      <c r="G166" s="6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</row>
    <row r="167" ht="16.5" customHeight="1" s="237">
      <c r="A167" s="10" t="n"/>
      <c r="B167" s="13" t="n"/>
      <c r="C167" s="13" t="n"/>
      <c r="D167" s="276" t="n"/>
      <c r="E167" s="243" t="n"/>
      <c r="F167" s="243" t="n"/>
      <c r="G167" s="6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</row>
    <row r="168" ht="16.5" customHeight="1" s="237">
      <c r="A168" s="10" t="n"/>
      <c r="B168" s="13" t="n"/>
      <c r="C168" s="13" t="n"/>
      <c r="D168" s="276" t="n"/>
      <c r="E168" s="243" t="n"/>
      <c r="F168" s="243" t="n"/>
      <c r="G168" s="6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</row>
    <row r="169" ht="16.5" customHeight="1" s="237">
      <c r="A169" s="10" t="n"/>
      <c r="B169" s="13" t="n"/>
      <c r="C169" s="13" t="n"/>
      <c r="D169" s="276" t="n"/>
      <c r="E169" s="243" t="n"/>
      <c r="F169" s="243" t="n"/>
      <c r="G169" s="6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</row>
    <row r="170" ht="16.5" customHeight="1" s="237">
      <c r="A170" s="10" t="n"/>
      <c r="B170" s="13" t="n"/>
      <c r="C170" s="13" t="n"/>
      <c r="D170" s="276" t="n"/>
      <c r="E170" s="243" t="n"/>
      <c r="F170" s="243" t="n"/>
      <c r="G170" s="6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</row>
    <row r="171" ht="16.5" customHeight="1" s="237">
      <c r="A171" s="10" t="n"/>
      <c r="B171" s="13" t="n"/>
      <c r="C171" s="13" t="n"/>
      <c r="D171" s="276" t="n"/>
      <c r="E171" s="243" t="n"/>
      <c r="F171" s="243" t="n"/>
      <c r="G171" s="6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</row>
    <row r="172" ht="16.5" customHeight="1" s="237">
      <c r="A172" s="10" t="n"/>
      <c r="B172" s="13" t="n"/>
      <c r="C172" s="13" t="n"/>
      <c r="D172" s="276" t="n"/>
      <c r="E172" s="243" t="n"/>
      <c r="F172" s="243" t="n"/>
      <c r="G172" s="6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</row>
    <row r="173" ht="16.5" customHeight="1" s="237">
      <c r="A173" s="10" t="n"/>
      <c r="B173" s="13" t="n"/>
      <c r="C173" s="13" t="n"/>
      <c r="D173" s="276" t="n"/>
      <c r="E173" s="243" t="n"/>
      <c r="F173" s="243" t="n"/>
      <c r="G173" s="6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</row>
    <row r="174" ht="16.5" customHeight="1" s="237">
      <c r="A174" s="10" t="n"/>
      <c r="B174" s="13" t="n"/>
      <c r="C174" s="13" t="n"/>
      <c r="D174" s="276" t="n"/>
      <c r="E174" s="243" t="n"/>
      <c r="F174" s="243" t="n"/>
      <c r="G174" s="6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</row>
    <row r="175" ht="16.5" customHeight="1" s="237">
      <c r="A175" s="10" t="n"/>
      <c r="B175" s="13" t="n"/>
      <c r="C175" s="13" t="n"/>
      <c r="D175" s="276" t="n"/>
      <c r="E175" s="243" t="n"/>
      <c r="F175" s="243" t="n"/>
      <c r="G175" s="6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</row>
    <row r="176" ht="16.5" customHeight="1" s="237">
      <c r="A176" s="10" t="n"/>
      <c r="B176" s="13" t="n"/>
      <c r="C176" s="13" t="n"/>
      <c r="D176" s="276" t="n"/>
      <c r="E176" s="243" t="n"/>
      <c r="F176" s="243" t="n"/>
      <c r="G176" s="6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</row>
    <row r="177" ht="16.5" customHeight="1" s="237">
      <c r="A177" s="10" t="n"/>
      <c r="B177" s="13" t="n"/>
      <c r="C177" s="13" t="n"/>
      <c r="D177" s="276" t="n"/>
      <c r="E177" s="243" t="n"/>
      <c r="F177" s="243" t="n"/>
      <c r="G177" s="6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</row>
    <row r="178" ht="16.5" customHeight="1" s="237">
      <c r="A178" s="10" t="n"/>
      <c r="B178" s="13" t="n"/>
      <c r="C178" s="13" t="n"/>
      <c r="D178" s="276" t="n"/>
      <c r="E178" s="243" t="n"/>
      <c r="F178" s="243" t="n"/>
      <c r="G178" s="6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</row>
    <row r="179" ht="16.5" customHeight="1" s="237">
      <c r="A179" s="10" t="n"/>
      <c r="B179" s="13" t="n"/>
      <c r="C179" s="13" t="n"/>
      <c r="D179" s="276" t="n"/>
      <c r="E179" s="243" t="n"/>
      <c r="F179" s="243" t="n"/>
      <c r="G179" s="6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</row>
    <row r="180" ht="16.5" customHeight="1" s="237">
      <c r="A180" s="10" t="n"/>
      <c r="B180" s="13" t="n"/>
      <c r="C180" s="13" t="n"/>
      <c r="D180" s="276" t="n"/>
      <c r="E180" s="243" t="n"/>
      <c r="F180" s="243" t="n"/>
      <c r="G180" s="6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</row>
    <row r="181" ht="16.5" customHeight="1" s="237">
      <c r="A181" s="10" t="n"/>
      <c r="B181" s="13" t="n"/>
      <c r="C181" s="13" t="n"/>
      <c r="D181" s="276" t="n"/>
      <c r="E181" s="243" t="n"/>
      <c r="F181" s="243" t="n"/>
      <c r="G181" s="6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</row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37" min="1" max="1"/>
    <col width="11.85546875" bestFit="1" customWidth="1" style="237" min="2" max="2"/>
    <col width="33.140625" bestFit="1" customWidth="1" style="237" min="3" max="3"/>
    <col width="16.28515625" bestFit="1" customWidth="1" style="237" min="4" max="4"/>
    <col width="12.42578125" bestFit="1" customWidth="1" style="237" min="5" max="5"/>
    <col width="16.7109375" bestFit="1" customWidth="1" style="237" min="6" max="6"/>
    <col width="17.7109375" bestFit="1" customWidth="1" style="237" min="7" max="7"/>
    <col width="30.140625" bestFit="1" customWidth="1" style="237" min="8" max="8"/>
    <col width="21.140625" bestFit="1" customWidth="1" style="237" min="9" max="9"/>
    <col width="11.85546875" bestFit="1" customWidth="1" style="237" min="10" max="10"/>
    <col width="26.85546875" bestFit="1" customWidth="1" style="237" min="11" max="11"/>
    <col width="25" bestFit="1" customWidth="1" style="158" min="12" max="12"/>
    <col width="20.140625" bestFit="1" customWidth="1" style="237" min="13" max="13"/>
    <col width="23.28515625" bestFit="1" customWidth="1" style="237" min="14" max="14"/>
    <col width="23.7109375" bestFit="1" customWidth="1" style="120" min="15" max="15"/>
    <col width="20.28515625" bestFit="1" customWidth="1" style="277" min="16" max="16"/>
    <col width="17.28515625" bestFit="1" customWidth="1" style="120" min="17" max="17"/>
    <col width="22.7109375" bestFit="1" customWidth="1" style="237" min="18" max="18"/>
    <col width="21.7109375" bestFit="1" customWidth="1" style="81" min="19" max="19"/>
    <col width="40" bestFit="1" customWidth="1" style="237" min="20" max="20"/>
    <col width="13.42578125" bestFit="1" customWidth="1" style="237" min="21" max="21"/>
  </cols>
  <sheetData>
    <row r="1" ht="16.5" customHeight="1" s="237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78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37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79" t="n"/>
      <c r="K2" s="97" t="n"/>
      <c r="L2" s="280" t="n"/>
      <c r="M2" s="97" t="n"/>
      <c r="N2" s="97" t="n"/>
      <c r="O2" s="31" t="inlineStr">
        <is>
          <t>On record</t>
        </is>
      </c>
      <c r="P2" s="281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37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79" t="n"/>
      <c r="K3" s="97" t="n"/>
      <c r="L3" s="280" t="n"/>
      <c r="M3" s="97" t="n"/>
      <c r="N3" s="97" t="n"/>
      <c r="O3" s="31" t="inlineStr">
        <is>
          <t>On record</t>
        </is>
      </c>
      <c r="P3" s="281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37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79" t="n"/>
      <c r="K4" s="97" t="n"/>
      <c r="L4" s="280" t="n"/>
      <c r="M4" s="97" t="n"/>
      <c r="N4" s="97" t="n"/>
      <c r="O4" s="31" t="inlineStr">
        <is>
          <t>On record</t>
        </is>
      </c>
      <c r="P4" s="281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37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79" t="n"/>
      <c r="K5" s="97" t="n"/>
      <c r="L5" s="280" t="n"/>
      <c r="M5" s="97" t="n"/>
      <c r="N5" s="97" t="n"/>
      <c r="O5" s="31" t="inlineStr">
        <is>
          <t>On record</t>
        </is>
      </c>
      <c r="P5" s="281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37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79" t="n"/>
      <c r="K6" s="97" t="n"/>
      <c r="L6" s="280" t="n"/>
      <c r="M6" s="97" t="n"/>
      <c r="N6" s="97" t="n"/>
      <c r="O6" s="31" t="inlineStr">
        <is>
          <t>On record</t>
        </is>
      </c>
      <c r="P6" s="281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37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79" t="n"/>
      <c r="K7" s="97" t="n"/>
      <c r="L7" s="280" t="n"/>
      <c r="M7" s="97" t="n"/>
      <c r="N7" s="97" t="n"/>
      <c r="O7" s="31" t="inlineStr">
        <is>
          <t>On record</t>
        </is>
      </c>
      <c r="P7" s="281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37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79" t="n"/>
      <c r="K8" s="97" t="n"/>
      <c r="L8" s="280" t="n"/>
      <c r="M8" s="97" t="n"/>
      <c r="N8" s="97" t="n"/>
      <c r="O8" s="31" t="inlineStr">
        <is>
          <t>On record</t>
        </is>
      </c>
      <c r="P8" s="281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37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82" t="n"/>
      <c r="H9" s="30" t="n"/>
      <c r="I9" s="30" t="n"/>
      <c r="J9" s="283" t="n"/>
      <c r="K9" s="30" t="n"/>
      <c r="L9" s="191" t="n"/>
      <c r="M9" s="30" t="n"/>
      <c r="N9" s="192" t="n"/>
      <c r="O9" s="31" t="inlineStr">
        <is>
          <t>On record</t>
        </is>
      </c>
      <c r="P9" s="281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37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79" t="n"/>
      <c r="K10" s="97" t="n"/>
      <c r="L10" s="280" t="n"/>
      <c r="M10" s="97" t="n"/>
      <c r="N10" s="97" t="n"/>
      <c r="O10" s="31" t="inlineStr">
        <is>
          <t>On record</t>
        </is>
      </c>
      <c r="P10" s="281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37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79" t="n"/>
      <c r="K11" s="97" t="n"/>
      <c r="L11" s="280" t="n"/>
      <c r="M11" s="97" t="n"/>
      <c r="N11" s="97" t="n"/>
      <c r="O11" s="31" t="inlineStr">
        <is>
          <t>On record</t>
        </is>
      </c>
      <c r="P11" s="281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37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79" t="n"/>
      <c r="K12" s="97" t="n"/>
      <c r="L12" s="280" t="n"/>
      <c r="M12" s="97" t="n"/>
      <c r="N12" s="97" t="n"/>
      <c r="O12" s="31" t="inlineStr">
        <is>
          <t>On record</t>
        </is>
      </c>
      <c r="P12" s="281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37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82" t="n"/>
      <c r="H13" s="30" t="n"/>
      <c r="I13" s="30" t="n"/>
      <c r="J13" s="283" t="n"/>
      <c r="K13" s="30" t="n"/>
      <c r="L13" s="191" t="n"/>
      <c r="M13" s="30" t="n"/>
      <c r="N13" s="192" t="n"/>
      <c r="O13" s="31" t="inlineStr">
        <is>
          <t>On record</t>
        </is>
      </c>
      <c r="P13" s="281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37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79" t="n"/>
      <c r="K14" s="97" t="n"/>
      <c r="L14" s="280" t="n"/>
      <c r="M14" s="97" t="n"/>
      <c r="N14" s="97" t="n"/>
      <c r="O14" s="31" t="inlineStr">
        <is>
          <t>On record</t>
        </is>
      </c>
      <c r="P14" s="281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37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82" t="n"/>
      <c r="H15" s="30" t="n"/>
      <c r="I15" s="30" t="n"/>
      <c r="J15" s="283" t="n"/>
      <c r="K15" s="30" t="n"/>
      <c r="L15" s="191" t="n"/>
      <c r="M15" s="30" t="n"/>
      <c r="N15" s="192" t="n"/>
      <c r="O15" s="31" t="inlineStr">
        <is>
          <t>On record</t>
        </is>
      </c>
      <c r="P15" s="281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37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79" t="n"/>
      <c r="K16" s="97" t="n"/>
      <c r="L16" s="280" t="n"/>
      <c r="M16" s="97" t="n"/>
      <c r="N16" s="97" t="n"/>
      <c r="O16" s="31" t="inlineStr">
        <is>
          <t>On record</t>
        </is>
      </c>
      <c r="P16" s="281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37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79" t="n"/>
      <c r="K17" s="97" t="n"/>
      <c r="L17" s="280" t="n"/>
      <c r="M17" s="97" t="n"/>
      <c r="N17" s="97" t="n"/>
      <c r="O17" s="31" t="inlineStr">
        <is>
          <t>On record</t>
        </is>
      </c>
      <c r="P17" s="281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37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79" t="n"/>
      <c r="K18" s="97" t="n"/>
      <c r="L18" s="280" t="n"/>
      <c r="M18" s="97" t="n"/>
      <c r="N18" s="97" t="n"/>
      <c r="O18" s="31" t="inlineStr">
        <is>
          <t>On record</t>
        </is>
      </c>
      <c r="P18" s="281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37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79" t="n"/>
      <c r="K19" s="97" t="n"/>
      <c r="L19" s="280" t="n"/>
      <c r="M19" s="97" t="n"/>
      <c r="N19" s="97" t="n"/>
      <c r="O19" s="31" t="inlineStr">
        <is>
          <t>On record</t>
        </is>
      </c>
      <c r="P19" s="28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37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79" t="n"/>
      <c r="K20" s="97" t="n"/>
      <c r="L20" s="280" t="n"/>
      <c r="M20" s="97" t="n"/>
      <c r="N20" s="97" t="n"/>
      <c r="O20" s="31" t="inlineStr">
        <is>
          <t>On record</t>
        </is>
      </c>
      <c r="P20" s="28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37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79" t="n"/>
      <c r="K21" s="97" t="n"/>
      <c r="L21" s="280" t="n"/>
      <c r="M21" s="97" t="n"/>
      <c r="N21" s="97" t="n"/>
      <c r="O21" s="31" t="inlineStr">
        <is>
          <t>On record</t>
        </is>
      </c>
      <c r="P21" s="28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37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79" t="n"/>
      <c r="K22" s="97" t="n"/>
      <c r="L22" s="280" t="n"/>
      <c r="M22" s="97" t="n"/>
      <c r="N22" s="97" t="n"/>
      <c r="O22" s="31" t="inlineStr">
        <is>
          <t>On record</t>
        </is>
      </c>
      <c r="P22" s="28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37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82" t="n"/>
      <c r="H23" s="30" t="n"/>
      <c r="I23" s="30" t="n"/>
      <c r="J23" s="283" t="n"/>
      <c r="K23" s="30" t="n"/>
      <c r="L23" s="191" t="n"/>
      <c r="M23" s="30" t="n"/>
      <c r="N23" s="192" t="n"/>
      <c r="O23" s="31" t="inlineStr">
        <is>
          <t>On record</t>
        </is>
      </c>
      <c r="P23" s="28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37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79" t="n"/>
      <c r="K24" s="97" t="n"/>
      <c r="L24" s="280" t="n"/>
      <c r="M24" s="97" t="n"/>
      <c r="N24" s="97" t="n"/>
      <c r="O24" s="31" t="inlineStr">
        <is>
          <t>On record</t>
        </is>
      </c>
      <c r="P24" s="28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37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79" t="n"/>
      <c r="K25" s="97" t="n"/>
      <c r="L25" s="280" t="n"/>
      <c r="M25" s="97" t="n"/>
      <c r="N25" s="97" t="n"/>
      <c r="O25" s="31" t="inlineStr">
        <is>
          <t>On record</t>
        </is>
      </c>
      <c r="P25" s="281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37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79" t="n"/>
      <c r="K26" s="97" t="n"/>
      <c r="L26" s="280" t="n"/>
      <c r="M26" s="97" t="n"/>
      <c r="N26" s="97" t="n"/>
      <c r="O26" s="31" t="inlineStr">
        <is>
          <t>On record</t>
        </is>
      </c>
      <c r="P26" s="28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37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79" t="n"/>
      <c r="K27" s="97" t="n"/>
      <c r="L27" s="280" t="n"/>
      <c r="M27" s="97" t="n"/>
      <c r="N27" s="97" t="n"/>
      <c r="O27" s="31" t="inlineStr">
        <is>
          <t>On record</t>
        </is>
      </c>
      <c r="P27" s="28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37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79" t="n"/>
      <c r="K28" s="97" t="n"/>
      <c r="L28" s="280" t="n"/>
      <c r="M28" s="97" t="n"/>
      <c r="N28" s="97" t="n"/>
      <c r="O28" s="31" t="inlineStr">
        <is>
          <t>On record</t>
        </is>
      </c>
      <c r="P28" s="28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37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79" t="n"/>
      <c r="K29" s="97" t="n"/>
      <c r="L29" s="280" t="n"/>
      <c r="M29" s="97" t="n"/>
      <c r="N29" s="97" t="n"/>
      <c r="O29" s="31" t="inlineStr">
        <is>
          <t>On record</t>
        </is>
      </c>
      <c r="P29" s="28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37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79" t="n"/>
      <c r="K30" s="97" t="n"/>
      <c r="L30" s="280" t="n"/>
      <c r="M30" s="97" t="n"/>
      <c r="N30" s="97" t="n"/>
      <c r="O30" s="31" t="inlineStr">
        <is>
          <t>On record</t>
        </is>
      </c>
      <c r="P30" s="28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37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79" t="n"/>
      <c r="K31" s="97" t="n"/>
      <c r="L31" s="280" t="n"/>
      <c r="M31" s="97" t="n"/>
      <c r="N31" s="97" t="n"/>
      <c r="O31" s="31" t="inlineStr">
        <is>
          <t>On record</t>
        </is>
      </c>
      <c r="P31" s="28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37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79" t="n"/>
      <c r="K32" s="97" t="n"/>
      <c r="L32" s="280" t="n"/>
      <c r="M32" s="97" t="n"/>
      <c r="N32" s="97" t="n"/>
      <c r="O32" s="31" t="inlineStr">
        <is>
          <t>On record</t>
        </is>
      </c>
      <c r="P32" s="28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37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79" t="n"/>
      <c r="K33" s="97" t="n"/>
      <c r="L33" s="280" t="n"/>
      <c r="M33" s="97" t="n"/>
      <c r="N33" s="97" t="n"/>
      <c r="O33" s="31" t="inlineStr">
        <is>
          <t>On record</t>
        </is>
      </c>
      <c r="P33" s="28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37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79" t="n"/>
      <c r="K34" s="97" t="n"/>
      <c r="L34" s="280" t="n"/>
      <c r="M34" s="97" t="n"/>
      <c r="N34" s="97" t="n"/>
      <c r="O34" s="31" t="inlineStr">
        <is>
          <t>On record</t>
        </is>
      </c>
      <c r="P34" s="28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37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79" t="n"/>
      <c r="K35" s="97" t="n"/>
      <c r="L35" s="280" t="n"/>
      <c r="M35" s="97" t="n"/>
      <c r="N35" s="97" t="n"/>
      <c r="O35" s="31" t="inlineStr">
        <is>
          <t>On record</t>
        </is>
      </c>
      <c r="P35" s="28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37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79" t="n"/>
      <c r="K36" s="97" t="n"/>
      <c r="L36" s="280" t="n"/>
      <c r="M36" s="97" t="n"/>
      <c r="N36" s="97" t="n"/>
      <c r="O36" s="31" t="inlineStr">
        <is>
          <t>On record</t>
        </is>
      </c>
      <c r="P36" s="28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37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79" t="n"/>
      <c r="K37" s="97" t="n"/>
      <c r="L37" s="280" t="n"/>
      <c r="M37" s="97" t="n"/>
      <c r="N37" s="97" t="n"/>
      <c r="O37" s="31" t="inlineStr">
        <is>
          <t>On record</t>
        </is>
      </c>
      <c r="P37" s="28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37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79" t="n"/>
      <c r="K38" s="97" t="n"/>
      <c r="L38" s="280" t="n"/>
      <c r="M38" s="97" t="n"/>
      <c r="N38" s="97" t="n"/>
      <c r="O38" s="31" t="inlineStr">
        <is>
          <t>On record</t>
        </is>
      </c>
      <c r="P38" s="281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37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79" t="n"/>
      <c r="K39" s="97" t="n"/>
      <c r="L39" s="280" t="n"/>
      <c r="M39" s="97" t="n"/>
      <c r="N39" s="97" t="n"/>
      <c r="O39" s="31" t="inlineStr">
        <is>
          <t>On record</t>
        </is>
      </c>
      <c r="P39" s="281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37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79" t="n"/>
      <c r="K40" s="97" t="n"/>
      <c r="L40" s="280" t="n"/>
      <c r="M40" s="97" t="n"/>
      <c r="N40" s="97" t="n"/>
      <c r="O40" s="31" t="inlineStr">
        <is>
          <t>On record</t>
        </is>
      </c>
      <c r="P40" s="28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37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79" t="n"/>
      <c r="K41" s="97" t="n"/>
      <c r="L41" s="280" t="n"/>
      <c r="M41" s="97" t="n"/>
      <c r="N41" s="97" t="n"/>
      <c r="O41" s="31" t="inlineStr">
        <is>
          <t>On record</t>
        </is>
      </c>
      <c r="P41" s="28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37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79" t="n"/>
      <c r="K42" s="97" t="n"/>
      <c r="L42" s="280" t="n"/>
      <c r="M42" s="97" t="n"/>
      <c r="N42" s="97" t="n"/>
      <c r="O42" s="31" t="inlineStr">
        <is>
          <t>On record</t>
        </is>
      </c>
      <c r="P42" s="28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37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79" t="n"/>
      <c r="K43" s="97" t="n"/>
      <c r="L43" s="280" t="n"/>
      <c r="M43" s="97" t="n"/>
      <c r="N43" s="97" t="n"/>
      <c r="O43" s="31" t="inlineStr">
        <is>
          <t>On record</t>
        </is>
      </c>
      <c r="P43" s="28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37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85" t="n"/>
      <c r="K44" s="168" t="n"/>
      <c r="L44" s="286" t="n"/>
      <c r="M44" s="168" t="n"/>
      <c r="N44" s="168" t="n"/>
      <c r="O44" s="31" t="inlineStr">
        <is>
          <t>On record</t>
        </is>
      </c>
      <c r="P44" s="281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37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79" t="n"/>
      <c r="K45" s="97" t="n"/>
      <c r="L45" s="280" t="n"/>
      <c r="M45" s="97" t="n"/>
      <c r="N45" s="97" t="n"/>
      <c r="O45" s="31" t="inlineStr">
        <is>
          <t>On record</t>
        </is>
      </c>
      <c r="P45" s="281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37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79" t="n"/>
      <c r="K46" s="97" t="n"/>
      <c r="L46" s="280" t="n"/>
      <c r="M46" s="97" t="n"/>
      <c r="N46" s="97" t="n"/>
      <c r="O46" s="31" t="inlineStr">
        <is>
          <t>On record</t>
        </is>
      </c>
      <c r="P46" s="281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37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79" t="n"/>
      <c r="K47" s="168" t="n"/>
      <c r="L47" s="286" t="n"/>
      <c r="M47" s="168" t="n"/>
      <c r="N47" s="168" t="n"/>
      <c r="O47" s="31" t="inlineStr">
        <is>
          <t>On record</t>
        </is>
      </c>
      <c r="P47" s="28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37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85" t="n"/>
      <c r="K48" s="168" t="n"/>
      <c r="L48" s="286" t="n"/>
      <c r="M48" s="168" t="n"/>
      <c r="N48" s="168" t="n"/>
      <c r="O48" s="31" t="inlineStr">
        <is>
          <t>On record</t>
        </is>
      </c>
      <c r="P48" s="28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37">
      <c r="A49" s="12" t="n"/>
      <c r="B49" s="287" t="n"/>
      <c r="C49" s="12" t="n"/>
      <c r="D49" s="12" t="n"/>
      <c r="E49" s="236" t="n"/>
      <c r="F49" s="236" t="n"/>
      <c r="G49" s="288" t="n"/>
      <c r="H49" s="12" t="n"/>
      <c r="I49" s="236" t="n"/>
      <c r="J49" s="287" t="n"/>
      <c r="K49" s="236" t="n"/>
      <c r="L49" s="157" t="n"/>
      <c r="M49" s="236" t="n"/>
      <c r="N49" s="236" t="n"/>
      <c r="O49" s="236" t="n"/>
      <c r="P49" s="287" t="n"/>
      <c r="Q49" s="236" t="n"/>
      <c r="R49" s="236" t="n"/>
      <c r="S49" s="20" t="n"/>
      <c r="T49" s="20" t="n"/>
      <c r="U49" s="20" t="n"/>
    </row>
    <row r="50" ht="16.5" customHeight="1" s="237">
      <c r="A50" s="12" t="n"/>
      <c r="B50" s="287" t="n"/>
      <c r="C50" s="12" t="n"/>
      <c r="D50" s="12" t="n"/>
      <c r="E50" s="236" t="n"/>
      <c r="F50" s="236" t="n"/>
      <c r="G50" s="288" t="n"/>
      <c r="H50" s="12" t="n"/>
      <c r="I50" s="236" t="n"/>
      <c r="J50" s="287" t="n"/>
      <c r="K50" s="236" t="n"/>
      <c r="L50" s="157" t="n"/>
      <c r="M50" s="236" t="n"/>
      <c r="N50" s="236" t="n"/>
      <c r="O50" s="236" t="n"/>
      <c r="P50" s="287" t="n"/>
      <c r="Q50" s="236" t="n"/>
      <c r="R50" s="236" t="n"/>
      <c r="S50" s="20" t="n"/>
      <c r="T50" s="20" t="n"/>
      <c r="U50" s="20" t="n"/>
    </row>
    <row r="51" ht="16.5" customHeight="1" s="237">
      <c r="A51" s="12" t="n"/>
      <c r="B51" s="287" t="n"/>
      <c r="C51" s="12" t="n"/>
      <c r="D51" s="12" t="n"/>
      <c r="E51" s="236" t="n"/>
      <c r="F51" s="236" t="n"/>
      <c r="G51" s="288" t="n"/>
      <c r="H51" s="12" t="n"/>
      <c r="I51" s="236" t="n"/>
      <c r="J51" s="287" t="n"/>
      <c r="K51" s="236" t="n"/>
      <c r="L51" s="157" t="n"/>
      <c r="M51" s="236" t="n"/>
      <c r="N51" s="236" t="n"/>
      <c r="O51" s="236" t="n"/>
      <c r="P51" s="287" t="n"/>
      <c r="Q51" s="236" t="n"/>
      <c r="R51" s="236" t="n"/>
      <c r="S51" s="20" t="n"/>
      <c r="T51" s="20" t="n"/>
      <c r="U51" s="20" t="n"/>
    </row>
    <row r="52" ht="16.5" customHeight="1" s="237">
      <c r="A52" s="12" t="n"/>
      <c r="B52" s="287" t="n"/>
      <c r="C52" s="12" t="n"/>
      <c r="D52" s="12" t="n"/>
      <c r="E52" s="236" t="n"/>
      <c r="F52" s="236" t="n"/>
      <c r="G52" s="288" t="n"/>
      <c r="H52" s="12" t="n"/>
      <c r="I52" s="236" t="n"/>
      <c r="J52" s="287" t="n"/>
      <c r="K52" s="236" t="n"/>
      <c r="L52" s="157" t="n"/>
      <c r="M52" s="236" t="n"/>
      <c r="N52" s="236" t="n"/>
      <c r="O52" s="236" t="n"/>
      <c r="P52" s="287" t="n"/>
      <c r="Q52" s="236" t="n"/>
      <c r="R52" s="236" t="n"/>
      <c r="S52" s="20" t="n"/>
      <c r="T52" s="20" t="n"/>
      <c r="U52" s="20" t="n"/>
    </row>
    <row r="53" ht="16.5" customHeight="1" s="237">
      <c r="A53" s="12" t="n"/>
      <c r="B53" s="287" t="n"/>
      <c r="C53" s="12" t="n"/>
      <c r="D53" s="12" t="n"/>
      <c r="E53" s="236" t="n"/>
      <c r="F53" s="236" t="n"/>
      <c r="G53" s="288" t="n"/>
      <c r="H53" s="12" t="n"/>
      <c r="I53" s="236" t="n"/>
      <c r="J53" s="287" t="n"/>
      <c r="K53" s="236" t="n"/>
      <c r="L53" s="157" t="n"/>
      <c r="M53" s="236" t="n"/>
      <c r="N53" s="236" t="n"/>
      <c r="O53" s="236" t="n"/>
      <c r="P53" s="287" t="n"/>
      <c r="Q53" s="236" t="n"/>
      <c r="R53" s="236" t="n"/>
      <c r="S53" s="20" t="n"/>
      <c r="T53" s="20" t="n"/>
      <c r="U53" s="20" t="n"/>
    </row>
    <row r="54" ht="16.5" customHeight="1" s="237">
      <c r="A54" s="12" t="n"/>
      <c r="B54" s="287" t="n"/>
      <c r="C54" s="12" t="n"/>
      <c r="D54" s="12" t="n"/>
      <c r="E54" s="236" t="n"/>
      <c r="F54" s="236" t="n"/>
      <c r="G54" s="288" t="n"/>
      <c r="H54" s="12" t="n"/>
      <c r="I54" s="236" t="n"/>
      <c r="J54" s="287" t="n"/>
      <c r="K54" s="236" t="n"/>
      <c r="L54" s="157" t="n"/>
      <c r="M54" s="236" t="n"/>
      <c r="N54" s="236" t="n"/>
      <c r="O54" s="236" t="n"/>
      <c r="P54" s="287" t="n"/>
      <c r="Q54" s="236" t="n"/>
      <c r="R54" s="236" t="n"/>
      <c r="S54" s="20" t="n"/>
      <c r="T54" s="20" t="n"/>
      <c r="U54" s="20" t="n"/>
    </row>
    <row r="55" ht="16.5" customHeight="1" s="237">
      <c r="A55" s="12" t="n"/>
      <c r="B55" s="287" t="n"/>
      <c r="C55" s="12" t="n"/>
      <c r="D55" s="12" t="n"/>
      <c r="E55" s="236" t="n"/>
      <c r="F55" s="236" t="n"/>
      <c r="G55" s="288" t="n"/>
      <c r="H55" s="12" t="n"/>
      <c r="I55" s="236" t="n"/>
      <c r="J55" s="287" t="n"/>
      <c r="K55" s="236" t="n"/>
      <c r="L55" s="157" t="n"/>
      <c r="M55" s="236" t="n"/>
      <c r="N55" s="236" t="n"/>
      <c r="O55" s="236" t="n"/>
      <c r="P55" s="287" t="n"/>
      <c r="Q55" s="236" t="n"/>
      <c r="R55" s="236" t="n"/>
      <c r="S55" s="20" t="n"/>
      <c r="T55" s="20" t="n"/>
      <c r="U55" s="20" t="n"/>
    </row>
    <row r="56" ht="16.5" customHeight="1" s="237">
      <c r="A56" s="12" t="n"/>
      <c r="B56" s="287" t="n"/>
      <c r="C56" s="12" t="n"/>
      <c r="D56" s="12" t="n"/>
      <c r="E56" s="236" t="n"/>
      <c r="F56" s="236" t="n"/>
      <c r="G56" s="288" t="n"/>
      <c r="H56" s="12" t="n"/>
      <c r="I56" s="236" t="n"/>
      <c r="J56" s="287" t="n"/>
      <c r="K56" s="236" t="n"/>
      <c r="L56" s="157" t="n"/>
      <c r="M56" s="236" t="n"/>
      <c r="N56" s="236" t="n"/>
      <c r="O56" s="236" t="n"/>
      <c r="P56" s="287" t="n"/>
      <c r="Q56" s="236" t="n"/>
      <c r="R56" s="236" t="n"/>
      <c r="S56" s="20" t="n"/>
      <c r="T56" s="20" t="n"/>
      <c r="U56" s="20" t="n"/>
    </row>
    <row r="57" ht="16.5" customHeight="1" s="237">
      <c r="A57" s="12" t="n"/>
      <c r="B57" s="287" t="n"/>
      <c r="C57" s="12" t="n"/>
      <c r="D57" s="12" t="n"/>
      <c r="E57" s="236" t="n"/>
      <c r="F57" s="236" t="n"/>
      <c r="G57" s="288" t="n"/>
      <c r="H57" s="12" t="n"/>
      <c r="I57" s="236" t="n"/>
      <c r="J57" s="287" t="n"/>
      <c r="K57" s="236" t="n"/>
      <c r="L57" s="157" t="n"/>
      <c r="M57" s="236" t="n"/>
      <c r="N57" s="236" t="n"/>
      <c r="O57" s="236" t="n"/>
      <c r="P57" s="287" t="n"/>
      <c r="Q57" s="236" t="n"/>
      <c r="R57" s="236" t="n"/>
      <c r="S57" s="20" t="n"/>
      <c r="T57" s="20" t="n"/>
      <c r="U57" s="20" t="n"/>
    </row>
    <row r="58" ht="16.5" customHeight="1" s="237">
      <c r="A58" s="12" t="n"/>
      <c r="B58" s="287" t="n"/>
      <c r="C58" s="12" t="n"/>
      <c r="D58" s="12" t="n"/>
      <c r="E58" s="236" t="n"/>
      <c r="F58" s="236" t="n"/>
      <c r="G58" s="288" t="n"/>
      <c r="H58" s="12" t="n"/>
      <c r="I58" s="236" t="n"/>
      <c r="J58" s="287" t="n"/>
      <c r="K58" s="236" t="n"/>
      <c r="L58" s="157" t="n"/>
      <c r="M58" s="236" t="n"/>
      <c r="N58" s="236" t="n"/>
      <c r="O58" s="236" t="n"/>
      <c r="P58" s="287" t="n"/>
      <c r="Q58" s="236" t="n"/>
      <c r="R58" s="236" t="n"/>
      <c r="S58" s="20" t="n"/>
      <c r="T58" s="20" t="n"/>
      <c r="U58" s="20" t="n"/>
    </row>
    <row r="59" ht="16.5" customHeight="1" s="237">
      <c r="A59" s="12" t="n"/>
      <c r="B59" s="287" t="n"/>
      <c r="C59" s="12" t="n"/>
      <c r="D59" s="12" t="n"/>
      <c r="E59" s="236" t="n"/>
      <c r="F59" s="236" t="n"/>
      <c r="G59" s="288" t="n"/>
      <c r="H59" s="12" t="n"/>
      <c r="I59" s="236" t="n"/>
      <c r="J59" s="287" t="n"/>
      <c r="K59" s="236" t="n"/>
      <c r="L59" s="157" t="n"/>
      <c r="M59" s="236" t="n"/>
      <c r="N59" s="236" t="n"/>
      <c r="O59" s="236" t="n"/>
      <c r="P59" s="287" t="n"/>
      <c r="Q59" s="236" t="n"/>
      <c r="R59" s="236" t="n"/>
      <c r="S59" s="20" t="n"/>
      <c r="T59" s="20" t="n"/>
      <c r="U59" s="20" t="n"/>
    </row>
    <row r="60" ht="16.5" customHeight="1" s="237">
      <c r="A60" s="12" t="n"/>
      <c r="B60" s="287" t="n"/>
      <c r="C60" s="12" t="n"/>
      <c r="D60" s="12" t="n"/>
      <c r="E60" s="236" t="n"/>
      <c r="F60" s="236" t="n"/>
      <c r="G60" s="288" t="n"/>
      <c r="H60" s="12" t="n"/>
      <c r="I60" s="236" t="n"/>
      <c r="J60" s="287" t="n"/>
      <c r="K60" s="236" t="n"/>
      <c r="L60" s="157" t="n"/>
      <c r="M60" s="236" t="n"/>
      <c r="N60" s="236" t="n"/>
      <c r="O60" s="236" t="n"/>
      <c r="P60" s="287" t="n"/>
      <c r="Q60" s="236" t="n"/>
      <c r="R60" s="236" t="n"/>
      <c r="S60" s="20" t="n"/>
      <c r="T60" s="20" t="n"/>
      <c r="U60" s="20" t="n"/>
    </row>
    <row r="61" ht="16.5" customHeight="1" s="237">
      <c r="A61" s="12" t="n"/>
      <c r="B61" s="287" t="n"/>
      <c r="C61" s="12" t="n"/>
      <c r="D61" s="12" t="n"/>
      <c r="E61" s="236" t="n"/>
      <c r="F61" s="236" t="n"/>
      <c r="G61" s="288" t="n"/>
      <c r="H61" s="12" t="n"/>
      <c r="I61" s="236" t="n"/>
      <c r="J61" s="287" t="n"/>
      <c r="K61" s="236" t="n"/>
      <c r="L61" s="157" t="n"/>
      <c r="M61" s="236" t="n"/>
      <c r="N61" s="236" t="n"/>
      <c r="O61" s="236" t="n"/>
      <c r="P61" s="287" t="n"/>
      <c r="Q61" s="236" t="n"/>
      <c r="R61" s="236" t="n"/>
      <c r="S61" s="20" t="n"/>
      <c r="T61" s="20" t="n"/>
      <c r="U61" s="20" t="n"/>
    </row>
    <row r="62" ht="16.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157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6.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157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6.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157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6.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157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6.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157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6.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157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6.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157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6.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157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6.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157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6.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157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6.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157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6.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157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6.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157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6.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157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6.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157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6.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157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6.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157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6.5" customHeight="1" s="237">
      <c r="A79" s="12" t="n"/>
      <c r="B79" s="287" t="n"/>
      <c r="C79" s="12" t="n"/>
      <c r="D79" s="12" t="n"/>
      <c r="E79" s="236" t="n"/>
      <c r="F79" s="236" t="n"/>
      <c r="G79" s="288" t="n"/>
      <c r="H79" s="12" t="n"/>
      <c r="I79" s="236" t="n"/>
      <c r="J79" s="287" t="n"/>
      <c r="K79" s="236" t="n"/>
      <c r="L79" s="157" t="n"/>
      <c r="M79" s="236" t="n"/>
      <c r="N79" s="236" t="n"/>
      <c r="O79" s="236" t="n"/>
      <c r="P79" s="287" t="n"/>
      <c r="Q79" s="236" t="n"/>
      <c r="R79" s="236" t="n"/>
      <c r="S79" s="20" t="n"/>
      <c r="T79" s="20" t="n"/>
      <c r="U79" s="20" t="n"/>
    </row>
    <row r="80" ht="16.5" customHeight="1" s="237">
      <c r="A80" s="12" t="n"/>
      <c r="B80" s="287" t="n"/>
      <c r="C80" s="12" t="n"/>
      <c r="D80" s="12" t="n"/>
      <c r="E80" s="236" t="n"/>
      <c r="F80" s="236" t="n"/>
      <c r="G80" s="288" t="n"/>
      <c r="H80" s="12" t="n"/>
      <c r="I80" s="236" t="n"/>
      <c r="J80" s="287" t="n"/>
      <c r="K80" s="236" t="n"/>
      <c r="L80" s="157" t="n"/>
      <c r="M80" s="236" t="n"/>
      <c r="N80" s="236" t="n"/>
      <c r="O80" s="236" t="n"/>
      <c r="P80" s="287" t="n"/>
      <c r="Q80" s="236" t="n"/>
      <c r="R80" s="236" t="n"/>
      <c r="S80" s="20" t="n"/>
      <c r="T80" s="20" t="n"/>
      <c r="U80" s="20" t="n"/>
    </row>
    <row r="81" ht="16.5" customHeight="1" s="237">
      <c r="A81" s="12" t="n"/>
      <c r="B81" s="287" t="n"/>
      <c r="C81" s="12" t="n"/>
      <c r="D81" s="12" t="n"/>
      <c r="E81" s="236" t="n"/>
      <c r="F81" s="236" t="n"/>
      <c r="G81" s="288" t="n"/>
      <c r="H81" s="12" t="n"/>
      <c r="I81" s="236" t="n"/>
      <c r="J81" s="287" t="n"/>
      <c r="K81" s="236" t="n"/>
      <c r="L81" s="157" t="n"/>
      <c r="M81" s="236" t="n"/>
      <c r="N81" s="236" t="n"/>
      <c r="O81" s="236" t="n"/>
      <c r="P81" s="287" t="n"/>
      <c r="Q81" s="236" t="n"/>
      <c r="R81" s="236" t="n"/>
      <c r="S81" s="20" t="n"/>
      <c r="T81" s="20" t="n"/>
      <c r="U81" s="20" t="n"/>
    </row>
    <row r="82" ht="16.5" customHeight="1" s="237">
      <c r="A82" s="12" t="n"/>
      <c r="B82" s="287" t="n"/>
      <c r="C82" s="12" t="n"/>
      <c r="D82" s="12" t="n"/>
      <c r="E82" s="236" t="n"/>
      <c r="F82" s="236" t="n"/>
      <c r="G82" s="288" t="n"/>
      <c r="H82" s="12" t="n"/>
      <c r="I82" s="236" t="n"/>
      <c r="J82" s="287" t="n"/>
      <c r="K82" s="236" t="n"/>
      <c r="L82" s="157" t="n"/>
      <c r="M82" s="236" t="n"/>
      <c r="N82" s="236" t="n"/>
      <c r="O82" s="236" t="n"/>
      <c r="P82" s="287" t="n"/>
      <c r="Q82" s="236" t="n"/>
      <c r="R82" s="236" t="n"/>
      <c r="S82" s="20" t="n"/>
      <c r="T82" s="20" t="n"/>
      <c r="U82" s="20" t="n"/>
    </row>
    <row r="83" ht="16.5" customHeight="1" s="237">
      <c r="A83" s="12" t="n"/>
      <c r="B83" s="287" t="n"/>
      <c r="C83" s="12" t="n"/>
      <c r="D83" s="12" t="n"/>
      <c r="E83" s="236" t="n"/>
      <c r="F83" s="236" t="n"/>
      <c r="G83" s="288" t="n"/>
      <c r="H83" s="12" t="n"/>
      <c r="I83" s="236" t="n"/>
      <c r="J83" s="287" t="n"/>
      <c r="K83" s="236" t="n"/>
      <c r="L83" s="157" t="n"/>
      <c r="M83" s="236" t="n"/>
      <c r="N83" s="236" t="n"/>
      <c r="O83" s="236" t="n"/>
      <c r="P83" s="287" t="n"/>
      <c r="Q83" s="236" t="n"/>
      <c r="R83" s="236" t="n"/>
      <c r="S83" s="20" t="n"/>
      <c r="T83" s="20" t="n"/>
      <c r="U83" s="20" t="n"/>
    </row>
    <row r="84" ht="16.5" customHeight="1" s="237">
      <c r="A84" s="12" t="n"/>
      <c r="B84" s="287" t="n"/>
      <c r="C84" s="12" t="n"/>
      <c r="D84" s="12" t="n"/>
      <c r="E84" s="236" t="n"/>
      <c r="F84" s="236" t="n"/>
      <c r="G84" s="288" t="n"/>
      <c r="H84" s="12" t="n"/>
      <c r="I84" s="236" t="n"/>
      <c r="J84" s="287" t="n"/>
      <c r="K84" s="236" t="n"/>
      <c r="L84" s="157" t="n"/>
      <c r="M84" s="236" t="n"/>
      <c r="N84" s="236" t="n"/>
      <c r="O84" s="236" t="n"/>
      <c r="P84" s="287" t="n"/>
      <c r="Q84" s="236" t="n"/>
      <c r="R84" s="236" t="n"/>
      <c r="S84" s="20" t="n"/>
      <c r="T84" s="20" t="n"/>
      <c r="U84" s="20" t="n"/>
    </row>
    <row r="85" ht="16.5" customHeight="1" s="237">
      <c r="A85" s="12" t="n"/>
      <c r="B85" s="287" t="n"/>
      <c r="C85" s="12" t="n"/>
      <c r="D85" s="12" t="n"/>
      <c r="E85" s="236" t="n"/>
      <c r="F85" s="236" t="n"/>
      <c r="G85" s="288" t="n"/>
      <c r="H85" s="12" t="n"/>
      <c r="I85" s="236" t="n"/>
      <c r="J85" s="287" t="n"/>
      <c r="K85" s="236" t="n"/>
      <c r="L85" s="157" t="n"/>
      <c r="M85" s="236" t="n"/>
      <c r="N85" s="236" t="n"/>
      <c r="O85" s="236" t="n"/>
      <c r="P85" s="287" t="n"/>
      <c r="Q85" s="236" t="n"/>
      <c r="R85" s="236" t="n"/>
      <c r="S85" s="20" t="n"/>
      <c r="T85" s="20" t="n"/>
      <c r="U85" s="20" t="n"/>
    </row>
    <row r="86" ht="16.5" customHeight="1" s="237">
      <c r="A86" s="12" t="n"/>
      <c r="B86" s="287" t="n"/>
      <c r="C86" s="12" t="n"/>
      <c r="D86" s="12" t="n"/>
      <c r="E86" s="236" t="n"/>
      <c r="F86" s="236" t="n"/>
      <c r="G86" s="288" t="n"/>
      <c r="H86" s="12" t="n"/>
      <c r="I86" s="236" t="n"/>
      <c r="J86" s="287" t="n"/>
      <c r="K86" s="236" t="n"/>
      <c r="L86" s="157" t="n"/>
      <c r="M86" s="236" t="n"/>
      <c r="N86" s="236" t="n"/>
      <c r="O86" s="236" t="n"/>
      <c r="P86" s="287" t="n"/>
      <c r="Q86" s="236" t="n"/>
      <c r="R86" s="236" t="n"/>
      <c r="S86" s="20" t="n"/>
      <c r="T86" s="20" t="n"/>
      <c r="U86" s="20" t="n"/>
    </row>
    <row r="87" ht="16.5" customHeight="1" s="237">
      <c r="A87" s="12" t="n"/>
      <c r="B87" s="287" t="n"/>
      <c r="C87" s="12" t="n"/>
      <c r="D87" s="12" t="n"/>
      <c r="E87" s="236" t="n"/>
      <c r="F87" s="236" t="n"/>
      <c r="G87" s="288" t="n"/>
      <c r="H87" s="12" t="n"/>
      <c r="I87" s="236" t="n"/>
      <c r="J87" s="287" t="n"/>
      <c r="K87" s="236" t="n"/>
      <c r="L87" s="157" t="n"/>
      <c r="M87" s="236" t="n"/>
      <c r="N87" s="236" t="n"/>
      <c r="O87" s="236" t="n"/>
      <c r="P87" s="287" t="n"/>
      <c r="Q87" s="236" t="n"/>
      <c r="R87" s="236" t="n"/>
      <c r="S87" s="20" t="n"/>
      <c r="T87" s="20" t="n"/>
      <c r="U87" s="20" t="n"/>
    </row>
    <row r="88" ht="16.5" customHeight="1" s="237">
      <c r="A88" s="12" t="n"/>
      <c r="B88" s="287" t="n"/>
      <c r="C88" s="12" t="n"/>
      <c r="D88" s="12" t="n"/>
      <c r="E88" s="236" t="n"/>
      <c r="F88" s="236" t="n"/>
      <c r="G88" s="288" t="n"/>
      <c r="H88" s="12" t="n"/>
      <c r="I88" s="236" t="n"/>
      <c r="J88" s="287" t="n"/>
      <c r="K88" s="236" t="n"/>
      <c r="L88" s="157" t="n"/>
      <c r="M88" s="236" t="n"/>
      <c r="N88" s="236" t="n"/>
      <c r="O88" s="236" t="n"/>
      <c r="P88" s="287" t="n"/>
      <c r="Q88" s="236" t="n"/>
      <c r="R88" s="236" t="n"/>
      <c r="S88" s="20" t="n"/>
      <c r="T88" s="20" t="n"/>
      <c r="U88" s="20" t="n"/>
    </row>
    <row r="89" ht="16.5" customHeight="1" s="237">
      <c r="A89" s="12" t="n"/>
      <c r="B89" s="287" t="n"/>
      <c r="C89" s="12" t="n"/>
      <c r="D89" s="12" t="n"/>
      <c r="E89" s="236" t="n"/>
      <c r="F89" s="236" t="n"/>
      <c r="G89" s="288" t="n"/>
      <c r="H89" s="12" t="n"/>
      <c r="I89" s="236" t="n"/>
      <c r="J89" s="287" t="n"/>
      <c r="K89" s="236" t="n"/>
      <c r="L89" s="157" t="n"/>
      <c r="M89" s="236" t="n"/>
      <c r="N89" s="236" t="n"/>
      <c r="O89" s="236" t="n"/>
      <c r="P89" s="287" t="n"/>
      <c r="Q89" s="236" t="n"/>
      <c r="R89" s="236" t="n"/>
      <c r="S89" s="20" t="n"/>
      <c r="T89" s="20" t="n"/>
      <c r="U89" s="20" t="n"/>
    </row>
    <row r="90" ht="16.5" customHeight="1" s="237">
      <c r="A90" s="12" t="n"/>
      <c r="B90" s="287" t="n"/>
      <c r="C90" s="12" t="n"/>
      <c r="D90" s="12" t="n"/>
      <c r="E90" s="236" t="n"/>
      <c r="F90" s="236" t="n"/>
      <c r="G90" s="288" t="n"/>
      <c r="H90" s="12" t="n"/>
      <c r="I90" s="236" t="n"/>
      <c r="J90" s="287" t="n"/>
      <c r="K90" s="236" t="n"/>
      <c r="L90" s="157" t="n"/>
      <c r="M90" s="236" t="n"/>
      <c r="N90" s="236" t="n"/>
      <c r="O90" s="236" t="n"/>
      <c r="P90" s="287" t="n"/>
      <c r="Q90" s="236" t="n"/>
      <c r="R90" s="236" t="n"/>
      <c r="S90" s="20" t="n"/>
      <c r="T90" s="20" t="n"/>
      <c r="U90" s="20" t="n"/>
    </row>
    <row r="91" ht="16.5" customHeight="1" s="237">
      <c r="A91" s="12" t="n"/>
      <c r="B91" s="287" t="n"/>
      <c r="C91" s="12" t="n"/>
      <c r="D91" s="12" t="n"/>
      <c r="E91" s="236" t="n"/>
      <c r="F91" s="236" t="n"/>
      <c r="G91" s="288" t="n"/>
      <c r="H91" s="12" t="n"/>
      <c r="I91" s="236" t="n"/>
      <c r="J91" s="287" t="n"/>
      <c r="K91" s="236" t="n"/>
      <c r="L91" s="157" t="n"/>
      <c r="M91" s="236" t="n"/>
      <c r="N91" s="236" t="n"/>
      <c r="O91" s="236" t="n"/>
      <c r="P91" s="287" t="n"/>
      <c r="Q91" s="236" t="n"/>
      <c r="R91" s="236" t="n"/>
      <c r="S91" s="20" t="n"/>
      <c r="T91" s="20" t="n"/>
      <c r="U91" s="20" t="n"/>
    </row>
    <row r="92" ht="16.5" customHeight="1" s="237">
      <c r="A92" s="12" t="n"/>
      <c r="B92" s="287" t="n"/>
      <c r="C92" s="12" t="n"/>
      <c r="D92" s="12" t="n"/>
      <c r="E92" s="236" t="n"/>
      <c r="F92" s="236" t="n"/>
      <c r="G92" s="288" t="n"/>
      <c r="H92" s="12" t="n"/>
      <c r="I92" s="236" t="n"/>
      <c r="J92" s="287" t="n"/>
      <c r="K92" s="236" t="n"/>
      <c r="L92" s="157" t="n"/>
      <c r="M92" s="236" t="n"/>
      <c r="N92" s="236" t="n"/>
      <c r="O92" s="236" t="n"/>
      <c r="P92" s="287" t="n"/>
      <c r="Q92" s="236" t="n"/>
      <c r="R92" s="236" t="n"/>
      <c r="S92" s="20" t="n"/>
      <c r="T92" s="20" t="n"/>
      <c r="U92" s="20" t="n"/>
    </row>
    <row r="93" ht="16.5" customHeight="1" s="237">
      <c r="A93" s="12" t="n"/>
      <c r="B93" s="287" t="n"/>
      <c r="C93" s="12" t="n"/>
      <c r="D93" s="12" t="n"/>
      <c r="E93" s="236" t="n"/>
      <c r="F93" s="236" t="n"/>
      <c r="G93" s="288" t="n"/>
      <c r="H93" s="12" t="n"/>
      <c r="I93" s="236" t="n"/>
      <c r="J93" s="287" t="n"/>
      <c r="K93" s="236" t="n"/>
      <c r="L93" s="157" t="n"/>
      <c r="M93" s="236" t="n"/>
      <c r="N93" s="236" t="n"/>
      <c r="O93" s="236" t="n"/>
      <c r="P93" s="287" t="n"/>
      <c r="Q93" s="236" t="n"/>
      <c r="R93" s="236" t="n"/>
      <c r="S93" s="20" t="n"/>
      <c r="T93" s="20" t="n"/>
      <c r="U93" s="20" t="n"/>
    </row>
    <row r="94" ht="16.5" customHeight="1" s="237">
      <c r="A94" s="12" t="n"/>
      <c r="B94" s="287" t="n"/>
      <c r="C94" s="12" t="n"/>
      <c r="D94" s="12" t="n"/>
      <c r="E94" s="236" t="n"/>
      <c r="F94" s="236" t="n"/>
      <c r="G94" s="288" t="n"/>
      <c r="H94" s="12" t="n"/>
      <c r="I94" s="236" t="n"/>
      <c r="J94" s="287" t="n"/>
      <c r="K94" s="236" t="n"/>
      <c r="L94" s="157" t="n"/>
      <c r="M94" s="236" t="n"/>
      <c r="N94" s="236" t="n"/>
      <c r="O94" s="236" t="n"/>
      <c r="P94" s="287" t="n"/>
      <c r="Q94" s="236" t="n"/>
      <c r="R94" s="236" t="n"/>
      <c r="S94" s="20" t="n"/>
      <c r="T94" s="20" t="n"/>
      <c r="U94" s="20" t="n"/>
    </row>
    <row r="95" ht="16.5" customHeight="1" s="237">
      <c r="A95" s="12" t="n"/>
      <c r="B95" s="287" t="n"/>
      <c r="C95" s="12" t="n"/>
      <c r="D95" s="12" t="n"/>
      <c r="E95" s="236" t="n"/>
      <c r="F95" s="236" t="n"/>
      <c r="G95" s="288" t="n"/>
      <c r="H95" s="12" t="n"/>
      <c r="I95" s="236" t="n"/>
      <c r="J95" s="287" t="n"/>
      <c r="K95" s="236" t="n"/>
      <c r="L95" s="157" t="n"/>
      <c r="M95" s="236" t="n"/>
      <c r="N95" s="236" t="n"/>
      <c r="O95" s="236" t="n"/>
      <c r="P95" s="287" t="n"/>
      <c r="Q95" s="236" t="n"/>
      <c r="R95" s="236" t="n"/>
      <c r="S95" s="20" t="n"/>
      <c r="T95" s="20" t="n"/>
      <c r="U95" s="20" t="n"/>
    </row>
    <row r="96" ht="16.5" customHeight="1" s="237">
      <c r="A96" s="12" t="n"/>
      <c r="B96" s="287" t="n"/>
      <c r="C96" s="12" t="n"/>
      <c r="D96" s="12" t="n"/>
      <c r="E96" s="236" t="n"/>
      <c r="F96" s="236" t="n"/>
      <c r="G96" s="288" t="n"/>
      <c r="H96" s="12" t="n"/>
      <c r="I96" s="236" t="n"/>
      <c r="J96" s="287" t="n"/>
      <c r="K96" s="236" t="n"/>
      <c r="L96" s="157" t="n"/>
      <c r="M96" s="236" t="n"/>
      <c r="N96" s="236" t="n"/>
      <c r="O96" s="236" t="n"/>
      <c r="P96" s="287" t="n"/>
      <c r="Q96" s="236" t="n"/>
      <c r="R96" s="236" t="n"/>
      <c r="S96" s="20" t="n"/>
      <c r="T96" s="20" t="n"/>
      <c r="U96" s="20" t="n"/>
    </row>
    <row r="97" ht="16.5" customHeight="1" s="237">
      <c r="A97" s="12" t="n"/>
      <c r="B97" s="287" t="n"/>
      <c r="C97" s="12" t="n"/>
      <c r="D97" s="12" t="n"/>
      <c r="E97" s="236" t="n"/>
      <c r="F97" s="236" t="n"/>
      <c r="G97" s="288" t="n"/>
      <c r="H97" s="12" t="n"/>
      <c r="I97" s="236" t="n"/>
      <c r="J97" s="287" t="n"/>
      <c r="K97" s="236" t="n"/>
      <c r="L97" s="157" t="n"/>
      <c r="M97" s="236" t="n"/>
      <c r="N97" s="236" t="n"/>
      <c r="O97" s="236" t="n"/>
      <c r="P97" s="287" t="n"/>
      <c r="Q97" s="236" t="n"/>
      <c r="R97" s="236" t="n"/>
      <c r="S97" s="20" t="n"/>
      <c r="T97" s="20" t="n"/>
      <c r="U97" s="20" t="n"/>
    </row>
    <row r="98" ht="16.5" customHeight="1" s="237">
      <c r="A98" s="12" t="n"/>
      <c r="B98" s="287" t="n"/>
      <c r="C98" s="12" t="n"/>
      <c r="D98" s="12" t="n"/>
      <c r="E98" s="236" t="n"/>
      <c r="F98" s="236" t="n"/>
      <c r="G98" s="288" t="n"/>
      <c r="H98" s="12" t="n"/>
      <c r="I98" s="236" t="n"/>
      <c r="J98" s="287" t="n"/>
      <c r="K98" s="236" t="n"/>
      <c r="L98" s="157" t="n"/>
      <c r="M98" s="236" t="n"/>
      <c r="N98" s="236" t="n"/>
      <c r="O98" s="236" t="n"/>
      <c r="P98" s="287" t="n"/>
      <c r="Q98" s="236" t="n"/>
      <c r="R98" s="236" t="n"/>
      <c r="S98" s="20" t="n"/>
      <c r="T98" s="20" t="n"/>
      <c r="U98" s="20" t="n"/>
    </row>
    <row r="99" ht="16.5" customHeight="1" s="237">
      <c r="A99" s="12" t="n"/>
      <c r="B99" s="287" t="n"/>
      <c r="C99" s="12" t="n"/>
      <c r="D99" s="12" t="n"/>
      <c r="E99" s="236" t="n"/>
      <c r="F99" s="236" t="n"/>
      <c r="G99" s="288" t="n"/>
      <c r="H99" s="12" t="n"/>
      <c r="I99" s="236" t="n"/>
      <c r="J99" s="287" t="n"/>
      <c r="K99" s="236" t="n"/>
      <c r="L99" s="157" t="n"/>
      <c r="M99" s="236" t="n"/>
      <c r="N99" s="236" t="n"/>
      <c r="O99" s="236" t="n"/>
      <c r="P99" s="287" t="n"/>
      <c r="Q99" s="236" t="n"/>
      <c r="R99" s="236" t="n"/>
      <c r="S99" s="20" t="n"/>
      <c r="T99" s="20" t="n"/>
      <c r="U99" s="20" t="n"/>
    </row>
    <row r="100" ht="16.5" customHeight="1" s="237">
      <c r="A100" s="12" t="n"/>
      <c r="B100" s="287" t="n"/>
      <c r="C100" s="12" t="n"/>
      <c r="D100" s="12" t="n"/>
      <c r="E100" s="236" t="n"/>
      <c r="F100" s="236" t="n"/>
      <c r="G100" s="288" t="n"/>
      <c r="H100" s="12" t="n"/>
      <c r="I100" s="236" t="n"/>
      <c r="J100" s="287" t="n"/>
      <c r="K100" s="236" t="n"/>
      <c r="L100" s="157" t="n"/>
      <c r="M100" s="236" t="n"/>
      <c r="N100" s="236" t="n"/>
      <c r="O100" s="236" t="n"/>
      <c r="P100" s="287" t="n"/>
      <c r="Q100" s="236" t="n"/>
      <c r="R100" s="236" t="n"/>
      <c r="S100" s="20" t="n"/>
      <c r="T100" s="20" t="n"/>
      <c r="U100" s="20" t="n"/>
    </row>
    <row r="101" ht="16.5" customHeight="1" s="237">
      <c r="A101" s="12" t="n"/>
      <c r="B101" s="287" t="n"/>
      <c r="C101" s="12" t="n"/>
      <c r="D101" s="12" t="n"/>
      <c r="E101" s="236" t="n"/>
      <c r="F101" s="236" t="n"/>
      <c r="G101" s="288" t="n"/>
      <c r="H101" s="12" t="n"/>
      <c r="I101" s="236" t="n"/>
      <c r="J101" s="287" t="n"/>
      <c r="K101" s="236" t="n"/>
      <c r="L101" s="157" t="n"/>
      <c r="M101" s="236" t="n"/>
      <c r="N101" s="236" t="n"/>
      <c r="O101" s="236" t="n"/>
      <c r="P101" s="287" t="n"/>
      <c r="Q101" s="236" t="n"/>
      <c r="R101" s="236" t="n"/>
      <c r="S101" s="20" t="n"/>
      <c r="T101" s="20" t="n"/>
      <c r="U101" s="20" t="n"/>
    </row>
    <row r="102" ht="16.5" customHeight="1" s="237">
      <c r="A102" s="12" t="n"/>
      <c r="B102" s="287" t="n"/>
      <c r="C102" s="12" t="n"/>
      <c r="D102" s="12" t="n"/>
      <c r="E102" s="236" t="n"/>
      <c r="F102" s="236" t="n"/>
      <c r="G102" s="288" t="n"/>
      <c r="H102" s="12" t="n"/>
      <c r="I102" s="236" t="n"/>
      <c r="J102" s="287" t="n"/>
      <c r="K102" s="236" t="n"/>
      <c r="L102" s="157" t="n"/>
      <c r="M102" s="236" t="n"/>
      <c r="N102" s="236" t="n"/>
      <c r="O102" s="236" t="n"/>
      <c r="P102" s="287" t="n"/>
      <c r="Q102" s="236" t="n"/>
      <c r="R102" s="236" t="n"/>
      <c r="S102" s="20" t="n"/>
      <c r="T102" s="20" t="n"/>
      <c r="U102" s="20" t="n"/>
    </row>
    <row r="103" ht="16.5" customHeight="1" s="237">
      <c r="A103" s="12" t="n"/>
      <c r="B103" s="287" t="n"/>
      <c r="C103" s="12" t="n"/>
      <c r="D103" s="12" t="n"/>
      <c r="E103" s="236" t="n"/>
      <c r="F103" s="236" t="n"/>
      <c r="G103" s="288" t="n"/>
      <c r="H103" s="12" t="n"/>
      <c r="I103" s="236" t="n"/>
      <c r="J103" s="287" t="n"/>
      <c r="K103" s="236" t="n"/>
      <c r="L103" s="157" t="n"/>
      <c r="M103" s="236" t="n"/>
      <c r="N103" s="236" t="n"/>
      <c r="O103" s="236" t="n"/>
      <c r="P103" s="287" t="n"/>
      <c r="Q103" s="236" t="n"/>
      <c r="R103" s="236" t="n"/>
      <c r="S103" s="20" t="n"/>
      <c r="T103" s="20" t="n"/>
      <c r="U103" s="20" t="n"/>
    </row>
    <row r="104" ht="16.5" customHeight="1" s="237">
      <c r="A104" s="12" t="n"/>
      <c r="B104" s="287" t="n"/>
      <c r="C104" s="12" t="n"/>
      <c r="D104" s="12" t="n"/>
      <c r="E104" s="236" t="n"/>
      <c r="F104" s="236" t="n"/>
      <c r="G104" s="288" t="n"/>
      <c r="H104" s="12" t="n"/>
      <c r="I104" s="236" t="n"/>
      <c r="J104" s="287" t="n"/>
      <c r="K104" s="236" t="n"/>
      <c r="L104" s="157" t="n"/>
      <c r="M104" s="236" t="n"/>
      <c r="N104" s="236" t="n"/>
      <c r="O104" s="236" t="n"/>
      <c r="P104" s="287" t="n"/>
      <c r="Q104" s="236" t="n"/>
      <c r="R104" s="236" t="n"/>
      <c r="S104" s="20" t="n"/>
      <c r="T104" s="20" t="n"/>
      <c r="U104" s="20" t="n"/>
    </row>
    <row r="105" ht="16.5" customHeight="1" s="237">
      <c r="A105" s="12" t="n"/>
      <c r="B105" s="287" t="n"/>
      <c r="C105" s="12" t="n"/>
      <c r="D105" s="12" t="n"/>
      <c r="E105" s="236" t="n"/>
      <c r="F105" s="236" t="n"/>
      <c r="G105" s="288" t="n"/>
      <c r="H105" s="12" t="n"/>
      <c r="I105" s="236" t="n"/>
      <c r="J105" s="287" t="n"/>
      <c r="K105" s="236" t="n"/>
      <c r="L105" s="157" t="n"/>
      <c r="M105" s="236" t="n"/>
      <c r="N105" s="236" t="n"/>
      <c r="O105" s="236" t="n"/>
      <c r="P105" s="287" t="n"/>
      <c r="Q105" s="236" t="n"/>
      <c r="R105" s="236" t="n"/>
      <c r="S105" s="20" t="n"/>
      <c r="T105" s="20" t="n"/>
      <c r="U105" s="20" t="n"/>
    </row>
    <row r="106" ht="16.5" customHeight="1" s="237">
      <c r="A106" s="12" t="n"/>
      <c r="B106" s="287" t="n"/>
      <c r="C106" s="12" t="n"/>
      <c r="D106" s="12" t="n"/>
      <c r="E106" s="236" t="n"/>
      <c r="F106" s="236" t="n"/>
      <c r="G106" s="288" t="n"/>
      <c r="H106" s="12" t="n"/>
      <c r="I106" s="236" t="n"/>
      <c r="J106" s="287" t="n"/>
      <c r="K106" s="236" t="n"/>
      <c r="L106" s="157" t="n"/>
      <c r="M106" s="236" t="n"/>
      <c r="N106" s="236" t="n"/>
      <c r="O106" s="236" t="n"/>
      <c r="P106" s="287" t="n"/>
      <c r="Q106" s="236" t="n"/>
      <c r="R106" s="236" t="n"/>
      <c r="S106" s="20" t="n"/>
      <c r="T106" s="20" t="n"/>
      <c r="U106" s="20" t="n"/>
    </row>
    <row r="107" ht="16.5" customHeight="1" s="237">
      <c r="A107" s="12" t="n"/>
      <c r="B107" s="287" t="n"/>
      <c r="C107" s="12" t="n"/>
      <c r="D107" s="12" t="n"/>
      <c r="E107" s="236" t="n"/>
      <c r="F107" s="236" t="n"/>
      <c r="G107" s="288" t="n"/>
      <c r="H107" s="12" t="n"/>
      <c r="I107" s="236" t="n"/>
      <c r="J107" s="287" t="n"/>
      <c r="K107" s="236" t="n"/>
      <c r="L107" s="157" t="n"/>
      <c r="M107" s="236" t="n"/>
      <c r="N107" s="236" t="n"/>
      <c r="O107" s="236" t="n"/>
      <c r="P107" s="287" t="n"/>
      <c r="Q107" s="236" t="n"/>
      <c r="R107" s="236" t="n"/>
      <c r="S107" s="20" t="n"/>
      <c r="T107" s="20" t="n"/>
      <c r="U107" s="20" t="n"/>
    </row>
    <row r="108" ht="16.5" customHeight="1" s="237">
      <c r="A108" s="12" t="n"/>
      <c r="B108" s="287" t="n"/>
      <c r="C108" s="12" t="n"/>
      <c r="D108" s="12" t="n"/>
      <c r="E108" s="236" t="n"/>
      <c r="F108" s="236" t="n"/>
      <c r="G108" s="288" t="n"/>
      <c r="H108" s="12" t="n"/>
      <c r="I108" s="236" t="n"/>
      <c r="J108" s="287" t="n"/>
      <c r="K108" s="236" t="n"/>
      <c r="L108" s="157" t="n"/>
      <c r="M108" s="236" t="n"/>
      <c r="N108" s="236" t="n"/>
      <c r="O108" s="236" t="n"/>
      <c r="P108" s="287" t="n"/>
      <c r="Q108" s="236" t="n"/>
      <c r="R108" s="236" t="n"/>
      <c r="S108" s="20" t="n"/>
      <c r="T108" s="20" t="n"/>
      <c r="U108" s="20" t="n"/>
    </row>
    <row r="109" ht="16.5" customHeight="1" s="237">
      <c r="A109" s="12" t="n"/>
      <c r="B109" s="287" t="n"/>
      <c r="C109" s="12" t="n"/>
      <c r="D109" s="12" t="n"/>
      <c r="E109" s="236" t="n"/>
      <c r="F109" s="236" t="n"/>
      <c r="G109" s="288" t="n"/>
      <c r="H109" s="12" t="n"/>
      <c r="I109" s="236" t="n"/>
      <c r="J109" s="287" t="n"/>
      <c r="K109" s="236" t="n"/>
      <c r="L109" s="157" t="n"/>
      <c r="M109" s="236" t="n"/>
      <c r="N109" s="236" t="n"/>
      <c r="O109" s="236" t="n"/>
      <c r="P109" s="287" t="n"/>
      <c r="Q109" s="236" t="n"/>
      <c r="R109" s="236" t="n"/>
      <c r="S109" s="20" t="n"/>
      <c r="T109" s="20" t="n"/>
      <c r="U109" s="20" t="n"/>
    </row>
    <row r="110" ht="16.5" customHeight="1" s="237">
      <c r="A110" s="12" t="n"/>
      <c r="B110" s="287" t="n"/>
      <c r="C110" s="12" t="n"/>
      <c r="D110" s="12" t="n"/>
      <c r="E110" s="236" t="n"/>
      <c r="F110" s="236" t="n"/>
      <c r="G110" s="288" t="n"/>
      <c r="H110" s="12" t="n"/>
      <c r="I110" s="236" t="n"/>
      <c r="J110" s="287" t="n"/>
      <c r="K110" s="236" t="n"/>
      <c r="L110" s="157" t="n"/>
      <c r="M110" s="236" t="n"/>
      <c r="N110" s="236" t="n"/>
      <c r="O110" s="236" t="n"/>
      <c r="P110" s="287" t="n"/>
      <c r="Q110" s="236" t="n"/>
      <c r="R110" s="236" t="n"/>
      <c r="S110" s="20" t="n"/>
      <c r="T110" s="20" t="n"/>
      <c r="U110" s="20" t="n"/>
    </row>
    <row r="111" ht="16.5" customHeight="1" s="237">
      <c r="A111" s="12" t="n"/>
      <c r="B111" s="287" t="n"/>
      <c r="C111" s="12" t="n"/>
      <c r="D111" s="12" t="n"/>
      <c r="E111" s="236" t="n"/>
      <c r="F111" s="236" t="n"/>
      <c r="G111" s="288" t="n"/>
      <c r="H111" s="12" t="n"/>
      <c r="I111" s="236" t="n"/>
      <c r="J111" s="287" t="n"/>
      <c r="K111" s="236" t="n"/>
      <c r="L111" s="157" t="n"/>
      <c r="M111" s="236" t="n"/>
      <c r="N111" s="236" t="n"/>
      <c r="O111" s="236" t="n"/>
      <c r="P111" s="287" t="n"/>
      <c r="Q111" s="236" t="n"/>
      <c r="R111" s="236" t="n"/>
      <c r="S111" s="20" t="n"/>
      <c r="T111" s="20" t="n"/>
      <c r="U111" s="20" t="n"/>
    </row>
    <row r="112" ht="16.5" customHeight="1" s="237">
      <c r="A112" s="12" t="n"/>
      <c r="B112" s="287" t="n"/>
      <c r="C112" s="12" t="n"/>
      <c r="D112" s="12" t="n"/>
      <c r="E112" s="236" t="n"/>
      <c r="F112" s="236" t="n"/>
      <c r="G112" s="288" t="n"/>
      <c r="H112" s="12" t="n"/>
      <c r="I112" s="236" t="n"/>
      <c r="J112" s="287" t="n"/>
      <c r="K112" s="236" t="n"/>
      <c r="L112" s="157" t="n"/>
      <c r="M112" s="236" t="n"/>
      <c r="N112" s="236" t="n"/>
      <c r="O112" s="236" t="n"/>
      <c r="P112" s="287" t="n"/>
      <c r="Q112" s="236" t="n"/>
      <c r="R112" s="236" t="n"/>
      <c r="S112" s="20" t="n"/>
      <c r="T112" s="20" t="n"/>
      <c r="U112" s="20" t="n"/>
    </row>
    <row r="113" ht="16.5" customHeight="1" s="237">
      <c r="A113" s="12" t="n"/>
      <c r="B113" s="287" t="n"/>
      <c r="C113" s="12" t="n"/>
      <c r="D113" s="12" t="n"/>
      <c r="E113" s="236" t="n"/>
      <c r="F113" s="236" t="n"/>
      <c r="G113" s="288" t="n"/>
      <c r="H113" s="12" t="n"/>
      <c r="I113" s="236" t="n"/>
      <c r="J113" s="287" t="n"/>
      <c r="K113" s="236" t="n"/>
      <c r="L113" s="157" t="n"/>
      <c r="M113" s="236" t="n"/>
      <c r="N113" s="236" t="n"/>
      <c r="O113" s="236" t="n"/>
      <c r="P113" s="287" t="n"/>
      <c r="Q113" s="236" t="n"/>
      <c r="R113" s="236" t="n"/>
      <c r="S113" s="20" t="n"/>
      <c r="T113" s="20" t="n"/>
      <c r="U113" s="20" t="n"/>
    </row>
    <row r="114" ht="16.5" customHeight="1" s="237">
      <c r="A114" s="12" t="n"/>
      <c r="B114" s="287" t="n"/>
      <c r="C114" s="12" t="n"/>
      <c r="D114" s="12" t="n"/>
      <c r="E114" s="236" t="n"/>
      <c r="F114" s="236" t="n"/>
      <c r="G114" s="288" t="n"/>
      <c r="H114" s="12" t="n"/>
      <c r="I114" s="236" t="n"/>
      <c r="J114" s="287" t="n"/>
      <c r="K114" s="236" t="n"/>
      <c r="L114" s="157" t="n"/>
      <c r="M114" s="236" t="n"/>
      <c r="N114" s="236" t="n"/>
      <c r="O114" s="236" t="n"/>
      <c r="P114" s="287" t="n"/>
      <c r="Q114" s="236" t="n"/>
      <c r="R114" s="236" t="n"/>
      <c r="S114" s="20" t="n"/>
      <c r="T114" s="20" t="n"/>
      <c r="U114" s="20" t="n"/>
    </row>
    <row r="115" ht="16.5" customHeight="1" s="237">
      <c r="A115" s="12" t="n"/>
      <c r="B115" s="287" t="n"/>
      <c r="C115" s="12" t="n"/>
      <c r="D115" s="12" t="n"/>
      <c r="E115" s="236" t="n"/>
      <c r="F115" s="236" t="n"/>
      <c r="G115" s="288" t="n"/>
      <c r="H115" s="12" t="n"/>
      <c r="I115" s="236" t="n"/>
      <c r="J115" s="287" t="n"/>
      <c r="K115" s="236" t="n"/>
      <c r="L115" s="157" t="n"/>
      <c r="M115" s="236" t="n"/>
      <c r="N115" s="236" t="n"/>
      <c r="O115" s="236" t="n"/>
      <c r="P115" s="287" t="n"/>
      <c r="Q115" s="236" t="n"/>
      <c r="R115" s="236" t="n"/>
      <c r="S115" s="20" t="n"/>
      <c r="T115" s="20" t="n"/>
      <c r="U115" s="20" t="n"/>
    </row>
    <row r="116" ht="16.5" customHeight="1" s="237">
      <c r="A116" s="12" t="n"/>
      <c r="B116" s="287" t="n"/>
      <c r="C116" s="12" t="n"/>
      <c r="D116" s="12" t="n"/>
      <c r="E116" s="236" t="n"/>
      <c r="F116" s="236" t="n"/>
      <c r="G116" s="288" t="n"/>
      <c r="H116" s="12" t="n"/>
      <c r="I116" s="236" t="n"/>
      <c r="J116" s="287" t="n"/>
      <c r="K116" s="236" t="n"/>
      <c r="L116" s="157" t="n"/>
      <c r="M116" s="236" t="n"/>
      <c r="N116" s="236" t="n"/>
      <c r="O116" s="236" t="n"/>
      <c r="P116" s="287" t="n"/>
      <c r="Q116" s="236" t="n"/>
      <c r="R116" s="236" t="n"/>
      <c r="S116" s="20" t="n"/>
      <c r="T116" s="20" t="n"/>
      <c r="U116" s="20" t="n"/>
    </row>
    <row r="117" ht="16.5" customHeight="1" s="237">
      <c r="A117" s="12" t="n"/>
      <c r="B117" s="287" t="n"/>
      <c r="C117" s="12" t="n"/>
      <c r="D117" s="12" t="n"/>
      <c r="E117" s="236" t="n"/>
      <c r="F117" s="236" t="n"/>
      <c r="G117" s="288" t="n"/>
      <c r="H117" s="12" t="n"/>
      <c r="I117" s="236" t="n"/>
      <c r="J117" s="287" t="n"/>
      <c r="K117" s="236" t="n"/>
      <c r="L117" s="157" t="n"/>
      <c r="M117" s="236" t="n"/>
      <c r="N117" s="236" t="n"/>
      <c r="O117" s="236" t="n"/>
      <c r="P117" s="287" t="n"/>
      <c r="Q117" s="236" t="n"/>
      <c r="R117" s="236" t="n"/>
      <c r="S117" s="20" t="n"/>
      <c r="T117" s="20" t="n"/>
      <c r="U117" s="20" t="n"/>
    </row>
    <row r="118" ht="16.5" customHeight="1" s="237">
      <c r="A118" s="12" t="n"/>
      <c r="B118" s="287" t="n"/>
      <c r="C118" s="12" t="n"/>
      <c r="D118" s="12" t="n"/>
      <c r="E118" s="236" t="n"/>
      <c r="F118" s="236" t="n"/>
      <c r="G118" s="288" t="n"/>
      <c r="H118" s="12" t="n"/>
      <c r="I118" s="236" t="n"/>
      <c r="J118" s="287" t="n"/>
      <c r="K118" s="236" t="n"/>
      <c r="L118" s="157" t="n"/>
      <c r="M118" s="236" t="n"/>
      <c r="N118" s="236" t="n"/>
      <c r="O118" s="236" t="n"/>
      <c r="P118" s="287" t="n"/>
      <c r="Q118" s="236" t="n"/>
      <c r="R118" s="236" t="n"/>
      <c r="S118" s="20" t="n"/>
      <c r="T118" s="20" t="n"/>
      <c r="U118" s="20" t="n"/>
    </row>
    <row r="119" ht="15.75" customHeight="1" s="237">
      <c r="A119" s="12" t="n"/>
      <c r="B119" s="287" t="n"/>
      <c r="C119" s="12" t="n"/>
      <c r="D119" s="12" t="n"/>
      <c r="E119" s="236" t="n"/>
      <c r="F119" s="236" t="n"/>
      <c r="G119" s="288" t="n"/>
      <c r="H119" s="12" t="n"/>
      <c r="I119" s="236" t="n"/>
      <c r="J119" s="287" t="n"/>
      <c r="K119" s="236" t="n"/>
      <c r="L119" s="157" t="n"/>
      <c r="M119" s="236" t="n"/>
      <c r="N119" s="236" t="n"/>
      <c r="O119" s="236" t="n"/>
      <c r="P119" s="287" t="n"/>
      <c r="Q119" s="236" t="n"/>
      <c r="R119" s="236" t="n"/>
      <c r="S119" s="20" t="n"/>
      <c r="T119" s="20" t="n"/>
      <c r="U119" s="20" t="n"/>
    </row>
    <row r="120" ht="15.75" customHeight="1" s="237">
      <c r="A120" s="12" t="n"/>
      <c r="B120" s="287" t="n"/>
      <c r="C120" s="12" t="n"/>
      <c r="D120" s="12" t="n"/>
      <c r="E120" s="236" t="n"/>
      <c r="F120" s="236" t="n"/>
      <c r="G120" s="288" t="n"/>
      <c r="H120" s="12" t="n"/>
      <c r="I120" s="236" t="n"/>
      <c r="J120" s="287" t="n"/>
      <c r="K120" s="236" t="n"/>
      <c r="L120" s="157" t="n"/>
      <c r="M120" s="236" t="n"/>
      <c r="N120" s="236" t="n"/>
      <c r="O120" s="236" t="n"/>
      <c r="P120" s="287" t="n"/>
      <c r="Q120" s="236" t="n"/>
      <c r="R120" s="236" t="n"/>
      <c r="S120" s="20" t="n"/>
      <c r="T120" s="20" t="n"/>
      <c r="U120" s="20" t="n"/>
    </row>
    <row r="121" ht="15.75" customHeight="1" s="237">
      <c r="A121" s="12" t="n"/>
      <c r="B121" s="287" t="n"/>
      <c r="C121" s="12" t="n"/>
      <c r="D121" s="12" t="n"/>
      <c r="E121" s="236" t="n"/>
      <c r="F121" s="236" t="n"/>
      <c r="G121" s="288" t="n"/>
      <c r="H121" s="12" t="n"/>
      <c r="I121" s="236" t="n"/>
      <c r="J121" s="287" t="n"/>
      <c r="K121" s="236" t="n"/>
      <c r="L121" s="157" t="n"/>
      <c r="M121" s="236" t="n"/>
      <c r="N121" s="236" t="n"/>
      <c r="O121" s="236" t="n"/>
      <c r="P121" s="287" t="n"/>
      <c r="Q121" s="236" t="n"/>
      <c r="R121" s="236" t="n"/>
      <c r="S121" s="20" t="n"/>
      <c r="T121" s="20" t="n"/>
      <c r="U121" s="20" t="n"/>
    </row>
    <row r="122" ht="15.75" customHeight="1" s="237">
      <c r="A122" s="12" t="n"/>
      <c r="B122" s="287" t="n"/>
      <c r="C122" s="12" t="n"/>
      <c r="D122" s="12" t="n"/>
      <c r="E122" s="236" t="n"/>
      <c r="F122" s="236" t="n"/>
      <c r="G122" s="288" t="n"/>
      <c r="H122" s="12" t="n"/>
      <c r="I122" s="236" t="n"/>
      <c r="J122" s="287" t="n"/>
      <c r="K122" s="236" t="n"/>
      <c r="L122" s="157" t="n"/>
      <c r="M122" s="236" t="n"/>
      <c r="N122" s="236" t="n"/>
      <c r="O122" s="236" t="n"/>
      <c r="P122" s="287" t="n"/>
      <c r="Q122" s="236" t="n"/>
      <c r="R122" s="236" t="n"/>
      <c r="S122" s="20" t="n"/>
      <c r="T122" s="20" t="n"/>
      <c r="U122" s="20" t="n"/>
    </row>
    <row r="123" ht="15.75" customHeight="1" s="237">
      <c r="A123" s="12" t="n"/>
      <c r="B123" s="287" t="n"/>
      <c r="C123" s="12" t="n"/>
      <c r="D123" s="12" t="n"/>
      <c r="E123" s="236" t="n"/>
      <c r="F123" s="236" t="n"/>
      <c r="G123" s="288" t="n"/>
      <c r="H123" s="12" t="n"/>
      <c r="I123" s="236" t="n"/>
      <c r="J123" s="287" t="n"/>
      <c r="K123" s="236" t="n"/>
      <c r="L123" s="157" t="n"/>
      <c r="M123" s="236" t="n"/>
      <c r="N123" s="236" t="n"/>
      <c r="O123" s="236" t="n"/>
      <c r="P123" s="287" t="n"/>
      <c r="Q123" s="236" t="n"/>
      <c r="R123" s="236" t="n"/>
      <c r="S123" s="20" t="n"/>
      <c r="T123" s="20" t="n"/>
      <c r="U123" s="20" t="n"/>
    </row>
    <row r="124" ht="15.75" customHeight="1" s="237">
      <c r="A124" s="12" t="n"/>
      <c r="B124" s="287" t="n"/>
      <c r="C124" s="12" t="n"/>
      <c r="D124" s="12" t="n"/>
      <c r="E124" s="236" t="n"/>
      <c r="F124" s="236" t="n"/>
      <c r="G124" s="288" t="n"/>
      <c r="H124" s="12" t="n"/>
      <c r="I124" s="236" t="n"/>
      <c r="J124" s="287" t="n"/>
      <c r="K124" s="236" t="n"/>
      <c r="L124" s="157" t="n"/>
      <c r="M124" s="236" t="n"/>
      <c r="N124" s="236" t="n"/>
      <c r="O124" s="236" t="n"/>
      <c r="P124" s="287" t="n"/>
      <c r="Q124" s="236" t="n"/>
      <c r="R124" s="236" t="n"/>
      <c r="S124" s="20" t="n"/>
      <c r="T124" s="20" t="n"/>
      <c r="U124" s="20" t="n"/>
    </row>
    <row r="125" ht="15.75" customHeight="1" s="237">
      <c r="A125" s="12" t="n"/>
      <c r="B125" s="287" t="n"/>
      <c r="C125" s="12" t="n"/>
      <c r="D125" s="12" t="n"/>
      <c r="E125" s="236" t="n"/>
      <c r="F125" s="236" t="n"/>
      <c r="G125" s="288" t="n"/>
      <c r="H125" s="12" t="n"/>
      <c r="I125" s="236" t="n"/>
      <c r="J125" s="287" t="n"/>
      <c r="K125" s="236" t="n"/>
      <c r="L125" s="157" t="n"/>
      <c r="M125" s="236" t="n"/>
      <c r="N125" s="236" t="n"/>
      <c r="O125" s="236" t="n"/>
      <c r="P125" s="287" t="n"/>
      <c r="Q125" s="236" t="n"/>
      <c r="R125" s="236" t="n"/>
      <c r="S125" s="20" t="n"/>
      <c r="T125" s="20" t="n"/>
      <c r="U125" s="20" t="n"/>
    </row>
    <row r="126" ht="15.75" customHeight="1" s="237">
      <c r="A126" s="12" t="n"/>
      <c r="B126" s="287" t="n"/>
      <c r="C126" s="12" t="n"/>
      <c r="D126" s="12" t="n"/>
      <c r="E126" s="236" t="n"/>
      <c r="F126" s="236" t="n"/>
      <c r="G126" s="288" t="n"/>
      <c r="H126" s="12" t="n"/>
      <c r="I126" s="236" t="n"/>
      <c r="J126" s="287" t="n"/>
      <c r="K126" s="236" t="n"/>
      <c r="L126" s="157" t="n"/>
      <c r="M126" s="236" t="n"/>
      <c r="N126" s="236" t="n"/>
      <c r="O126" s="236" t="n"/>
      <c r="P126" s="287" t="n"/>
      <c r="Q126" s="236" t="n"/>
      <c r="R126" s="236" t="n"/>
      <c r="S126" s="20" t="n"/>
      <c r="T126" s="20" t="n"/>
      <c r="U126" s="20" t="n"/>
    </row>
    <row r="127" ht="15.75" customHeight="1" s="237">
      <c r="A127" s="12" t="n"/>
      <c r="B127" s="287" t="n"/>
      <c r="C127" s="12" t="n"/>
      <c r="D127" s="12" t="n"/>
      <c r="E127" s="236" t="n"/>
      <c r="F127" s="236" t="n"/>
      <c r="G127" s="288" t="n"/>
      <c r="H127" s="12" t="n"/>
      <c r="I127" s="236" t="n"/>
      <c r="J127" s="287" t="n"/>
      <c r="K127" s="236" t="n"/>
      <c r="L127" s="157" t="n"/>
      <c r="M127" s="236" t="n"/>
      <c r="N127" s="236" t="n"/>
      <c r="O127" s="236" t="n"/>
      <c r="P127" s="287" t="n"/>
      <c r="Q127" s="236" t="n"/>
      <c r="R127" s="236" t="n"/>
      <c r="S127" s="20" t="n"/>
      <c r="T127" s="20" t="n"/>
      <c r="U127" s="20" t="n"/>
    </row>
    <row r="128" ht="15.75" customHeight="1" s="237">
      <c r="A128" s="12" t="n"/>
      <c r="B128" s="287" t="n"/>
      <c r="C128" s="12" t="n"/>
      <c r="D128" s="12" t="n"/>
      <c r="E128" s="236" t="n"/>
      <c r="F128" s="236" t="n"/>
      <c r="G128" s="288" t="n"/>
      <c r="H128" s="12" t="n"/>
      <c r="I128" s="236" t="n"/>
      <c r="J128" s="287" t="n"/>
      <c r="K128" s="236" t="n"/>
      <c r="L128" s="157" t="n"/>
      <c r="M128" s="236" t="n"/>
      <c r="N128" s="236" t="n"/>
      <c r="O128" s="236" t="n"/>
      <c r="P128" s="287" t="n"/>
      <c r="Q128" s="236" t="n"/>
      <c r="R128" s="236" t="n"/>
      <c r="S128" s="20" t="n"/>
      <c r="T128" s="20" t="n"/>
      <c r="U128" s="20" t="n"/>
    </row>
    <row r="129" ht="15.75" customHeight="1" s="237">
      <c r="A129" s="12" t="n"/>
      <c r="B129" s="287" t="n"/>
      <c r="C129" s="12" t="n"/>
      <c r="D129" s="12" t="n"/>
      <c r="E129" s="236" t="n"/>
      <c r="F129" s="236" t="n"/>
      <c r="G129" s="288" t="n"/>
      <c r="H129" s="12" t="n"/>
      <c r="I129" s="236" t="n"/>
      <c r="J129" s="287" t="n"/>
      <c r="K129" s="236" t="n"/>
      <c r="L129" s="157" t="n"/>
      <c r="M129" s="236" t="n"/>
      <c r="N129" s="236" t="n"/>
      <c r="O129" s="236" t="n"/>
      <c r="P129" s="287" t="n"/>
      <c r="Q129" s="236" t="n"/>
      <c r="R129" s="236" t="n"/>
      <c r="S129" s="20" t="n"/>
      <c r="T129" s="20" t="n"/>
      <c r="U129" s="20" t="n"/>
    </row>
    <row r="130" ht="15.75" customHeight="1" s="237">
      <c r="A130" s="12" t="n"/>
      <c r="B130" s="287" t="n"/>
      <c r="C130" s="12" t="n"/>
      <c r="D130" s="12" t="n"/>
      <c r="E130" s="236" t="n"/>
      <c r="F130" s="236" t="n"/>
      <c r="G130" s="288" t="n"/>
      <c r="H130" s="12" t="n"/>
      <c r="I130" s="236" t="n"/>
      <c r="J130" s="287" t="n"/>
      <c r="K130" s="236" t="n"/>
      <c r="L130" s="157" t="n"/>
      <c r="M130" s="236" t="n"/>
      <c r="N130" s="236" t="n"/>
      <c r="O130" s="236" t="n"/>
      <c r="P130" s="287" t="n"/>
      <c r="Q130" s="236" t="n"/>
      <c r="R130" s="236" t="n"/>
      <c r="S130" s="20" t="n"/>
      <c r="T130" s="20" t="n"/>
      <c r="U130" s="20" t="n"/>
    </row>
    <row r="131" ht="15.75" customHeight="1" s="237">
      <c r="A131" s="12" t="n"/>
      <c r="B131" s="287" t="n"/>
      <c r="C131" s="12" t="n"/>
      <c r="D131" s="12" t="n"/>
      <c r="E131" s="236" t="n"/>
      <c r="F131" s="236" t="n"/>
      <c r="G131" s="288" t="n"/>
      <c r="H131" s="12" t="n"/>
      <c r="I131" s="236" t="n"/>
      <c r="J131" s="287" t="n"/>
      <c r="K131" s="236" t="n"/>
      <c r="L131" s="157" t="n"/>
      <c r="M131" s="236" t="n"/>
      <c r="N131" s="236" t="n"/>
      <c r="O131" s="236" t="n"/>
      <c r="P131" s="287" t="n"/>
      <c r="Q131" s="236" t="n"/>
      <c r="R131" s="236" t="n"/>
      <c r="S131" s="20" t="n"/>
      <c r="T131" s="20" t="n"/>
      <c r="U131" s="20" t="n"/>
    </row>
    <row r="132" ht="15.75" customHeight="1" s="237">
      <c r="A132" s="12" t="n"/>
      <c r="B132" s="287" t="n"/>
      <c r="C132" s="12" t="n"/>
      <c r="D132" s="12" t="n"/>
      <c r="E132" s="236" t="n"/>
      <c r="F132" s="236" t="n"/>
      <c r="G132" s="288" t="n"/>
      <c r="H132" s="12" t="n"/>
      <c r="I132" s="236" t="n"/>
      <c r="J132" s="287" t="n"/>
      <c r="K132" s="236" t="n"/>
      <c r="L132" s="157" t="n"/>
      <c r="M132" s="236" t="n"/>
      <c r="N132" s="236" t="n"/>
      <c r="O132" s="236" t="n"/>
      <c r="P132" s="287" t="n"/>
      <c r="Q132" s="236" t="n"/>
      <c r="R132" s="236" t="n"/>
      <c r="S132" s="20" t="n"/>
      <c r="T132" s="20" t="n"/>
      <c r="U132" s="20" t="n"/>
    </row>
    <row r="133" ht="15.75" customHeight="1" s="237">
      <c r="A133" s="12" t="n"/>
      <c r="B133" s="287" t="n"/>
      <c r="C133" s="12" t="n"/>
      <c r="D133" s="12" t="n"/>
      <c r="E133" s="236" t="n"/>
      <c r="F133" s="236" t="n"/>
      <c r="G133" s="288" t="n"/>
      <c r="H133" s="12" t="n"/>
      <c r="I133" s="236" t="n"/>
      <c r="J133" s="287" t="n"/>
      <c r="K133" s="236" t="n"/>
      <c r="L133" s="157" t="n"/>
      <c r="M133" s="236" t="n"/>
      <c r="N133" s="236" t="n"/>
      <c r="O133" s="236" t="n"/>
      <c r="P133" s="287" t="n"/>
      <c r="Q133" s="236" t="n"/>
      <c r="R133" s="236" t="n"/>
      <c r="S133" s="20" t="n"/>
      <c r="T133" s="20" t="n"/>
      <c r="U133" s="20" t="n"/>
    </row>
    <row r="134" ht="15.75" customHeight="1" s="237">
      <c r="A134" s="12" t="n"/>
      <c r="B134" s="287" t="n"/>
      <c r="C134" s="12" t="n"/>
      <c r="D134" s="12" t="n"/>
      <c r="E134" s="236" t="n"/>
      <c r="F134" s="236" t="n"/>
      <c r="G134" s="288" t="n"/>
      <c r="H134" s="12" t="n"/>
      <c r="I134" s="236" t="n"/>
      <c r="J134" s="287" t="n"/>
      <c r="K134" s="236" t="n"/>
      <c r="L134" s="157" t="n"/>
      <c r="M134" s="236" t="n"/>
      <c r="N134" s="236" t="n"/>
      <c r="O134" s="236" t="n"/>
      <c r="P134" s="287" t="n"/>
      <c r="Q134" s="236" t="n"/>
      <c r="R134" s="236" t="n"/>
      <c r="S134" s="20" t="n"/>
      <c r="T134" s="20" t="n"/>
      <c r="U134" s="20" t="n"/>
    </row>
    <row r="135" ht="15.75" customHeight="1" s="237">
      <c r="A135" s="12" t="n"/>
      <c r="B135" s="287" t="n"/>
      <c r="C135" s="12" t="n"/>
      <c r="D135" s="12" t="n"/>
      <c r="E135" s="236" t="n"/>
      <c r="F135" s="236" t="n"/>
      <c r="G135" s="288" t="n"/>
      <c r="H135" s="12" t="n"/>
      <c r="I135" s="236" t="n"/>
      <c r="J135" s="287" t="n"/>
      <c r="K135" s="236" t="n"/>
      <c r="L135" s="157" t="n"/>
      <c r="M135" s="236" t="n"/>
      <c r="N135" s="236" t="n"/>
      <c r="O135" s="236" t="n"/>
      <c r="P135" s="287" t="n"/>
      <c r="Q135" s="236" t="n"/>
      <c r="R135" s="236" t="n"/>
      <c r="S135" s="20" t="n"/>
      <c r="T135" s="20" t="n"/>
      <c r="U135" s="20" t="n"/>
    </row>
    <row r="136" ht="15.75" customHeight="1" s="237">
      <c r="A136" s="12" t="n"/>
      <c r="B136" s="287" t="n"/>
      <c r="C136" s="12" t="n"/>
      <c r="D136" s="12" t="n"/>
      <c r="E136" s="236" t="n"/>
      <c r="F136" s="236" t="n"/>
      <c r="G136" s="288" t="n"/>
      <c r="H136" s="12" t="n"/>
      <c r="I136" s="236" t="n"/>
      <c r="J136" s="287" t="n"/>
      <c r="K136" s="236" t="n"/>
      <c r="L136" s="157" t="n"/>
      <c r="M136" s="236" t="n"/>
      <c r="N136" s="236" t="n"/>
      <c r="O136" s="236" t="n"/>
      <c r="P136" s="287" t="n"/>
      <c r="Q136" s="236" t="n"/>
      <c r="R136" s="236" t="n"/>
      <c r="S136" s="20" t="n"/>
      <c r="T136" s="20" t="n"/>
      <c r="U136" s="20" t="n"/>
    </row>
    <row r="137" ht="15.75" customHeight="1" s="237">
      <c r="A137" s="12" t="n"/>
      <c r="B137" s="287" t="n"/>
      <c r="C137" s="12" t="n"/>
      <c r="D137" s="12" t="n"/>
      <c r="E137" s="236" t="n"/>
      <c r="F137" s="236" t="n"/>
      <c r="G137" s="288" t="n"/>
      <c r="H137" s="12" t="n"/>
      <c r="I137" s="236" t="n"/>
      <c r="J137" s="287" t="n"/>
      <c r="K137" s="236" t="n"/>
      <c r="L137" s="157" t="n"/>
      <c r="M137" s="236" t="n"/>
      <c r="N137" s="236" t="n"/>
      <c r="O137" s="236" t="n"/>
      <c r="P137" s="287" t="n"/>
      <c r="Q137" s="236" t="n"/>
      <c r="R137" s="236" t="n"/>
      <c r="S137" s="20" t="n"/>
      <c r="T137" s="20" t="n"/>
      <c r="U137" s="20" t="n"/>
    </row>
    <row r="138" ht="15.75" customHeight="1" s="237">
      <c r="A138" s="12" t="n"/>
      <c r="B138" s="287" t="n"/>
      <c r="C138" s="12" t="n"/>
      <c r="D138" s="12" t="n"/>
      <c r="E138" s="236" t="n"/>
      <c r="F138" s="236" t="n"/>
      <c r="G138" s="288" t="n"/>
      <c r="H138" s="12" t="n"/>
      <c r="I138" s="236" t="n"/>
      <c r="J138" s="287" t="n"/>
      <c r="K138" s="236" t="n"/>
      <c r="L138" s="157" t="n"/>
      <c r="M138" s="236" t="n"/>
      <c r="N138" s="236" t="n"/>
      <c r="O138" s="236" t="n"/>
      <c r="P138" s="287" t="n"/>
      <c r="Q138" s="236" t="n"/>
      <c r="R138" s="236" t="n"/>
      <c r="S138" s="20" t="n"/>
      <c r="T138" s="20" t="n"/>
      <c r="U138" s="20" t="n"/>
    </row>
    <row r="139" ht="15.75" customHeight="1" s="237">
      <c r="A139" s="12" t="n"/>
      <c r="B139" s="287" t="n"/>
      <c r="C139" s="12" t="n"/>
      <c r="D139" s="12" t="n"/>
      <c r="E139" s="236" t="n"/>
      <c r="F139" s="236" t="n"/>
      <c r="G139" s="288" t="n"/>
      <c r="H139" s="12" t="n"/>
      <c r="I139" s="236" t="n"/>
      <c r="J139" s="287" t="n"/>
      <c r="K139" s="236" t="n"/>
      <c r="L139" s="157" t="n"/>
      <c r="M139" s="236" t="n"/>
      <c r="N139" s="236" t="n"/>
      <c r="O139" s="236" t="n"/>
      <c r="P139" s="287" t="n"/>
      <c r="Q139" s="236" t="n"/>
      <c r="R139" s="236" t="n"/>
      <c r="S139" s="20" t="n"/>
      <c r="T139" s="20" t="n"/>
      <c r="U139" s="20" t="n"/>
    </row>
    <row r="140" ht="15.75" customHeight="1" s="237">
      <c r="A140" s="12" t="n"/>
      <c r="B140" s="287" t="n"/>
      <c r="C140" s="12" t="n"/>
      <c r="D140" s="12" t="n"/>
      <c r="E140" s="236" t="n"/>
      <c r="F140" s="236" t="n"/>
      <c r="G140" s="288" t="n"/>
      <c r="H140" s="12" t="n"/>
      <c r="I140" s="236" t="n"/>
      <c r="J140" s="287" t="n"/>
      <c r="K140" s="236" t="n"/>
      <c r="L140" s="157" t="n"/>
      <c r="M140" s="236" t="n"/>
      <c r="N140" s="236" t="n"/>
      <c r="O140" s="236" t="n"/>
      <c r="P140" s="287" t="n"/>
      <c r="Q140" s="236" t="n"/>
      <c r="R140" s="236" t="n"/>
      <c r="S140" s="20" t="n"/>
      <c r="T140" s="20" t="n"/>
      <c r="U140" s="20" t="n"/>
    </row>
    <row r="141" ht="15.75" customHeight="1" s="237">
      <c r="A141" s="12" t="n"/>
      <c r="B141" s="287" t="n"/>
      <c r="C141" s="12" t="n"/>
      <c r="D141" s="12" t="n"/>
      <c r="E141" s="236" t="n"/>
      <c r="F141" s="236" t="n"/>
      <c r="G141" s="288" t="n"/>
      <c r="H141" s="12" t="n"/>
      <c r="I141" s="236" t="n"/>
      <c r="J141" s="287" t="n"/>
      <c r="K141" s="236" t="n"/>
      <c r="L141" s="157" t="n"/>
      <c r="M141" s="236" t="n"/>
      <c r="N141" s="236" t="n"/>
      <c r="O141" s="236" t="n"/>
      <c r="P141" s="287" t="n"/>
      <c r="Q141" s="236" t="n"/>
      <c r="R141" s="236" t="n"/>
      <c r="S141" s="20" t="n"/>
      <c r="T141" s="20" t="n"/>
      <c r="U141" s="20" t="n"/>
    </row>
    <row r="142" ht="15.75" customHeight="1" s="237">
      <c r="A142" s="12" t="n"/>
      <c r="B142" s="287" t="n"/>
      <c r="C142" s="12" t="n"/>
      <c r="D142" s="12" t="n"/>
      <c r="E142" s="236" t="n"/>
      <c r="F142" s="236" t="n"/>
      <c r="G142" s="288" t="n"/>
      <c r="H142" s="12" t="n"/>
      <c r="I142" s="236" t="n"/>
      <c r="J142" s="287" t="n"/>
      <c r="K142" s="236" t="n"/>
      <c r="L142" s="157" t="n"/>
      <c r="M142" s="236" t="n"/>
      <c r="N142" s="236" t="n"/>
      <c r="O142" s="236" t="n"/>
      <c r="P142" s="287" t="n"/>
      <c r="Q142" s="236" t="n"/>
      <c r="R142" s="236" t="n"/>
      <c r="S142" s="20" t="n"/>
      <c r="T142" s="20" t="n"/>
      <c r="U142" s="20" t="n"/>
    </row>
    <row r="143" ht="15.75" customHeight="1" s="237">
      <c r="A143" s="12" t="n"/>
      <c r="B143" s="287" t="n"/>
      <c r="C143" s="12" t="n"/>
      <c r="D143" s="12" t="n"/>
      <c r="E143" s="236" t="n"/>
      <c r="F143" s="236" t="n"/>
      <c r="G143" s="288" t="n"/>
      <c r="H143" s="12" t="n"/>
      <c r="I143" s="236" t="n"/>
      <c r="J143" s="287" t="n"/>
      <c r="K143" s="236" t="n"/>
      <c r="L143" s="157" t="n"/>
      <c r="M143" s="236" t="n"/>
      <c r="N143" s="236" t="n"/>
      <c r="O143" s="236" t="n"/>
      <c r="P143" s="287" t="n"/>
      <c r="Q143" s="236" t="n"/>
      <c r="R143" s="236" t="n"/>
      <c r="S143" s="20" t="n"/>
      <c r="T143" s="20" t="n"/>
      <c r="U143" s="20" t="n"/>
    </row>
    <row r="144" ht="15.75" customHeight="1" s="237">
      <c r="A144" s="12" t="n"/>
      <c r="B144" s="287" t="n"/>
      <c r="C144" s="12" t="n"/>
      <c r="D144" s="12" t="n"/>
      <c r="E144" s="236" t="n"/>
      <c r="F144" s="236" t="n"/>
      <c r="G144" s="288" t="n"/>
      <c r="H144" s="12" t="n"/>
      <c r="I144" s="236" t="n"/>
      <c r="J144" s="287" t="n"/>
      <c r="K144" s="236" t="n"/>
      <c r="L144" s="157" t="n"/>
      <c r="M144" s="236" t="n"/>
      <c r="N144" s="236" t="n"/>
      <c r="O144" s="236" t="n"/>
      <c r="P144" s="287" t="n"/>
      <c r="Q144" s="236" t="n"/>
      <c r="R144" s="236" t="n"/>
      <c r="S144" s="20" t="n"/>
      <c r="T144" s="20" t="n"/>
      <c r="U144" s="20" t="n"/>
    </row>
    <row r="145" ht="15.75" customHeight="1" s="237">
      <c r="A145" s="12" t="n"/>
      <c r="B145" s="287" t="n"/>
      <c r="C145" s="12" t="n"/>
      <c r="D145" s="12" t="n"/>
      <c r="E145" s="236" t="n"/>
      <c r="F145" s="236" t="n"/>
      <c r="G145" s="288" t="n"/>
      <c r="H145" s="12" t="n"/>
      <c r="I145" s="236" t="n"/>
      <c r="J145" s="287" t="n"/>
      <c r="K145" s="236" t="n"/>
      <c r="L145" s="157" t="n"/>
      <c r="M145" s="236" t="n"/>
      <c r="N145" s="236" t="n"/>
      <c r="O145" s="236" t="n"/>
      <c r="P145" s="287" t="n"/>
      <c r="Q145" s="236" t="n"/>
      <c r="R145" s="236" t="n"/>
      <c r="S145" s="20" t="n"/>
      <c r="T145" s="20" t="n"/>
      <c r="U145" s="20" t="n"/>
    </row>
    <row r="146" ht="15.75" customHeight="1" s="237">
      <c r="A146" s="12" t="n"/>
      <c r="B146" s="287" t="n"/>
      <c r="C146" s="12" t="n"/>
      <c r="D146" s="12" t="n"/>
      <c r="E146" s="236" t="n"/>
      <c r="F146" s="236" t="n"/>
      <c r="G146" s="288" t="n"/>
      <c r="H146" s="12" t="n"/>
      <c r="I146" s="236" t="n"/>
      <c r="J146" s="287" t="n"/>
      <c r="K146" s="236" t="n"/>
      <c r="L146" s="157" t="n"/>
      <c r="M146" s="236" t="n"/>
      <c r="N146" s="236" t="n"/>
      <c r="O146" s="236" t="n"/>
      <c r="P146" s="287" t="n"/>
      <c r="Q146" s="236" t="n"/>
      <c r="R146" s="236" t="n"/>
      <c r="S146" s="20" t="n"/>
      <c r="T146" s="20" t="n"/>
      <c r="U146" s="20" t="n"/>
    </row>
    <row r="147" ht="15.75" customHeight="1" s="237">
      <c r="A147" s="12" t="n"/>
      <c r="B147" s="287" t="n"/>
      <c r="C147" s="12" t="n"/>
      <c r="D147" s="12" t="n"/>
      <c r="E147" s="236" t="n"/>
      <c r="F147" s="236" t="n"/>
      <c r="G147" s="288" t="n"/>
      <c r="H147" s="12" t="n"/>
      <c r="I147" s="236" t="n"/>
      <c r="J147" s="287" t="n"/>
      <c r="K147" s="236" t="n"/>
      <c r="L147" s="157" t="n"/>
      <c r="M147" s="236" t="n"/>
      <c r="N147" s="236" t="n"/>
      <c r="O147" s="236" t="n"/>
      <c r="P147" s="287" t="n"/>
      <c r="Q147" s="236" t="n"/>
      <c r="R147" s="236" t="n"/>
      <c r="S147" s="20" t="n"/>
      <c r="T147" s="20" t="n"/>
      <c r="U147" s="20" t="n"/>
    </row>
    <row r="148" ht="15.75" customHeight="1" s="237">
      <c r="A148" s="12" t="n"/>
      <c r="B148" s="287" t="n"/>
      <c r="C148" s="12" t="n"/>
      <c r="D148" s="12" t="n"/>
      <c r="E148" s="236" t="n"/>
      <c r="F148" s="236" t="n"/>
      <c r="G148" s="288" t="n"/>
      <c r="H148" s="12" t="n"/>
      <c r="I148" s="236" t="n"/>
      <c r="J148" s="287" t="n"/>
      <c r="K148" s="236" t="n"/>
      <c r="L148" s="157" t="n"/>
      <c r="M148" s="236" t="n"/>
      <c r="N148" s="236" t="n"/>
      <c r="O148" s="236" t="n"/>
      <c r="P148" s="287" t="n"/>
      <c r="Q148" s="236" t="n"/>
      <c r="R148" s="236" t="n"/>
      <c r="S148" s="20" t="n"/>
      <c r="T148" s="20" t="n"/>
      <c r="U148" s="20" t="n"/>
    </row>
    <row r="149" ht="15.75" customHeight="1" s="237">
      <c r="A149" s="12" t="n"/>
      <c r="B149" s="287" t="n"/>
      <c r="C149" s="12" t="n"/>
      <c r="D149" s="12" t="n"/>
      <c r="E149" s="236" t="n"/>
      <c r="F149" s="236" t="n"/>
      <c r="G149" s="288" t="n"/>
      <c r="H149" s="12" t="n"/>
      <c r="I149" s="236" t="n"/>
      <c r="J149" s="287" t="n"/>
      <c r="K149" s="236" t="n"/>
      <c r="L149" s="157" t="n"/>
      <c r="M149" s="236" t="n"/>
      <c r="N149" s="236" t="n"/>
      <c r="O149" s="236" t="n"/>
      <c r="P149" s="287" t="n"/>
      <c r="Q149" s="236" t="n"/>
      <c r="R149" s="236" t="n"/>
      <c r="S149" s="20" t="n"/>
      <c r="T149" s="20" t="n"/>
      <c r="U149" s="20" t="n"/>
    </row>
    <row r="150" ht="15.75" customHeight="1" s="237">
      <c r="A150" s="12" t="n"/>
      <c r="B150" s="287" t="n"/>
      <c r="C150" s="12" t="n"/>
      <c r="D150" s="12" t="n"/>
      <c r="E150" s="236" t="n"/>
      <c r="F150" s="236" t="n"/>
      <c r="G150" s="288" t="n"/>
      <c r="H150" s="12" t="n"/>
      <c r="I150" s="236" t="n"/>
      <c r="J150" s="287" t="n"/>
      <c r="K150" s="236" t="n"/>
      <c r="L150" s="157" t="n"/>
      <c r="M150" s="236" t="n"/>
      <c r="N150" s="236" t="n"/>
      <c r="O150" s="236" t="n"/>
      <c r="P150" s="287" t="n"/>
      <c r="Q150" s="236" t="n"/>
      <c r="R150" s="236" t="n"/>
      <c r="S150" s="20" t="n"/>
      <c r="T150" s="20" t="n"/>
      <c r="U150" s="20" t="n"/>
    </row>
    <row r="151" ht="15.75" customHeight="1" s="237">
      <c r="A151" s="12" t="n"/>
      <c r="B151" s="287" t="n"/>
      <c r="C151" s="12" t="n"/>
      <c r="D151" s="12" t="n"/>
      <c r="E151" s="236" t="n"/>
      <c r="F151" s="236" t="n"/>
      <c r="G151" s="288" t="n"/>
      <c r="H151" s="12" t="n"/>
      <c r="I151" s="236" t="n"/>
      <c r="J151" s="287" t="n"/>
      <c r="K151" s="236" t="n"/>
      <c r="L151" s="157" t="n"/>
      <c r="M151" s="236" t="n"/>
      <c r="N151" s="236" t="n"/>
      <c r="O151" s="236" t="n"/>
      <c r="P151" s="287" t="n"/>
      <c r="Q151" s="236" t="n"/>
      <c r="R151" s="236" t="n"/>
      <c r="S151" s="20" t="n"/>
      <c r="T151" s="20" t="n"/>
      <c r="U151" s="20" t="n"/>
    </row>
    <row r="152" ht="15.75" customHeight="1" s="237">
      <c r="A152" s="12" t="n"/>
      <c r="B152" s="287" t="n"/>
      <c r="C152" s="12" t="n"/>
      <c r="D152" s="12" t="n"/>
      <c r="E152" s="236" t="n"/>
      <c r="F152" s="236" t="n"/>
      <c r="G152" s="288" t="n"/>
      <c r="H152" s="12" t="n"/>
      <c r="I152" s="236" t="n"/>
      <c r="J152" s="287" t="n"/>
      <c r="K152" s="236" t="n"/>
      <c r="L152" s="157" t="n"/>
      <c r="M152" s="236" t="n"/>
      <c r="N152" s="236" t="n"/>
      <c r="O152" s="236" t="n"/>
      <c r="P152" s="287" t="n"/>
      <c r="Q152" s="236" t="n"/>
      <c r="R152" s="236" t="n"/>
      <c r="S152" s="20" t="n"/>
      <c r="T152" s="20" t="n"/>
      <c r="U152" s="20" t="n"/>
    </row>
    <row r="153" ht="15.75" customHeight="1" s="237">
      <c r="A153" s="12" t="n"/>
      <c r="B153" s="287" t="n"/>
      <c r="C153" s="12" t="n"/>
      <c r="D153" s="12" t="n"/>
      <c r="E153" s="236" t="n"/>
      <c r="F153" s="236" t="n"/>
      <c r="G153" s="288" t="n"/>
      <c r="H153" s="12" t="n"/>
      <c r="I153" s="236" t="n"/>
      <c r="J153" s="287" t="n"/>
      <c r="K153" s="236" t="n"/>
      <c r="L153" s="157" t="n"/>
      <c r="M153" s="236" t="n"/>
      <c r="N153" s="236" t="n"/>
      <c r="O153" s="236" t="n"/>
      <c r="P153" s="287" t="n"/>
      <c r="Q153" s="236" t="n"/>
      <c r="R153" s="236" t="n"/>
      <c r="S153" s="20" t="n"/>
      <c r="T153" s="20" t="n"/>
      <c r="U153" s="20" t="n"/>
    </row>
    <row r="154" ht="15.75" customHeight="1" s="237">
      <c r="A154" s="12" t="n"/>
      <c r="B154" s="287" t="n"/>
      <c r="C154" s="12" t="n"/>
      <c r="D154" s="12" t="n"/>
      <c r="E154" s="236" t="n"/>
      <c r="F154" s="236" t="n"/>
      <c r="G154" s="288" t="n"/>
      <c r="H154" s="12" t="n"/>
      <c r="I154" s="236" t="n"/>
      <c r="J154" s="287" t="n"/>
      <c r="K154" s="236" t="n"/>
      <c r="L154" s="157" t="n"/>
      <c r="M154" s="236" t="n"/>
      <c r="N154" s="236" t="n"/>
      <c r="O154" s="236" t="n"/>
      <c r="P154" s="287" t="n"/>
      <c r="Q154" s="236" t="n"/>
      <c r="R154" s="236" t="n"/>
      <c r="S154" s="20" t="n"/>
      <c r="T154" s="20" t="n"/>
      <c r="U154" s="20" t="n"/>
    </row>
    <row r="155" ht="15.75" customHeight="1" s="237">
      <c r="A155" s="12" t="n"/>
      <c r="B155" s="287" t="n"/>
      <c r="C155" s="12" t="n"/>
      <c r="D155" s="12" t="n"/>
      <c r="E155" s="236" t="n"/>
      <c r="F155" s="236" t="n"/>
      <c r="G155" s="288" t="n"/>
      <c r="H155" s="12" t="n"/>
      <c r="I155" s="236" t="n"/>
      <c r="J155" s="287" t="n"/>
      <c r="K155" s="236" t="n"/>
      <c r="L155" s="157" t="n"/>
      <c r="M155" s="236" t="n"/>
      <c r="N155" s="236" t="n"/>
      <c r="O155" s="236" t="n"/>
      <c r="P155" s="287" t="n"/>
      <c r="Q155" s="236" t="n"/>
      <c r="R155" s="236" t="n"/>
      <c r="S155" s="20" t="n"/>
      <c r="T155" s="20" t="n"/>
      <c r="U155" s="20" t="n"/>
    </row>
    <row r="156" ht="15.75" customHeight="1" s="237">
      <c r="A156" s="12" t="n"/>
      <c r="B156" s="287" t="n"/>
      <c r="C156" s="12" t="n"/>
      <c r="D156" s="12" t="n"/>
      <c r="E156" s="236" t="n"/>
      <c r="F156" s="236" t="n"/>
      <c r="G156" s="288" t="n"/>
      <c r="H156" s="12" t="n"/>
      <c r="I156" s="236" t="n"/>
      <c r="J156" s="287" t="n"/>
      <c r="K156" s="236" t="n"/>
      <c r="L156" s="157" t="n"/>
      <c r="M156" s="236" t="n"/>
      <c r="N156" s="236" t="n"/>
      <c r="O156" s="236" t="n"/>
      <c r="P156" s="287" t="n"/>
      <c r="Q156" s="236" t="n"/>
      <c r="R156" s="236" t="n"/>
      <c r="S156" s="20" t="n"/>
      <c r="T156" s="20" t="n"/>
      <c r="U156" s="20" t="n"/>
    </row>
    <row r="157" ht="15.75" customHeight="1" s="237">
      <c r="A157" s="12" t="n"/>
      <c r="B157" s="287" t="n"/>
      <c r="C157" s="12" t="n"/>
      <c r="D157" s="12" t="n"/>
      <c r="E157" s="236" t="n"/>
      <c r="F157" s="236" t="n"/>
      <c r="G157" s="288" t="n"/>
      <c r="H157" s="12" t="n"/>
      <c r="I157" s="236" t="n"/>
      <c r="J157" s="287" t="n"/>
      <c r="K157" s="236" t="n"/>
      <c r="L157" s="157" t="n"/>
      <c r="M157" s="236" t="n"/>
      <c r="N157" s="236" t="n"/>
      <c r="O157" s="236" t="n"/>
      <c r="P157" s="287" t="n"/>
      <c r="Q157" s="236" t="n"/>
      <c r="R157" s="236" t="n"/>
      <c r="S157" s="20" t="n"/>
      <c r="T157" s="20" t="n"/>
      <c r="U157" s="20" t="n"/>
    </row>
    <row r="158" ht="15.75" customHeight="1" s="237">
      <c r="A158" s="12" t="n"/>
      <c r="B158" s="287" t="n"/>
      <c r="C158" s="12" t="n"/>
      <c r="D158" s="12" t="n"/>
      <c r="E158" s="236" t="n"/>
      <c r="F158" s="236" t="n"/>
      <c r="G158" s="288" t="n"/>
      <c r="H158" s="12" t="n"/>
      <c r="I158" s="236" t="n"/>
      <c r="J158" s="287" t="n"/>
      <c r="K158" s="236" t="n"/>
      <c r="L158" s="157" t="n"/>
      <c r="M158" s="236" t="n"/>
      <c r="N158" s="236" t="n"/>
      <c r="O158" s="236" t="n"/>
      <c r="P158" s="287" t="n"/>
      <c r="Q158" s="236" t="n"/>
      <c r="R158" s="236" t="n"/>
      <c r="S158" s="20" t="n"/>
      <c r="T158" s="20" t="n"/>
      <c r="U158" s="20" t="n"/>
    </row>
    <row r="159" ht="15.75" customHeight="1" s="237">
      <c r="A159" s="12" t="n"/>
      <c r="B159" s="287" t="n"/>
      <c r="C159" s="12" t="n"/>
      <c r="D159" s="12" t="n"/>
      <c r="E159" s="236" t="n"/>
      <c r="F159" s="236" t="n"/>
      <c r="G159" s="288" t="n"/>
      <c r="H159" s="12" t="n"/>
      <c r="I159" s="236" t="n"/>
      <c r="J159" s="287" t="n"/>
      <c r="K159" s="236" t="n"/>
      <c r="L159" s="157" t="n"/>
      <c r="M159" s="236" t="n"/>
      <c r="N159" s="236" t="n"/>
      <c r="O159" s="236" t="n"/>
      <c r="P159" s="287" t="n"/>
      <c r="Q159" s="236" t="n"/>
      <c r="R159" s="236" t="n"/>
      <c r="S159" s="20" t="n"/>
      <c r="T159" s="20" t="n"/>
      <c r="U159" s="20" t="n"/>
    </row>
    <row r="160" ht="15.75" customHeight="1" s="237">
      <c r="A160" s="12" t="n"/>
      <c r="B160" s="287" t="n"/>
      <c r="C160" s="12" t="n"/>
      <c r="D160" s="12" t="n"/>
      <c r="E160" s="236" t="n"/>
      <c r="F160" s="236" t="n"/>
      <c r="G160" s="288" t="n"/>
      <c r="H160" s="12" t="n"/>
      <c r="I160" s="236" t="n"/>
      <c r="J160" s="287" t="n"/>
      <c r="K160" s="236" t="n"/>
      <c r="L160" s="157" t="n"/>
      <c r="M160" s="236" t="n"/>
      <c r="N160" s="236" t="n"/>
      <c r="O160" s="236" t="n"/>
      <c r="P160" s="287" t="n"/>
      <c r="Q160" s="236" t="n"/>
      <c r="R160" s="236" t="n"/>
      <c r="S160" s="20" t="n"/>
      <c r="T160" s="20" t="n"/>
      <c r="U160" s="20" t="n"/>
    </row>
    <row r="161" ht="15.75" customHeight="1" s="237">
      <c r="A161" s="12" t="n"/>
      <c r="B161" s="287" t="n"/>
      <c r="C161" s="12" t="n"/>
      <c r="D161" s="12" t="n"/>
      <c r="E161" s="236" t="n"/>
      <c r="F161" s="236" t="n"/>
      <c r="G161" s="288" t="n"/>
      <c r="H161" s="12" t="n"/>
      <c r="I161" s="236" t="n"/>
      <c r="J161" s="287" t="n"/>
      <c r="K161" s="236" t="n"/>
      <c r="L161" s="157" t="n"/>
      <c r="M161" s="236" t="n"/>
      <c r="N161" s="236" t="n"/>
      <c r="O161" s="236" t="n"/>
      <c r="P161" s="287" t="n"/>
      <c r="Q161" s="236" t="n"/>
      <c r="R161" s="236" t="n"/>
      <c r="S161" s="20" t="n"/>
      <c r="T161" s="20" t="n"/>
      <c r="U161" s="20" t="n"/>
    </row>
    <row r="162" ht="15.75" customHeight="1" s="237">
      <c r="A162" s="12" t="n"/>
      <c r="B162" s="287" t="n"/>
      <c r="C162" s="12" t="n"/>
      <c r="D162" s="12" t="n"/>
      <c r="E162" s="236" t="n"/>
      <c r="F162" s="236" t="n"/>
      <c r="G162" s="288" t="n"/>
      <c r="H162" s="12" t="n"/>
      <c r="I162" s="236" t="n"/>
      <c r="J162" s="287" t="n"/>
      <c r="K162" s="236" t="n"/>
      <c r="L162" s="157" t="n"/>
      <c r="M162" s="236" t="n"/>
      <c r="N162" s="236" t="n"/>
      <c r="O162" s="236" t="n"/>
      <c r="P162" s="287" t="n"/>
      <c r="Q162" s="236" t="n"/>
      <c r="R162" s="236" t="n"/>
      <c r="S162" s="20" t="n"/>
      <c r="T162" s="20" t="n"/>
      <c r="U162" s="20" t="n"/>
    </row>
    <row r="163" ht="15.75" customHeight="1" s="237">
      <c r="A163" s="12" t="n"/>
      <c r="B163" s="287" t="n"/>
      <c r="C163" s="12" t="n"/>
      <c r="D163" s="12" t="n"/>
      <c r="E163" s="236" t="n"/>
      <c r="F163" s="236" t="n"/>
      <c r="G163" s="288" t="n"/>
      <c r="H163" s="12" t="n"/>
      <c r="I163" s="236" t="n"/>
      <c r="J163" s="287" t="n"/>
      <c r="K163" s="236" t="n"/>
      <c r="L163" s="157" t="n"/>
      <c r="M163" s="236" t="n"/>
      <c r="N163" s="236" t="n"/>
      <c r="O163" s="236" t="n"/>
      <c r="P163" s="287" t="n"/>
      <c r="Q163" s="236" t="n"/>
      <c r="R163" s="236" t="n"/>
      <c r="S163" s="20" t="n"/>
      <c r="T163" s="20" t="n"/>
      <c r="U163" s="20" t="n"/>
    </row>
    <row r="164" ht="15.75" customHeight="1" s="237">
      <c r="A164" s="12" t="n"/>
      <c r="B164" s="287" t="n"/>
      <c r="C164" s="12" t="n"/>
      <c r="D164" s="12" t="n"/>
      <c r="E164" s="236" t="n"/>
      <c r="F164" s="236" t="n"/>
      <c r="G164" s="288" t="n"/>
      <c r="H164" s="12" t="n"/>
      <c r="I164" s="236" t="n"/>
      <c r="J164" s="287" t="n"/>
      <c r="K164" s="236" t="n"/>
      <c r="L164" s="157" t="n"/>
      <c r="M164" s="236" t="n"/>
      <c r="N164" s="236" t="n"/>
      <c r="O164" s="236" t="n"/>
      <c r="P164" s="287" t="n"/>
      <c r="Q164" s="236" t="n"/>
      <c r="R164" s="236" t="n"/>
      <c r="S164" s="20" t="n"/>
      <c r="T164" s="20" t="n"/>
      <c r="U164" s="20" t="n"/>
    </row>
    <row r="165" ht="15.75" customHeight="1" s="237">
      <c r="A165" s="12" t="n"/>
      <c r="B165" s="287" t="n"/>
      <c r="C165" s="12" t="n"/>
      <c r="D165" s="12" t="n"/>
      <c r="E165" s="236" t="n"/>
      <c r="F165" s="236" t="n"/>
      <c r="G165" s="288" t="n"/>
      <c r="H165" s="12" t="n"/>
      <c r="I165" s="236" t="n"/>
      <c r="J165" s="287" t="n"/>
      <c r="K165" s="236" t="n"/>
      <c r="L165" s="157" t="n"/>
      <c r="M165" s="236" t="n"/>
      <c r="N165" s="236" t="n"/>
      <c r="O165" s="236" t="n"/>
      <c r="P165" s="287" t="n"/>
      <c r="Q165" s="236" t="n"/>
      <c r="R165" s="236" t="n"/>
      <c r="S165" s="20" t="n"/>
      <c r="T165" s="20" t="n"/>
      <c r="U165" s="20" t="n"/>
    </row>
    <row r="166" ht="15.75" customHeight="1" s="237">
      <c r="A166" s="12" t="n"/>
      <c r="B166" s="287" t="n"/>
      <c r="C166" s="12" t="n"/>
      <c r="D166" s="12" t="n"/>
      <c r="E166" s="236" t="n"/>
      <c r="F166" s="236" t="n"/>
      <c r="G166" s="288" t="n"/>
      <c r="H166" s="12" t="n"/>
      <c r="I166" s="236" t="n"/>
      <c r="J166" s="287" t="n"/>
      <c r="K166" s="236" t="n"/>
      <c r="L166" s="157" t="n"/>
      <c r="M166" s="236" t="n"/>
      <c r="N166" s="236" t="n"/>
      <c r="O166" s="236" t="n"/>
      <c r="P166" s="287" t="n"/>
      <c r="Q166" s="236" t="n"/>
      <c r="R166" s="236" t="n"/>
      <c r="S166" s="20" t="n"/>
      <c r="T166" s="20" t="n"/>
      <c r="U166" s="20" t="n"/>
    </row>
    <row r="167" ht="15.75" customHeight="1" s="237">
      <c r="A167" s="12" t="n"/>
      <c r="B167" s="287" t="n"/>
      <c r="C167" s="12" t="n"/>
      <c r="D167" s="12" t="n"/>
      <c r="E167" s="236" t="n"/>
      <c r="F167" s="236" t="n"/>
      <c r="G167" s="288" t="n"/>
      <c r="H167" s="12" t="n"/>
      <c r="I167" s="236" t="n"/>
      <c r="J167" s="287" t="n"/>
      <c r="K167" s="236" t="n"/>
      <c r="L167" s="157" t="n"/>
      <c r="M167" s="236" t="n"/>
      <c r="N167" s="236" t="n"/>
      <c r="O167" s="236" t="n"/>
      <c r="P167" s="287" t="n"/>
      <c r="Q167" s="236" t="n"/>
      <c r="R167" s="236" t="n"/>
      <c r="S167" s="20" t="n"/>
      <c r="T167" s="20" t="n"/>
      <c r="U167" s="20" t="n"/>
    </row>
    <row r="168" ht="15.75" customHeight="1" s="237">
      <c r="A168" s="12" t="n"/>
      <c r="B168" s="287" t="n"/>
      <c r="C168" s="12" t="n"/>
      <c r="D168" s="12" t="n"/>
      <c r="E168" s="236" t="n"/>
      <c r="F168" s="236" t="n"/>
      <c r="G168" s="288" t="n"/>
      <c r="H168" s="12" t="n"/>
      <c r="I168" s="236" t="n"/>
      <c r="J168" s="287" t="n"/>
      <c r="K168" s="236" t="n"/>
      <c r="L168" s="157" t="n"/>
      <c r="M168" s="236" t="n"/>
      <c r="N168" s="236" t="n"/>
      <c r="O168" s="236" t="n"/>
      <c r="P168" s="287" t="n"/>
      <c r="Q168" s="236" t="n"/>
      <c r="R168" s="236" t="n"/>
      <c r="S168" s="20" t="n"/>
      <c r="T168" s="20" t="n"/>
      <c r="U168" s="20" t="n"/>
    </row>
    <row r="169" ht="15.75" customHeight="1" s="237">
      <c r="A169" s="12" t="n"/>
      <c r="B169" s="287" t="n"/>
      <c r="C169" s="12" t="n"/>
      <c r="D169" s="12" t="n"/>
      <c r="E169" s="236" t="n"/>
      <c r="F169" s="236" t="n"/>
      <c r="G169" s="288" t="n"/>
      <c r="H169" s="12" t="n"/>
      <c r="I169" s="236" t="n"/>
      <c r="J169" s="287" t="n"/>
      <c r="K169" s="236" t="n"/>
      <c r="L169" s="157" t="n"/>
      <c r="M169" s="236" t="n"/>
      <c r="N169" s="236" t="n"/>
      <c r="O169" s="236" t="n"/>
      <c r="P169" s="287" t="n"/>
      <c r="Q169" s="236" t="n"/>
      <c r="R169" s="236" t="n"/>
      <c r="S169" s="20" t="n"/>
      <c r="T169" s="20" t="n"/>
      <c r="U169" s="20" t="n"/>
    </row>
    <row r="170" ht="15.75" customHeight="1" s="237">
      <c r="A170" s="12" t="n"/>
      <c r="B170" s="287" t="n"/>
      <c r="C170" s="12" t="n"/>
      <c r="D170" s="12" t="n"/>
      <c r="E170" s="236" t="n"/>
      <c r="F170" s="236" t="n"/>
      <c r="G170" s="288" t="n"/>
      <c r="H170" s="12" t="n"/>
      <c r="I170" s="236" t="n"/>
      <c r="J170" s="287" t="n"/>
      <c r="K170" s="236" t="n"/>
      <c r="L170" s="157" t="n"/>
      <c r="M170" s="236" t="n"/>
      <c r="N170" s="236" t="n"/>
      <c r="O170" s="236" t="n"/>
      <c r="P170" s="287" t="n"/>
      <c r="Q170" s="236" t="n"/>
      <c r="R170" s="236" t="n"/>
      <c r="S170" s="20" t="n"/>
      <c r="T170" s="20" t="n"/>
      <c r="U170" s="20" t="n"/>
    </row>
    <row r="171" ht="15.75" customHeight="1" s="237">
      <c r="A171" s="12" t="n"/>
      <c r="B171" s="287" t="n"/>
      <c r="C171" s="12" t="n"/>
      <c r="D171" s="12" t="n"/>
      <c r="E171" s="236" t="n"/>
      <c r="F171" s="236" t="n"/>
      <c r="G171" s="288" t="n"/>
      <c r="H171" s="12" t="n"/>
      <c r="I171" s="236" t="n"/>
      <c r="J171" s="287" t="n"/>
      <c r="K171" s="236" t="n"/>
      <c r="L171" s="157" t="n"/>
      <c r="M171" s="236" t="n"/>
      <c r="N171" s="236" t="n"/>
      <c r="O171" s="236" t="n"/>
      <c r="P171" s="287" t="n"/>
      <c r="Q171" s="236" t="n"/>
      <c r="R171" s="236" t="n"/>
      <c r="S171" s="20" t="n"/>
      <c r="T171" s="20" t="n"/>
      <c r="U171" s="20" t="n"/>
    </row>
    <row r="172" ht="15.75" customHeight="1" s="237">
      <c r="A172" s="12" t="n"/>
      <c r="B172" s="287" t="n"/>
      <c r="C172" s="12" t="n"/>
      <c r="D172" s="12" t="n"/>
      <c r="E172" s="236" t="n"/>
      <c r="F172" s="236" t="n"/>
      <c r="G172" s="288" t="n"/>
      <c r="H172" s="12" t="n"/>
      <c r="I172" s="236" t="n"/>
      <c r="J172" s="287" t="n"/>
      <c r="K172" s="236" t="n"/>
      <c r="L172" s="157" t="n"/>
      <c r="M172" s="236" t="n"/>
      <c r="N172" s="236" t="n"/>
      <c r="O172" s="236" t="n"/>
      <c r="P172" s="287" t="n"/>
      <c r="Q172" s="236" t="n"/>
      <c r="R172" s="236" t="n"/>
      <c r="S172" s="20" t="n"/>
      <c r="T172" s="20" t="n"/>
      <c r="U172" s="20" t="n"/>
    </row>
    <row r="173" ht="15.75" customHeight="1" s="237">
      <c r="A173" s="12" t="n"/>
      <c r="B173" s="287" t="n"/>
      <c r="C173" s="12" t="n"/>
      <c r="D173" s="12" t="n"/>
      <c r="E173" s="236" t="n"/>
      <c r="F173" s="236" t="n"/>
      <c r="G173" s="288" t="n"/>
      <c r="H173" s="12" t="n"/>
      <c r="I173" s="236" t="n"/>
      <c r="J173" s="287" t="n"/>
      <c r="K173" s="236" t="n"/>
      <c r="L173" s="157" t="n"/>
      <c r="M173" s="236" t="n"/>
      <c r="N173" s="236" t="n"/>
      <c r="O173" s="236" t="n"/>
      <c r="P173" s="287" t="n"/>
      <c r="Q173" s="236" t="n"/>
      <c r="R173" s="236" t="n"/>
      <c r="S173" s="20" t="n"/>
      <c r="T173" s="20" t="n"/>
      <c r="U173" s="20" t="n"/>
    </row>
    <row r="174" ht="15.75" customHeight="1" s="237">
      <c r="A174" s="12" t="n"/>
      <c r="B174" s="287" t="n"/>
      <c r="C174" s="12" t="n"/>
      <c r="D174" s="12" t="n"/>
      <c r="E174" s="236" t="n"/>
      <c r="F174" s="236" t="n"/>
      <c r="G174" s="288" t="n"/>
      <c r="H174" s="12" t="n"/>
      <c r="I174" s="236" t="n"/>
      <c r="J174" s="287" t="n"/>
      <c r="K174" s="236" t="n"/>
      <c r="L174" s="157" t="n"/>
      <c r="M174" s="236" t="n"/>
      <c r="N174" s="236" t="n"/>
      <c r="O174" s="236" t="n"/>
      <c r="P174" s="287" t="n"/>
      <c r="Q174" s="236" t="n"/>
      <c r="R174" s="236" t="n"/>
      <c r="S174" s="20" t="n"/>
      <c r="T174" s="20" t="n"/>
      <c r="U174" s="20" t="n"/>
    </row>
    <row r="175" ht="15.75" customHeight="1" s="237">
      <c r="A175" s="12" t="n"/>
      <c r="B175" s="287" t="n"/>
      <c r="C175" s="12" t="n"/>
      <c r="D175" s="12" t="n"/>
      <c r="E175" s="236" t="n"/>
      <c r="F175" s="236" t="n"/>
      <c r="G175" s="288" t="n"/>
      <c r="H175" s="12" t="n"/>
      <c r="I175" s="236" t="n"/>
      <c r="J175" s="287" t="n"/>
      <c r="K175" s="236" t="n"/>
      <c r="L175" s="157" t="n"/>
      <c r="M175" s="236" t="n"/>
      <c r="N175" s="236" t="n"/>
      <c r="O175" s="236" t="n"/>
      <c r="P175" s="287" t="n"/>
      <c r="Q175" s="236" t="n"/>
      <c r="R175" s="236" t="n"/>
      <c r="S175" s="20" t="n"/>
      <c r="T175" s="20" t="n"/>
      <c r="U175" s="20" t="n"/>
    </row>
    <row r="176" ht="15.75" customHeight="1" s="237">
      <c r="A176" s="12" t="n"/>
      <c r="B176" s="287" t="n"/>
      <c r="C176" s="12" t="n"/>
      <c r="D176" s="12" t="n"/>
      <c r="E176" s="236" t="n"/>
      <c r="F176" s="236" t="n"/>
      <c r="G176" s="288" t="n"/>
      <c r="H176" s="12" t="n"/>
      <c r="I176" s="236" t="n"/>
      <c r="J176" s="287" t="n"/>
      <c r="K176" s="236" t="n"/>
      <c r="L176" s="157" t="n"/>
      <c r="M176" s="236" t="n"/>
      <c r="N176" s="236" t="n"/>
      <c r="O176" s="236" t="n"/>
      <c r="P176" s="287" t="n"/>
      <c r="Q176" s="236" t="n"/>
      <c r="R176" s="236" t="n"/>
      <c r="S176" s="20" t="n"/>
      <c r="T176" s="20" t="n"/>
      <c r="U176" s="20" t="n"/>
    </row>
    <row r="177" ht="15.75" customHeight="1" s="237">
      <c r="A177" s="12" t="n"/>
      <c r="B177" s="287" t="n"/>
      <c r="C177" s="12" t="n"/>
      <c r="D177" s="12" t="n"/>
      <c r="E177" s="236" t="n"/>
      <c r="F177" s="236" t="n"/>
      <c r="G177" s="288" t="n"/>
      <c r="H177" s="12" t="n"/>
      <c r="I177" s="236" t="n"/>
      <c r="J177" s="287" t="n"/>
      <c r="K177" s="236" t="n"/>
      <c r="L177" s="157" t="n"/>
      <c r="M177" s="236" t="n"/>
      <c r="N177" s="236" t="n"/>
      <c r="O177" s="236" t="n"/>
      <c r="P177" s="287" t="n"/>
      <c r="Q177" s="236" t="n"/>
      <c r="R177" s="236" t="n"/>
      <c r="S177" s="20" t="n"/>
      <c r="T177" s="20" t="n"/>
      <c r="U177" s="20" t="n"/>
    </row>
    <row r="178" ht="15.75" customHeight="1" s="237">
      <c r="A178" s="12" t="n"/>
      <c r="B178" s="287" t="n"/>
      <c r="C178" s="12" t="n"/>
      <c r="D178" s="12" t="n"/>
      <c r="E178" s="236" t="n"/>
      <c r="F178" s="236" t="n"/>
      <c r="G178" s="288" t="n"/>
      <c r="H178" s="12" t="n"/>
      <c r="I178" s="236" t="n"/>
      <c r="J178" s="287" t="n"/>
      <c r="K178" s="236" t="n"/>
      <c r="L178" s="157" t="n"/>
      <c r="M178" s="236" t="n"/>
      <c r="N178" s="236" t="n"/>
      <c r="O178" s="236" t="n"/>
      <c r="P178" s="287" t="n"/>
      <c r="Q178" s="236" t="n"/>
      <c r="R178" s="236" t="n"/>
      <c r="S178" s="20" t="n"/>
      <c r="T178" s="20" t="n"/>
      <c r="U178" s="20" t="n"/>
    </row>
    <row r="179" ht="15.75" customHeight="1" s="237">
      <c r="A179" s="12" t="n"/>
      <c r="B179" s="287" t="n"/>
      <c r="C179" s="12" t="n"/>
      <c r="D179" s="12" t="n"/>
      <c r="E179" s="236" t="n"/>
      <c r="F179" s="236" t="n"/>
      <c r="G179" s="288" t="n"/>
      <c r="H179" s="12" t="n"/>
      <c r="I179" s="236" t="n"/>
      <c r="J179" s="287" t="n"/>
      <c r="K179" s="236" t="n"/>
      <c r="L179" s="157" t="n"/>
      <c r="M179" s="236" t="n"/>
      <c r="N179" s="236" t="n"/>
      <c r="O179" s="236" t="n"/>
      <c r="P179" s="287" t="n"/>
      <c r="Q179" s="236" t="n"/>
      <c r="R179" s="236" t="n"/>
      <c r="S179" s="20" t="n"/>
      <c r="T179" s="20" t="n"/>
      <c r="U179" s="20" t="n"/>
    </row>
    <row r="180" ht="15.75" customHeight="1" s="237">
      <c r="A180" s="12" t="n"/>
      <c r="B180" s="287" t="n"/>
      <c r="C180" s="12" t="n"/>
      <c r="D180" s="12" t="n"/>
      <c r="E180" s="236" t="n"/>
      <c r="F180" s="236" t="n"/>
      <c r="G180" s="288" t="n"/>
      <c r="H180" s="12" t="n"/>
      <c r="I180" s="236" t="n"/>
      <c r="J180" s="287" t="n"/>
      <c r="K180" s="236" t="n"/>
      <c r="L180" s="157" t="n"/>
      <c r="M180" s="236" t="n"/>
      <c r="N180" s="236" t="n"/>
      <c r="O180" s="236" t="n"/>
      <c r="P180" s="287" t="n"/>
      <c r="Q180" s="236" t="n"/>
      <c r="R180" s="236" t="n"/>
      <c r="S180" s="20" t="n"/>
      <c r="T180" s="20" t="n"/>
      <c r="U180" s="20" t="n"/>
    </row>
    <row r="181" ht="15.75" customHeight="1" s="237">
      <c r="A181" s="12" t="n"/>
      <c r="B181" s="287" t="n"/>
      <c r="C181" s="12" t="n"/>
      <c r="D181" s="12" t="n"/>
      <c r="E181" s="236" t="n"/>
      <c r="F181" s="236" t="n"/>
      <c r="G181" s="288" t="n"/>
      <c r="H181" s="12" t="n"/>
      <c r="I181" s="236" t="n"/>
      <c r="J181" s="287" t="n"/>
      <c r="K181" s="236" t="n"/>
      <c r="L181" s="157" t="n"/>
      <c r="M181" s="236" t="n"/>
      <c r="N181" s="236" t="n"/>
      <c r="O181" s="236" t="n"/>
      <c r="P181" s="287" t="n"/>
      <c r="Q181" s="236" t="n"/>
      <c r="R181" s="236" t="n"/>
      <c r="S181" s="20" t="n"/>
      <c r="T181" s="20" t="n"/>
      <c r="U181" s="20" t="n"/>
    </row>
    <row r="182" ht="15.75" customHeight="1" s="237">
      <c r="A182" s="12" t="n"/>
      <c r="B182" s="287" t="n"/>
      <c r="C182" s="12" t="n"/>
      <c r="D182" s="12" t="n"/>
      <c r="E182" s="236" t="n"/>
      <c r="F182" s="236" t="n"/>
      <c r="G182" s="288" t="n"/>
      <c r="H182" s="12" t="n"/>
      <c r="I182" s="236" t="n"/>
      <c r="J182" s="287" t="n"/>
      <c r="K182" s="236" t="n"/>
      <c r="L182" s="157" t="n"/>
      <c r="M182" s="236" t="n"/>
      <c r="N182" s="236" t="n"/>
      <c r="O182" s="236" t="n"/>
      <c r="P182" s="287" t="n"/>
      <c r="Q182" s="236" t="n"/>
      <c r="R182" s="236" t="n"/>
      <c r="S182" s="20" t="n"/>
      <c r="T182" s="20" t="n"/>
      <c r="U182" s="20" t="n"/>
    </row>
    <row r="183" ht="15.75" customHeight="1" s="237">
      <c r="A183" s="12" t="n"/>
      <c r="B183" s="287" t="n"/>
      <c r="C183" s="12" t="n"/>
      <c r="D183" s="12" t="n"/>
      <c r="E183" s="236" t="n"/>
      <c r="F183" s="236" t="n"/>
      <c r="G183" s="288" t="n"/>
      <c r="H183" s="12" t="n"/>
      <c r="I183" s="236" t="n"/>
      <c r="J183" s="287" t="n"/>
      <c r="K183" s="236" t="n"/>
      <c r="L183" s="157" t="n"/>
      <c r="M183" s="236" t="n"/>
      <c r="N183" s="236" t="n"/>
      <c r="O183" s="236" t="n"/>
      <c r="P183" s="287" t="n"/>
      <c r="Q183" s="236" t="n"/>
      <c r="R183" s="236" t="n"/>
      <c r="S183" s="20" t="n"/>
      <c r="T183" s="20" t="n"/>
      <c r="U183" s="20" t="n"/>
    </row>
    <row r="184" ht="15.75" customHeight="1" s="237">
      <c r="A184" s="12" t="n"/>
      <c r="B184" s="287" t="n"/>
      <c r="C184" s="12" t="n"/>
      <c r="D184" s="12" t="n"/>
      <c r="E184" s="236" t="n"/>
      <c r="F184" s="236" t="n"/>
      <c r="G184" s="288" t="n"/>
      <c r="H184" s="12" t="n"/>
      <c r="I184" s="236" t="n"/>
      <c r="J184" s="287" t="n"/>
      <c r="K184" s="236" t="n"/>
      <c r="L184" s="157" t="n"/>
      <c r="M184" s="236" t="n"/>
      <c r="N184" s="236" t="n"/>
      <c r="O184" s="236" t="n"/>
      <c r="P184" s="287" t="n"/>
      <c r="Q184" s="236" t="n"/>
      <c r="R184" s="236" t="n"/>
      <c r="S184" s="20" t="n"/>
      <c r="T184" s="20" t="n"/>
      <c r="U184" s="20" t="n"/>
    </row>
    <row r="185" ht="15.75" customHeight="1" s="237">
      <c r="A185" s="12" t="n"/>
      <c r="B185" s="287" t="n"/>
      <c r="C185" s="12" t="n"/>
      <c r="D185" s="12" t="n"/>
      <c r="E185" s="236" t="n"/>
      <c r="F185" s="236" t="n"/>
      <c r="G185" s="288" t="n"/>
      <c r="H185" s="12" t="n"/>
      <c r="I185" s="236" t="n"/>
      <c r="J185" s="287" t="n"/>
      <c r="K185" s="236" t="n"/>
      <c r="L185" s="157" t="n"/>
      <c r="M185" s="236" t="n"/>
      <c r="N185" s="236" t="n"/>
      <c r="O185" s="236" t="n"/>
      <c r="P185" s="287" t="n"/>
      <c r="Q185" s="236" t="n"/>
      <c r="R185" s="236" t="n"/>
      <c r="S185" s="20" t="n"/>
      <c r="T185" s="20" t="n"/>
      <c r="U185" s="20" t="n"/>
    </row>
    <row r="186" ht="15.75" customHeight="1" s="237">
      <c r="A186" s="12" t="n"/>
      <c r="B186" s="287" t="n"/>
      <c r="C186" s="12" t="n"/>
      <c r="D186" s="12" t="n"/>
      <c r="E186" s="236" t="n"/>
      <c r="F186" s="236" t="n"/>
      <c r="G186" s="288" t="n"/>
      <c r="H186" s="12" t="n"/>
      <c r="I186" s="236" t="n"/>
      <c r="J186" s="287" t="n"/>
      <c r="K186" s="236" t="n"/>
      <c r="L186" s="157" t="n"/>
      <c r="M186" s="236" t="n"/>
      <c r="N186" s="236" t="n"/>
      <c r="O186" s="236" t="n"/>
      <c r="P186" s="287" t="n"/>
      <c r="Q186" s="236" t="n"/>
      <c r="R186" s="236" t="n"/>
      <c r="S186" s="20" t="n"/>
      <c r="T186" s="20" t="n"/>
      <c r="U186" s="20" t="n"/>
    </row>
    <row r="187" ht="15.75" customHeight="1" s="237">
      <c r="A187" s="12" t="n"/>
      <c r="B187" s="287" t="n"/>
      <c r="C187" s="12" t="n"/>
      <c r="D187" s="12" t="n"/>
      <c r="E187" s="236" t="n"/>
      <c r="F187" s="236" t="n"/>
      <c r="G187" s="288" t="n"/>
      <c r="H187" s="12" t="n"/>
      <c r="I187" s="236" t="n"/>
      <c r="J187" s="287" t="n"/>
      <c r="K187" s="236" t="n"/>
      <c r="L187" s="157" t="n"/>
      <c r="M187" s="236" t="n"/>
      <c r="N187" s="236" t="n"/>
      <c r="O187" s="236" t="n"/>
      <c r="P187" s="287" t="n"/>
      <c r="Q187" s="236" t="n"/>
      <c r="R187" s="236" t="n"/>
      <c r="S187" s="20" t="n"/>
      <c r="T187" s="20" t="n"/>
      <c r="U187" s="20" t="n"/>
    </row>
    <row r="188" ht="15.75" customHeight="1" s="237">
      <c r="A188" s="12" t="n"/>
      <c r="B188" s="287" t="n"/>
      <c r="C188" s="12" t="n"/>
      <c r="D188" s="12" t="n"/>
      <c r="E188" s="236" t="n"/>
      <c r="F188" s="236" t="n"/>
      <c r="G188" s="288" t="n"/>
      <c r="H188" s="12" t="n"/>
      <c r="I188" s="236" t="n"/>
      <c r="J188" s="287" t="n"/>
      <c r="K188" s="236" t="n"/>
      <c r="L188" s="157" t="n"/>
      <c r="M188" s="236" t="n"/>
      <c r="N188" s="236" t="n"/>
      <c r="O188" s="236" t="n"/>
      <c r="P188" s="287" t="n"/>
      <c r="Q188" s="236" t="n"/>
      <c r="R188" s="236" t="n"/>
      <c r="S188" s="20" t="n"/>
      <c r="T188" s="20" t="n"/>
      <c r="U188" s="20" t="n"/>
    </row>
    <row r="189" ht="15.75" customHeight="1" s="237">
      <c r="A189" s="12" t="n"/>
      <c r="B189" s="287" t="n"/>
      <c r="C189" s="12" t="n"/>
      <c r="D189" s="12" t="n"/>
      <c r="E189" s="236" t="n"/>
      <c r="F189" s="236" t="n"/>
      <c r="G189" s="288" t="n"/>
      <c r="H189" s="12" t="n"/>
      <c r="I189" s="236" t="n"/>
      <c r="J189" s="287" t="n"/>
      <c r="K189" s="236" t="n"/>
      <c r="L189" s="157" t="n"/>
      <c r="M189" s="236" t="n"/>
      <c r="N189" s="236" t="n"/>
      <c r="O189" s="236" t="n"/>
      <c r="P189" s="287" t="n"/>
      <c r="Q189" s="236" t="n"/>
      <c r="R189" s="236" t="n"/>
      <c r="S189" s="20" t="n"/>
      <c r="T189" s="20" t="n"/>
      <c r="U189" s="20" t="n"/>
    </row>
    <row r="190" ht="15.75" customHeight="1" s="237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37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37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37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37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37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37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37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37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37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37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37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37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37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37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37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37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37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37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37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37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37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37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37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37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37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37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37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37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37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37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37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37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37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37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37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37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37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37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37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37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37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37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37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37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37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37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37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37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37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37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37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37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37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37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37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37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37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37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37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37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37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37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37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37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37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37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37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37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37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37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37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37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37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37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37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37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37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37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37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37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37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37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37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37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37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37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37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37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37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37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37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37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37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37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37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37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37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37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37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37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37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37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37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37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37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37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37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37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37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37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37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37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37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37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37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37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37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37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37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37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37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37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37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37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37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37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37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37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37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37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37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37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37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37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37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37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37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37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1048568:Q1048576">
    <cfRule type="expression" priority="2656" dxfId="65">
      <formula>$O49:$O14989="Not on record"</formula>
    </cfRule>
    <cfRule type="expression" priority="2657" dxfId="65">
      <formula>$Q49:$Q14989="Expired"</formula>
    </cfRule>
    <cfRule type="expression" priority="2658" dxfId="64">
      <formula>AND($O1048568="On record", $Q1048568="")</formula>
    </cfRule>
  </conditionalFormatting>
  <conditionalFormatting sqref="O2:Q14982">
    <cfRule type="expression" priority="2122" dxfId="65" stopIfTrue="1">
      <formula>$Q2="Expired"</formula>
    </cfRule>
    <cfRule type="expression" priority="2123" dxfId="126" stopIfTrue="1">
      <formula>$O2="On Record"</formula>
    </cfRule>
    <cfRule type="expression" priority="2124" dxfId="65" stopIfTrue="1">
      <formula>$O2="Not on record"</formula>
    </cfRule>
  </conditionalFormatting>
  <conditionalFormatting sqref="O1048558:Q1048567">
    <cfRule type="expression" priority="4609" dxfId="65">
      <formula>$O42:$O14979="Not on record"</formula>
    </cfRule>
    <cfRule type="expression" priority="4610" dxfId="65">
      <formula>$Q42:$Q14979="Expired"</formula>
    </cfRule>
    <cfRule type="expression" priority="4611" dxfId="64">
      <formula>AND($O1048558="On record", $Q1048558="")</formula>
    </cfRule>
  </conditionalFormatting>
  <conditionalFormatting sqref="O1048513:Q1048557">
    <cfRule type="expression" priority="4693" dxfId="65">
      <formula>$O10:$O14934="Not on record"</formula>
    </cfRule>
    <cfRule type="expression" priority="4694" dxfId="65">
      <formula>$Q10:$Q14934="Expired"</formula>
    </cfRule>
    <cfRule type="expression" priority="4695" dxfId="64">
      <formula>AND($O1048513="On record", $Q1048513="")</formula>
    </cfRule>
  </conditionalFormatting>
  <conditionalFormatting sqref="O1033460:Q1048455">
    <cfRule type="expression" priority="4720" dxfId="65">
      <formula>$O1:$O1033460="Not on record"</formula>
    </cfRule>
    <cfRule type="expression" priority="4721" dxfId="65">
      <formula>$Q1:$Q1033460="Expired"</formula>
    </cfRule>
    <cfRule type="expression" priority="4722" dxfId="64">
      <formula>AND($O1033460="On record", $Q1033460="")</formula>
    </cfRule>
  </conditionalFormatting>
  <conditionalFormatting sqref="O1033459:Q1033459">
    <cfRule type="expression" priority="4744" dxfId="65">
      <formula>$O1:$O1033459="Not on record"</formula>
    </cfRule>
    <cfRule type="expression" priority="4745" dxfId="65">
      <formula>$Q1:$Q1033459="Expired"</formula>
    </cfRule>
    <cfRule type="expression" priority="4746" dxfId="64">
      <formula>AND($O1033459="On record", $Q1033459="")</formula>
    </cfRule>
  </conditionalFormatting>
  <conditionalFormatting sqref="O1048457:Q1048512">
    <cfRule type="expression" priority="4747" dxfId="65">
      <formula>$O1:$O14878="Not on record"</formula>
    </cfRule>
    <cfRule type="expression" priority="4748" dxfId="65">
      <formula>$Q1:$Q14878="Expired"</formula>
    </cfRule>
    <cfRule type="expression" priority="4749" dxfId="64">
      <formula>AND($O1048457="On record", $Q1048457="")</formula>
    </cfRule>
  </conditionalFormatting>
  <conditionalFormatting sqref="O1048456:Q1048456">
    <cfRule type="expression" priority="4750" dxfId="65">
      <formula>$O14877:$O1048576="Not on record"</formula>
    </cfRule>
    <cfRule type="expression" priority="4751" dxfId="65">
      <formula>$Q14877:$Q1048576="Expired"</formula>
    </cfRule>
    <cfRule type="expression" priority="4752" dxfId="64">
      <formula>AND($O1048456="On record", $Q1048456="")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37" min="1" max="1"/>
    <col width="22" customWidth="1" style="237" min="2" max="2"/>
    <col width="34.140625" customWidth="1" style="237" min="3" max="3"/>
    <col width="19.42578125" customWidth="1" style="237" min="4" max="4"/>
    <col width="10.7109375" customWidth="1" style="237" min="5" max="5"/>
    <col width="15.28515625" customWidth="1" style="237" min="6" max="6"/>
    <col width="16.85546875" bestFit="1" customWidth="1" style="237" min="7" max="7"/>
    <col width="21.5703125" bestFit="1" customWidth="1" style="237" min="8" max="8"/>
    <col width="18.28515625" bestFit="1" customWidth="1" style="237" min="9" max="9"/>
    <col width="13.140625" customWidth="1" style="237" min="10" max="10"/>
    <col width="19.5703125" bestFit="1" customWidth="1" style="237" min="11" max="11"/>
    <col width="23.7109375" bestFit="1" customWidth="1" style="237" min="12" max="12"/>
    <col width="18.7109375" bestFit="1" customWidth="1" style="237" min="13" max="13"/>
    <col width="22.42578125" customWidth="1" style="237" min="14" max="14"/>
    <col width="22.140625" bestFit="1" customWidth="1" style="237" min="15" max="15"/>
    <col width="19" bestFit="1" customWidth="1" style="237" min="16" max="16"/>
    <col width="16.28515625" bestFit="1" customWidth="1" style="237" min="17" max="17"/>
    <col width="21.140625" bestFit="1" customWidth="1" style="237" min="18" max="18"/>
    <col width="21.28515625" bestFit="1" customWidth="1" style="237" min="19" max="19"/>
    <col width="19.42578125" bestFit="1" customWidth="1" style="237" min="20" max="20"/>
    <col width="12.28515625" bestFit="1" customWidth="1" style="237" min="21" max="21"/>
  </cols>
  <sheetData>
    <row r="5" ht="16.5" customHeight="1" s="237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90" t="inlineStr">
        <is>
          <t>Script Expiry</t>
        </is>
      </c>
      <c r="Q5" s="91" t="inlineStr">
        <is>
          <t>Reminder</t>
        </is>
      </c>
      <c r="R5" s="92" t="inlineStr">
        <is>
          <t>Transport Type</t>
        </is>
      </c>
      <c r="S5" s="289" t="inlineStr">
        <is>
          <t>Headquarters</t>
        </is>
      </c>
      <c r="T5" s="289" t="inlineStr">
        <is>
          <t>Assistance</t>
        </is>
      </c>
      <c r="U5" s="290" t="inlineStr">
        <is>
          <t>Status</t>
        </is>
      </c>
    </row>
    <row r="6" ht="16.5" customHeight="1" s="237">
      <c r="A6" s="61" t="inlineStr">
        <is>
          <t>Aisha Freeman</t>
        </is>
      </c>
      <c r="B6" s="28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91" t="n"/>
      <c r="H6" s="61" t="n"/>
      <c r="I6" s="61" t="n"/>
      <c r="J6" s="284" t="n"/>
      <c r="K6" s="61" t="n"/>
      <c r="L6" s="291" t="n"/>
      <c r="M6" s="63" t="n"/>
      <c r="N6" s="65" t="n"/>
      <c r="O6" s="63" t="inlineStr">
        <is>
          <t>On record</t>
        </is>
      </c>
      <c r="P6" s="28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37">
      <c r="A7" s="61" t="inlineStr">
        <is>
          <t>A'Knyla Hampton</t>
        </is>
      </c>
      <c r="B7" s="28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91" t="n"/>
      <c r="H7" s="61" t="n"/>
      <c r="I7" s="61" t="n"/>
      <c r="J7" s="284" t="n"/>
      <c r="K7" s="61" t="n"/>
      <c r="L7" s="291" t="n"/>
      <c r="M7" s="63" t="n"/>
      <c r="N7" s="65" t="n"/>
      <c r="O7" s="63" t="inlineStr">
        <is>
          <t>On record</t>
        </is>
      </c>
      <c r="P7" s="28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37">
      <c r="A8" s="61" t="inlineStr">
        <is>
          <t>Alejandra Rosado</t>
        </is>
      </c>
      <c r="B8" s="28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91" t="n"/>
      <c r="H8" s="61" t="n"/>
      <c r="I8" s="61" t="n"/>
      <c r="J8" s="284" t="n"/>
      <c r="K8" s="61" t="n"/>
      <c r="L8" s="291" t="n"/>
      <c r="M8" s="63" t="n"/>
      <c r="N8" s="65" t="n"/>
      <c r="O8" s="63" t="inlineStr">
        <is>
          <t>On record</t>
        </is>
      </c>
      <c r="P8" s="28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37">
      <c r="A9" s="61" t="inlineStr">
        <is>
          <t>Arkan Yousif</t>
        </is>
      </c>
      <c r="B9" s="28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91" t="n"/>
      <c r="H9" s="61" t="n"/>
      <c r="I9" s="61" t="n"/>
      <c r="J9" s="284" t="n"/>
      <c r="K9" s="61" t="n"/>
      <c r="L9" s="291" t="n"/>
      <c r="M9" s="63" t="n"/>
      <c r="N9" s="65" t="n"/>
      <c r="O9" s="63" t="inlineStr">
        <is>
          <t>On record</t>
        </is>
      </c>
      <c r="P9" s="28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37">
      <c r="A10" s="61" t="inlineStr">
        <is>
          <t>Arrneata Cobbs</t>
        </is>
      </c>
      <c r="B10" s="28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91" t="n"/>
      <c r="H10" s="61" t="n"/>
      <c r="I10" s="61" t="n"/>
      <c r="J10" s="284" t="n"/>
      <c r="K10" s="61" t="n"/>
      <c r="L10" s="291" t="n"/>
      <c r="M10" s="63" t="n"/>
      <c r="N10" s="65" t="n"/>
      <c r="O10" s="63" t="inlineStr">
        <is>
          <t>On record</t>
        </is>
      </c>
      <c r="P10" s="28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37">
      <c r="A11" s="61" t="inlineStr">
        <is>
          <t>Brandon Goins</t>
        </is>
      </c>
      <c r="B11" s="28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91" t="n"/>
      <c r="H11" s="61" t="n"/>
      <c r="I11" s="61" t="n"/>
      <c r="J11" s="284" t="n"/>
      <c r="K11" s="61" t="n"/>
      <c r="L11" s="291" t="n"/>
      <c r="M11" s="63" t="n"/>
      <c r="N11" s="65" t="n"/>
      <c r="O11" s="63" t="inlineStr">
        <is>
          <t>On record</t>
        </is>
      </c>
      <c r="P11" s="28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37">
      <c r="A12" s="61" t="inlineStr">
        <is>
          <t>Bryane Childes</t>
        </is>
      </c>
      <c r="B12" s="28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91" t="n"/>
      <c r="H12" s="61" t="n"/>
      <c r="I12" s="61" t="n"/>
      <c r="J12" s="284" t="n"/>
      <c r="K12" s="61" t="n"/>
      <c r="L12" s="291" t="n"/>
      <c r="M12" s="63" t="n"/>
      <c r="N12" s="65" t="n"/>
      <c r="O12" s="63" t="inlineStr">
        <is>
          <t>On record</t>
        </is>
      </c>
      <c r="P12" s="28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37">
      <c r="A13" s="61" t="inlineStr">
        <is>
          <t>Bryon Willis</t>
        </is>
      </c>
      <c r="B13" s="28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91" t="n"/>
      <c r="H13" s="61" t="n"/>
      <c r="I13" s="61" t="n"/>
      <c r="J13" s="284" t="n"/>
      <c r="K13" s="61" t="n"/>
      <c r="L13" s="291" t="n"/>
      <c r="M13" s="63" t="n"/>
      <c r="N13" s="65" t="n"/>
      <c r="O13" s="63" t="inlineStr">
        <is>
          <t>On record</t>
        </is>
      </c>
      <c r="P13" s="28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37">
      <c r="A14" s="61" t="inlineStr">
        <is>
          <t>Charles Rollins</t>
        </is>
      </c>
      <c r="B14" s="28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91" t="n"/>
      <c r="H14" s="61" t="n"/>
      <c r="I14" s="61" t="n"/>
      <c r="J14" s="284" t="n"/>
      <c r="K14" s="61" t="n"/>
      <c r="L14" s="291" t="n"/>
      <c r="M14" s="63" t="n"/>
      <c r="N14" s="65" t="n"/>
      <c r="O14" s="63" t="inlineStr">
        <is>
          <t>On record</t>
        </is>
      </c>
      <c r="P14" s="28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37">
      <c r="A15" s="61" t="inlineStr">
        <is>
          <t>Christina Laraway</t>
        </is>
      </c>
      <c r="B15" s="28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91" t="n"/>
      <c r="H15" s="61" t="n"/>
      <c r="I15" s="61" t="n"/>
      <c r="J15" s="284" t="n"/>
      <c r="K15" s="61" t="n"/>
      <c r="L15" s="291" t="n"/>
      <c r="M15" s="63" t="n"/>
      <c r="N15" s="65" t="n"/>
      <c r="O15" s="63" t="inlineStr">
        <is>
          <t>On record</t>
        </is>
      </c>
      <c r="P15" s="28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37">
      <c r="A16" s="61" t="inlineStr">
        <is>
          <t>Christopher Holeman</t>
        </is>
      </c>
      <c r="B16" s="28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91" t="n"/>
      <c r="H16" s="61" t="n"/>
      <c r="I16" s="61" t="n"/>
      <c r="J16" s="284" t="n"/>
      <c r="K16" s="61" t="n"/>
      <c r="L16" s="291" t="n"/>
      <c r="M16" s="63" t="n"/>
      <c r="N16" s="65" t="n"/>
      <c r="O16" s="63" t="inlineStr">
        <is>
          <t>On record</t>
        </is>
      </c>
      <c r="P16" s="28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37">
      <c r="A17" s="61" t="inlineStr">
        <is>
          <t>Chrysalis Spearman</t>
        </is>
      </c>
      <c r="B17" s="28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91" t="n"/>
      <c r="H17" s="61" t="n"/>
      <c r="I17" s="61" t="n"/>
      <c r="J17" s="284" t="n"/>
      <c r="K17" s="61" t="n"/>
      <c r="L17" s="291" t="n"/>
      <c r="M17" s="63" t="n"/>
      <c r="N17" s="65" t="n"/>
      <c r="O17" s="63" t="inlineStr">
        <is>
          <t>On record</t>
        </is>
      </c>
      <c r="P17" s="28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37">
      <c r="A18" s="61" t="inlineStr">
        <is>
          <t>Corey Howell</t>
        </is>
      </c>
      <c r="B18" s="28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91" t="n"/>
      <c r="H18" s="61" t="n"/>
      <c r="I18" s="61" t="n"/>
      <c r="J18" s="284" t="n"/>
      <c r="K18" s="61" t="n"/>
      <c r="L18" s="291" t="n"/>
      <c r="M18" s="63" t="n"/>
      <c r="N18" s="65" t="n"/>
      <c r="O18" s="63" t="inlineStr">
        <is>
          <t>On record</t>
        </is>
      </c>
      <c r="P18" s="28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37">
      <c r="A19" s="61" t="inlineStr">
        <is>
          <t>Danielle Caruthers</t>
        </is>
      </c>
      <c r="B19" s="28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91" t="n"/>
      <c r="H19" s="61" t="n"/>
      <c r="I19" s="61" t="n"/>
      <c r="J19" s="284" t="n"/>
      <c r="K19" s="61" t="n"/>
      <c r="L19" s="291" t="n"/>
      <c r="M19" s="63" t="n"/>
      <c r="N19" s="65" t="n"/>
      <c r="O19" s="63" t="inlineStr">
        <is>
          <t>On record</t>
        </is>
      </c>
      <c r="P19" s="28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37">
      <c r="A20" s="61" t="inlineStr">
        <is>
          <t>Danita Mcknight</t>
        </is>
      </c>
      <c r="B20" s="28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91" t="n"/>
      <c r="H20" s="61" t="n"/>
      <c r="I20" s="61" t="n"/>
      <c r="J20" s="284" t="n"/>
      <c r="K20" s="61" t="n"/>
      <c r="L20" s="291" t="n"/>
      <c r="M20" s="63" t="n"/>
      <c r="N20" s="65" t="n"/>
      <c r="O20" s="63" t="inlineStr">
        <is>
          <t>On record</t>
        </is>
      </c>
      <c r="P20" s="28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37">
      <c r="A21" s="61" t="inlineStr">
        <is>
          <t>David Williams</t>
        </is>
      </c>
      <c r="B21" s="28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91" t="n"/>
      <c r="H21" s="61" t="n"/>
      <c r="I21" s="61" t="n"/>
      <c r="J21" s="284" t="n"/>
      <c r="K21" s="61" t="n"/>
      <c r="L21" s="291" t="n"/>
      <c r="M21" s="63" t="n"/>
      <c r="N21" s="65" t="n"/>
      <c r="O21" s="63" t="inlineStr">
        <is>
          <t>On record</t>
        </is>
      </c>
      <c r="P21" s="28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37">
      <c r="A22" s="61" t="inlineStr">
        <is>
          <t>Deasia Ruff</t>
        </is>
      </c>
      <c r="B22" s="28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91" t="n"/>
      <c r="H22" s="61" t="n"/>
      <c r="I22" s="61" t="n"/>
      <c r="J22" s="284" t="n"/>
      <c r="K22" s="61" t="n"/>
      <c r="L22" s="291" t="n"/>
      <c r="M22" s="63" t="n"/>
      <c r="N22" s="65" t="n"/>
      <c r="O22" s="63" t="inlineStr">
        <is>
          <t>On record</t>
        </is>
      </c>
      <c r="P22" s="28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37">
      <c r="A23" s="61" t="inlineStr">
        <is>
          <t>Destiny Bailey</t>
        </is>
      </c>
      <c r="B23" s="28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91" t="n"/>
      <c r="H23" s="61" t="n"/>
      <c r="I23" s="61" t="n"/>
      <c r="J23" s="284" t="n"/>
      <c r="K23" s="61" t="n"/>
      <c r="L23" s="291" t="n"/>
      <c r="M23" s="63" t="n"/>
      <c r="N23" s="65" t="n"/>
      <c r="O23" s="63" t="inlineStr">
        <is>
          <t>On record</t>
        </is>
      </c>
      <c r="P23" s="28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37">
      <c r="A24" s="61" t="inlineStr">
        <is>
          <t>Divionda Collier</t>
        </is>
      </c>
      <c r="B24" s="28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91" t="n"/>
      <c r="H24" s="61" t="n"/>
      <c r="I24" s="61" t="n"/>
      <c r="J24" s="284" t="n"/>
      <c r="K24" s="61" t="n"/>
      <c r="L24" s="291" t="n"/>
      <c r="M24" s="63" t="n"/>
      <c r="N24" s="65" t="n"/>
      <c r="O24" s="63" t="inlineStr">
        <is>
          <t>On record</t>
        </is>
      </c>
      <c r="P24" s="28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37">
      <c r="A25" s="61" t="inlineStr">
        <is>
          <t>Donald Mccuin</t>
        </is>
      </c>
      <c r="B25" s="28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91" t="n"/>
      <c r="H25" s="61" t="n"/>
      <c r="I25" s="61" t="n"/>
      <c r="J25" s="284" t="n"/>
      <c r="K25" s="61" t="n"/>
      <c r="L25" s="291" t="n"/>
      <c r="M25" s="63" t="n"/>
      <c r="N25" s="65" t="n"/>
      <c r="O25" s="63" t="inlineStr">
        <is>
          <t>On record</t>
        </is>
      </c>
      <c r="P25" s="28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37">
      <c r="A26" s="61" t="inlineStr">
        <is>
          <t>Erik Laster</t>
        </is>
      </c>
      <c r="B26" s="28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91" t="n"/>
      <c r="H26" s="61" t="n"/>
      <c r="I26" s="61" t="n"/>
      <c r="J26" s="284" t="n"/>
      <c r="K26" s="61" t="n"/>
      <c r="L26" s="291" t="n"/>
      <c r="M26" s="63" t="n"/>
      <c r="N26" s="65" t="n"/>
      <c r="O26" s="63" t="inlineStr">
        <is>
          <t>On record</t>
        </is>
      </c>
      <c r="P26" s="28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37">
      <c r="A27" s="61" t="inlineStr">
        <is>
          <t>Ervin Taylor</t>
        </is>
      </c>
      <c r="B27" s="28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91" t="n"/>
      <c r="H27" s="61" t="n"/>
      <c r="I27" s="61" t="n"/>
      <c r="J27" s="284" t="n"/>
      <c r="K27" s="61" t="n"/>
      <c r="L27" s="291" t="n"/>
      <c r="M27" s="63" t="n"/>
      <c r="N27" s="65" t="n"/>
      <c r="O27" s="63" t="inlineStr">
        <is>
          <t>On record</t>
        </is>
      </c>
      <c r="P27" s="28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37">
      <c r="A28" s="61" t="inlineStr">
        <is>
          <t>Hussein Chahin</t>
        </is>
      </c>
      <c r="B28" s="28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91" t="n"/>
      <c r="H28" s="61" t="n"/>
      <c r="I28" s="61" t="n"/>
      <c r="J28" s="284" t="n"/>
      <c r="K28" s="61" t="n"/>
      <c r="L28" s="291" t="n"/>
      <c r="M28" s="63" t="n"/>
      <c r="N28" s="65" t="n"/>
      <c r="O28" s="63" t="inlineStr">
        <is>
          <t>On record</t>
        </is>
      </c>
      <c r="P28" s="28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37">
      <c r="A29" s="61" t="inlineStr">
        <is>
          <t>Ieesha Mitchell</t>
        </is>
      </c>
      <c r="B29" s="28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91" t="n"/>
      <c r="H29" s="61" t="n"/>
      <c r="I29" s="61" t="n"/>
      <c r="J29" s="284" t="n"/>
      <c r="K29" s="61" t="n"/>
      <c r="L29" s="291" t="n"/>
      <c r="M29" s="63" t="n"/>
      <c r="N29" s="65" t="n"/>
      <c r="O29" s="63" t="inlineStr">
        <is>
          <t>On record</t>
        </is>
      </c>
      <c r="P29" s="28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37">
      <c r="A30" s="61" t="inlineStr">
        <is>
          <t>Ishiah Reasonover</t>
        </is>
      </c>
      <c r="B30" s="28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91" t="n"/>
      <c r="H30" s="61" t="n"/>
      <c r="I30" s="61" t="n"/>
      <c r="J30" s="284" t="n"/>
      <c r="K30" s="61" t="n"/>
      <c r="L30" s="291" t="n"/>
      <c r="M30" s="63" t="n"/>
      <c r="N30" s="65" t="n"/>
      <c r="O30" s="63" t="inlineStr">
        <is>
          <t>On record</t>
        </is>
      </c>
      <c r="P30" s="28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37">
      <c r="A31" s="61" t="inlineStr">
        <is>
          <t>Jamale Lockett</t>
        </is>
      </c>
      <c r="B31" s="28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91" t="n"/>
      <c r="H31" s="61" t="n"/>
      <c r="I31" s="61" t="n"/>
      <c r="J31" s="284" t="n"/>
      <c r="K31" s="61" t="n"/>
      <c r="L31" s="291" t="n"/>
      <c r="M31" s="63" t="n"/>
      <c r="N31" s="65" t="n"/>
      <c r="O31" s="63" t="inlineStr">
        <is>
          <t>On record</t>
        </is>
      </c>
      <c r="P31" s="28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37">
      <c r="A32" s="61" t="inlineStr">
        <is>
          <t>Jasmine Mason</t>
        </is>
      </c>
      <c r="B32" s="28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91" t="n"/>
      <c r="H32" s="61" t="n"/>
      <c r="I32" s="61" t="n"/>
      <c r="J32" s="284" t="n"/>
      <c r="K32" s="61" t="n"/>
      <c r="L32" s="291" t="n"/>
      <c r="M32" s="63" t="n"/>
      <c r="N32" s="65" t="n"/>
      <c r="O32" s="63" t="inlineStr">
        <is>
          <t>On record</t>
        </is>
      </c>
      <c r="P32" s="28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37">
      <c r="A33" s="61" t="inlineStr">
        <is>
          <t>Kayla Fletcher</t>
        </is>
      </c>
      <c r="B33" s="28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91" t="n"/>
      <c r="H33" s="61" t="n"/>
      <c r="I33" s="61" t="n"/>
      <c r="J33" s="284" t="n"/>
      <c r="K33" s="61" t="n"/>
      <c r="L33" s="291" t="n"/>
      <c r="M33" s="63" t="n"/>
      <c r="N33" s="65" t="n"/>
      <c r="O33" s="63" t="inlineStr">
        <is>
          <t>On record</t>
        </is>
      </c>
      <c r="P33" s="28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37">
      <c r="A34" s="61" t="inlineStr">
        <is>
          <t>Kion Dawkins</t>
        </is>
      </c>
      <c r="B34" s="28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91" t="n"/>
      <c r="H34" s="61" t="n"/>
      <c r="I34" s="61" t="n"/>
      <c r="J34" s="284" t="n"/>
      <c r="K34" s="61" t="n"/>
      <c r="L34" s="291" t="n"/>
      <c r="M34" s="63" t="n"/>
      <c r="N34" s="65" t="n"/>
      <c r="O34" s="63" t="inlineStr">
        <is>
          <t>On record</t>
        </is>
      </c>
      <c r="P34" s="28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37">
      <c r="A35" s="61" t="inlineStr">
        <is>
          <t>Laquanda Cowart</t>
        </is>
      </c>
      <c r="B35" s="28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91" t="n"/>
      <c r="H35" s="61" t="n"/>
      <c r="I35" s="61" t="n"/>
      <c r="J35" s="284" t="n"/>
      <c r="K35" s="61" t="n"/>
      <c r="L35" s="291" t="n"/>
      <c r="M35" s="63" t="n"/>
      <c r="N35" s="65" t="n"/>
      <c r="O35" s="63" t="inlineStr">
        <is>
          <t>On record</t>
        </is>
      </c>
      <c r="P35" s="28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37">
      <c r="A36" s="61" t="inlineStr">
        <is>
          <t>Latrice Choates</t>
        </is>
      </c>
      <c r="B36" s="28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91" t="n"/>
      <c r="H36" s="61" t="n"/>
      <c r="I36" s="61" t="n"/>
      <c r="J36" s="284" t="n"/>
      <c r="K36" s="61" t="n"/>
      <c r="L36" s="291" t="n"/>
      <c r="M36" s="63" t="n"/>
      <c r="N36" s="65" t="n"/>
      <c r="O36" s="63" t="inlineStr">
        <is>
          <t>On record</t>
        </is>
      </c>
      <c r="P36" s="28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37">
      <c r="A37" s="61" t="inlineStr">
        <is>
          <t>Linda Lamb</t>
        </is>
      </c>
      <c r="B37" s="28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91" t="n"/>
      <c r="H37" s="61" t="n"/>
      <c r="I37" s="61" t="n"/>
      <c r="J37" s="284" t="n"/>
      <c r="K37" s="61" t="n"/>
      <c r="L37" s="291" t="n"/>
      <c r="M37" s="63" t="n"/>
      <c r="N37" s="65" t="n"/>
      <c r="O37" s="63" t="inlineStr">
        <is>
          <t>On record</t>
        </is>
      </c>
      <c r="P37" s="28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37">
      <c r="A38" s="61" t="inlineStr">
        <is>
          <t>Llewellyn Jenkins</t>
        </is>
      </c>
      <c r="B38" s="28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91" t="n"/>
      <c r="H38" s="61" t="n"/>
      <c r="I38" s="61" t="n"/>
      <c r="J38" s="284" t="n"/>
      <c r="K38" s="61" t="n"/>
      <c r="L38" s="291" t="n"/>
      <c r="M38" s="63" t="n"/>
      <c r="N38" s="65" t="n"/>
      <c r="O38" s="63" t="inlineStr">
        <is>
          <t>On record</t>
        </is>
      </c>
      <c r="P38" s="28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37">
      <c r="A39" s="61" t="inlineStr">
        <is>
          <t>Maranda Butler</t>
        </is>
      </c>
      <c r="B39" s="28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91" t="n"/>
      <c r="H39" s="61" t="n"/>
      <c r="I39" s="61" t="n"/>
      <c r="J39" s="284" t="n"/>
      <c r="K39" s="61" t="n"/>
      <c r="L39" s="291" t="n"/>
      <c r="M39" s="63" t="n"/>
      <c r="N39" s="65" t="n"/>
      <c r="O39" s="63" t="inlineStr">
        <is>
          <t>On record</t>
        </is>
      </c>
      <c r="P39" s="28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37">
      <c r="A40" s="61" t="inlineStr">
        <is>
          <t>Marc Robinson</t>
        </is>
      </c>
      <c r="B40" s="28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91" t="n"/>
      <c r="H40" s="61" t="n"/>
      <c r="I40" s="61" t="n"/>
      <c r="J40" s="284" t="n"/>
      <c r="K40" s="61" t="n"/>
      <c r="L40" s="291" t="n"/>
      <c r="M40" s="63" t="n"/>
      <c r="N40" s="65" t="n"/>
      <c r="O40" s="63" t="inlineStr">
        <is>
          <t>On record</t>
        </is>
      </c>
      <c r="P40" s="28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37">
      <c r="A41" s="61" t="inlineStr">
        <is>
          <t>Michael Nelson</t>
        </is>
      </c>
      <c r="B41" s="28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91" t="n"/>
      <c r="H41" s="61" t="n"/>
      <c r="I41" s="61" t="n"/>
      <c r="J41" s="284" t="n"/>
      <c r="K41" s="61" t="n"/>
      <c r="L41" s="291" t="n"/>
      <c r="M41" s="63" t="n"/>
      <c r="N41" s="65" t="n"/>
      <c r="O41" s="63" t="inlineStr">
        <is>
          <t>On record</t>
        </is>
      </c>
      <c r="P41" s="28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37">
      <c r="A42" s="61" t="inlineStr">
        <is>
          <t>Michelle Young</t>
        </is>
      </c>
      <c r="B42" s="28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91" t="n"/>
      <c r="H42" s="61" t="n"/>
      <c r="I42" s="61" t="n"/>
      <c r="J42" s="284" t="n"/>
      <c r="K42" s="61" t="n"/>
      <c r="L42" s="291" t="n"/>
      <c r="M42" s="63" t="n"/>
      <c r="N42" s="65" t="n"/>
      <c r="O42" s="63" t="inlineStr">
        <is>
          <t>On record</t>
        </is>
      </c>
      <c r="P42" s="28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37">
      <c r="A43" s="61" t="inlineStr">
        <is>
          <t>Nathaniel Barber</t>
        </is>
      </c>
      <c r="B43" s="28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91" t="n"/>
      <c r="H43" s="61" t="n"/>
      <c r="I43" s="61" t="n"/>
      <c r="J43" s="284" t="n"/>
      <c r="K43" s="61" t="n"/>
      <c r="L43" s="291" t="n"/>
      <c r="M43" s="63" t="n"/>
      <c r="N43" s="65" t="n"/>
      <c r="O43" s="63" t="inlineStr">
        <is>
          <t>On record</t>
        </is>
      </c>
      <c r="P43" s="28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37">
      <c r="A44" s="61" t="inlineStr">
        <is>
          <t>Nicole aranda</t>
        </is>
      </c>
      <c r="B44" s="28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91" t="n"/>
      <c r="H44" s="61" t="n"/>
      <c r="I44" s="61" t="n"/>
      <c r="J44" s="284" t="n"/>
      <c r="K44" s="61" t="n"/>
      <c r="L44" s="291" t="n"/>
      <c r="M44" s="63" t="n"/>
      <c r="N44" s="65" t="n"/>
      <c r="O44" s="63" t="inlineStr">
        <is>
          <t>On record</t>
        </is>
      </c>
      <c r="P44" s="28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37">
      <c r="A45" s="61" t="inlineStr">
        <is>
          <t>Precious Tyus</t>
        </is>
      </c>
      <c r="B45" s="28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91" t="n"/>
      <c r="H45" s="61" t="n"/>
      <c r="I45" s="61" t="n"/>
      <c r="J45" s="284" t="n"/>
      <c r="K45" s="61" t="n"/>
      <c r="L45" s="291" t="n"/>
      <c r="M45" s="63" t="n"/>
      <c r="N45" s="65" t="n"/>
      <c r="O45" s="63" t="inlineStr">
        <is>
          <t>On record</t>
        </is>
      </c>
      <c r="P45" s="28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37">
      <c r="A46" s="61" t="inlineStr">
        <is>
          <t>Raveen Walker</t>
        </is>
      </c>
      <c r="B46" s="28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91" t="n"/>
      <c r="H46" s="61" t="n"/>
      <c r="I46" s="61" t="n"/>
      <c r="J46" s="284" t="n"/>
      <c r="K46" s="61" t="n"/>
      <c r="L46" s="291" t="n"/>
      <c r="M46" s="63" t="n"/>
      <c r="N46" s="65" t="n"/>
      <c r="O46" s="63" t="inlineStr">
        <is>
          <t>On record</t>
        </is>
      </c>
      <c r="P46" s="28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37">
      <c r="A47" s="61" t="inlineStr">
        <is>
          <t>Reginald Mullen</t>
        </is>
      </c>
      <c r="B47" s="28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91" t="n"/>
      <c r="H47" s="61" t="n"/>
      <c r="I47" s="61" t="n"/>
      <c r="J47" s="284" t="n"/>
      <c r="K47" s="61" t="n"/>
      <c r="L47" s="291" t="n"/>
      <c r="M47" s="63" t="n"/>
      <c r="N47" s="65" t="n"/>
      <c r="O47" s="63" t="inlineStr">
        <is>
          <t>On record</t>
        </is>
      </c>
      <c r="P47" s="28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37">
      <c r="A48" s="61" t="inlineStr">
        <is>
          <t>Robbin Gibson</t>
        </is>
      </c>
      <c r="B48" s="28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91" t="n"/>
      <c r="H48" s="61" t="n"/>
      <c r="I48" s="61" t="n"/>
      <c r="J48" s="284" t="n"/>
      <c r="K48" s="61" t="n"/>
      <c r="L48" s="291" t="n"/>
      <c r="M48" s="63" t="n"/>
      <c r="N48" s="65" t="n"/>
      <c r="O48" s="63" t="inlineStr">
        <is>
          <t>On record</t>
        </is>
      </c>
      <c r="P48" s="28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37">
      <c r="A49" s="61" t="inlineStr">
        <is>
          <t>Robert Messler</t>
        </is>
      </c>
      <c r="B49" s="28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91" t="n"/>
      <c r="H49" s="61" t="n"/>
      <c r="I49" s="61" t="n"/>
      <c r="J49" s="284" t="n"/>
      <c r="K49" s="61" t="n"/>
      <c r="L49" s="291" t="n"/>
      <c r="M49" s="63" t="n"/>
      <c r="N49" s="65" t="n"/>
      <c r="O49" s="63" t="inlineStr">
        <is>
          <t>On record</t>
        </is>
      </c>
      <c r="P49" s="28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37">
      <c r="A50" s="61" t="inlineStr">
        <is>
          <t>Roy Buckman</t>
        </is>
      </c>
      <c r="B50" s="28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91" t="n"/>
      <c r="H50" s="61" t="n"/>
      <c r="I50" s="61" t="n"/>
      <c r="J50" s="284" t="n"/>
      <c r="K50" s="61" t="n"/>
      <c r="L50" s="291" t="n"/>
      <c r="M50" s="63" t="n"/>
      <c r="N50" s="65" t="n"/>
      <c r="O50" s="63" t="inlineStr">
        <is>
          <t>On record</t>
        </is>
      </c>
      <c r="P50" s="28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37">
      <c r="A51" s="61" t="inlineStr">
        <is>
          <t xml:space="preserve">Sharkela Taylor </t>
        </is>
      </c>
      <c r="B51" s="28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91" t="n"/>
      <c r="H51" s="61" t="n"/>
      <c r="I51" s="61" t="n"/>
      <c r="J51" s="284" t="n"/>
      <c r="K51" s="61" t="n"/>
      <c r="L51" s="291" t="n"/>
      <c r="M51" s="63" t="n"/>
      <c r="N51" s="65" t="n"/>
      <c r="O51" s="63" t="inlineStr">
        <is>
          <t>On record</t>
        </is>
      </c>
      <c r="P51" s="28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37">
      <c r="A52" s="61" t="inlineStr">
        <is>
          <t>Shaun Stewart</t>
        </is>
      </c>
      <c r="B52" s="28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91" t="n"/>
      <c r="H52" s="61" t="n"/>
      <c r="I52" s="61" t="n"/>
      <c r="J52" s="284" t="n"/>
      <c r="K52" s="61" t="n"/>
      <c r="L52" s="291" t="n"/>
      <c r="M52" s="63" t="n"/>
      <c r="N52" s="65" t="n"/>
      <c r="O52" s="63" t="inlineStr">
        <is>
          <t>On record</t>
        </is>
      </c>
      <c r="P52" s="28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37">
      <c r="A53" s="30" t="inlineStr">
        <is>
          <t>Sheila Neeley</t>
        </is>
      </c>
      <c r="B53" s="281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92" t="n"/>
      <c r="H53" s="30" t="n"/>
      <c r="I53" s="30" t="n"/>
      <c r="J53" s="281" t="n"/>
      <c r="K53" s="30" t="n"/>
      <c r="L53" s="292" t="n"/>
      <c r="M53" s="31" t="n"/>
      <c r="N53" s="170" t="n"/>
      <c r="O53" s="31" t="inlineStr">
        <is>
          <t>On record</t>
        </is>
      </c>
      <c r="P53" s="281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37">
      <c r="A54" s="61" t="inlineStr">
        <is>
          <t>Sommar Hutchinson</t>
        </is>
      </c>
      <c r="B54" s="28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91" t="n"/>
      <c r="H54" s="61" t="n"/>
      <c r="I54" s="61" t="n"/>
      <c r="J54" s="284" t="n"/>
      <c r="K54" s="61" t="n"/>
      <c r="L54" s="291" t="n"/>
      <c r="M54" s="63" t="n"/>
      <c r="N54" s="65" t="n"/>
      <c r="O54" s="63" t="inlineStr">
        <is>
          <t>On record</t>
        </is>
      </c>
      <c r="P54" s="28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37">
      <c r="A55" s="61" t="inlineStr">
        <is>
          <t>Terrance Norris</t>
        </is>
      </c>
      <c r="B55" s="28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91" t="n"/>
      <c r="H55" s="61" t="n"/>
      <c r="I55" s="61" t="n"/>
      <c r="J55" s="284" t="n"/>
      <c r="K55" s="61" t="n"/>
      <c r="L55" s="291" t="n"/>
      <c r="M55" s="63" t="n"/>
      <c r="N55" s="65" t="n"/>
      <c r="O55" s="63" t="inlineStr">
        <is>
          <t>On record</t>
        </is>
      </c>
      <c r="P55" s="28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37">
      <c r="A56" s="61" t="inlineStr">
        <is>
          <t>Tolon Duncan</t>
        </is>
      </c>
      <c r="B56" s="28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91" t="n"/>
      <c r="H56" s="61" t="n"/>
      <c r="I56" s="61" t="n"/>
      <c r="J56" s="284" t="n"/>
      <c r="K56" s="61" t="n"/>
      <c r="L56" s="291" t="n"/>
      <c r="M56" s="63" t="n"/>
      <c r="N56" s="65" t="n"/>
      <c r="O56" s="63" t="inlineStr">
        <is>
          <t>On record</t>
        </is>
      </c>
      <c r="P56" s="28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37">
      <c r="A57" s="61" t="inlineStr">
        <is>
          <t>Tony Walker</t>
        </is>
      </c>
      <c r="B57" s="28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91" t="n"/>
      <c r="H57" s="61" t="n"/>
      <c r="I57" s="61" t="n"/>
      <c r="J57" s="284" t="n"/>
      <c r="K57" s="61" t="n"/>
      <c r="L57" s="291" t="n"/>
      <c r="M57" s="63" t="n"/>
      <c r="N57" s="65" t="n"/>
      <c r="O57" s="63" t="inlineStr">
        <is>
          <t>On record</t>
        </is>
      </c>
      <c r="P57" s="28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37">
      <c r="A58" s="61" t="inlineStr">
        <is>
          <t>Tyrese Lee Heard</t>
        </is>
      </c>
      <c r="B58" s="28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91" t="n"/>
      <c r="H58" s="61" t="n"/>
      <c r="I58" s="61" t="n"/>
      <c r="J58" s="284" t="n"/>
      <c r="K58" s="61" t="n"/>
      <c r="L58" s="291" t="n"/>
      <c r="M58" s="63" t="n"/>
      <c r="N58" s="65" t="n"/>
      <c r="O58" s="63" t="inlineStr">
        <is>
          <t>On record</t>
        </is>
      </c>
      <c r="P58" s="28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37">
      <c r="A59" s="61" t="inlineStr">
        <is>
          <t>William Perkins</t>
        </is>
      </c>
      <c r="B59" s="28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91" t="n"/>
      <c r="H59" s="61" t="n"/>
      <c r="I59" s="61" t="n"/>
      <c r="J59" s="284" t="n"/>
      <c r="K59" s="61" t="n"/>
      <c r="L59" s="291" t="n"/>
      <c r="M59" s="63" t="n"/>
      <c r="N59" s="65" t="n"/>
      <c r="O59" s="63" t="inlineStr">
        <is>
          <t>On record</t>
        </is>
      </c>
      <c r="P59" s="28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37">
      <c r="A60" s="61" t="inlineStr">
        <is>
          <t>Youssef A. Ismail</t>
        </is>
      </c>
      <c r="B60" s="28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91" t="n"/>
      <c r="H60" s="61" t="n"/>
      <c r="I60" s="61" t="n"/>
      <c r="J60" s="284" t="n"/>
      <c r="K60" s="61" t="n"/>
      <c r="L60" s="291" t="n"/>
      <c r="M60" s="63" t="n"/>
      <c r="N60" s="65" t="n"/>
      <c r="O60" s="63" t="inlineStr">
        <is>
          <t>On record</t>
        </is>
      </c>
      <c r="P60" s="28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37">
      <c r="A61" s="61" t="inlineStr">
        <is>
          <t>Yovon Woods</t>
        </is>
      </c>
      <c r="B61" s="28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91" t="n"/>
      <c r="H61" s="61" t="n"/>
      <c r="I61" s="61" t="n"/>
      <c r="J61" s="284" t="n"/>
      <c r="K61" s="61" t="n"/>
      <c r="L61" s="291" t="n"/>
      <c r="M61" s="63" t="n"/>
      <c r="N61" s="65" t="n"/>
      <c r="O61" s="63" t="inlineStr">
        <is>
          <t>On record</t>
        </is>
      </c>
      <c r="P61" s="28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288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5.7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288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5.7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288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5.7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288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5.7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288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5.7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288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5.7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288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5.7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288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5.7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288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5.7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288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5.7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288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5.7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288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5.7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288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5.7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288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5.7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288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5.7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288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5.7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288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5.75" customHeight="1" s="237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37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37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37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37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37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37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37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37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37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37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37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37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37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37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37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37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37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37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37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37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37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37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37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37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37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37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37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37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37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37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37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37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37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37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37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37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37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37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37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37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37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37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37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37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37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37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37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37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37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37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37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37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37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37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37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37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37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37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37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37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37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37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37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37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37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37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37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37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37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37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37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37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37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37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37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37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37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37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37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37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37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37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37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37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37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37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37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37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37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37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37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37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37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37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37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37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37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37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37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37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37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37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37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37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37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37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37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37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37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37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37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37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37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37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37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37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37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37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37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37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37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37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37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37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37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37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37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37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37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37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37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37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37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37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37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37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37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37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48222:Q1048460">
    <cfRule type="expression" priority="22" dxfId="65">
      <formula>$O14643:$O1048222="Not on record"</formula>
    </cfRule>
    <cfRule type="expression" priority="23" dxfId="65">
      <formula>$Q14643:$Q1048222="Expired"</formula>
    </cfRule>
    <cfRule type="expression" priority="24" dxfId="64">
      <formula>AND($O1048222="On record", $Q1048222="")</formula>
    </cfRule>
  </conditionalFormatting>
  <conditionalFormatting sqref="O1048541:Q1048576">
    <cfRule type="expression" priority="3640" dxfId="65">
      <formula>$O45:$O14962="Not on record"</formula>
    </cfRule>
    <cfRule type="expression" priority="3641" dxfId="65">
      <formula>$Q45:$Q14962="Expired"</formula>
    </cfRule>
    <cfRule type="expression" priority="3642" dxfId="64">
      <formula>AND($O1048541="On record", $Q1048541="")</formula>
    </cfRule>
  </conditionalFormatting>
  <conditionalFormatting sqref="O1033349:Q1048221">
    <cfRule type="expression" priority="4543" dxfId="65">
      <formula>$O5:$O1033349="Not on record"</formula>
    </cfRule>
    <cfRule type="expression" priority="4544" dxfId="65">
      <formula>$Q5:$Q1033349="Expired"</formula>
    </cfRule>
    <cfRule type="expression" priority="4545" dxfId="64">
      <formula>AND($O1033349="On record", $Q1033349="")</formula>
    </cfRule>
  </conditionalFormatting>
  <conditionalFormatting sqref="O1048462:Q1048540">
    <cfRule type="expression" priority="4555" dxfId="65">
      <formula>$O1:$O14883="Not on record"</formula>
    </cfRule>
    <cfRule type="expression" priority="4556" dxfId="65">
      <formula>$Q1:$Q14883="Expired"</formula>
    </cfRule>
    <cfRule type="expression" priority="4557" dxfId="64">
      <formula>AND($O1048462="On record", $Q1048462="")</formula>
    </cfRule>
  </conditionalFormatting>
  <conditionalFormatting sqref="O1048461:Q1048461">
    <cfRule type="expression" priority="4558" dxfId="65">
      <formula>$O14882:$O1048576="Not on record"</formula>
    </cfRule>
    <cfRule type="expression" priority="4559" dxfId="65">
      <formula>$Q14882:$Q1048576="Expired"</formula>
    </cfRule>
    <cfRule type="expression" priority="4560" dxfId="64">
      <formula>AND($O1048461="On record", $Q1048461="")</formula>
    </cfRule>
  </conditionalFormatting>
  <conditionalFormatting sqref="O1033348:Q1033348">
    <cfRule type="expression" priority="4561" dxfId="65">
      <formula>$O5:$O1033348="Not on record"</formula>
    </cfRule>
    <cfRule type="expression" priority="4562" dxfId="65">
      <formula>$Q5:$Q1033348="Expired"</formula>
    </cfRule>
    <cfRule type="expression" priority="4563" dxfId="64">
      <formula>AND($O1033348="On record", $Q1033348="")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2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F15" sqref="F15"/>
    </sheetView>
  </sheetViews>
  <sheetFormatPr baseColWidth="8" defaultColWidth="9.140625" defaultRowHeight="16.5"/>
  <cols>
    <col width="13.28515625" customWidth="1" style="293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94" t="inlineStr">
        <is>
          <t>Automatically Populated</t>
        </is>
      </c>
      <c r="D5" s="295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94" t="inlineStr">
        <is>
          <t>Automatically Populated</t>
        </is>
      </c>
      <c r="P5" s="296" t="n"/>
      <c r="Q5" s="296" t="n"/>
      <c r="R5" s="296" t="n"/>
      <c r="S5" s="296" t="n"/>
      <c r="T5" s="296" t="n"/>
      <c r="U5" s="295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174" t="inlineStr">
        <is>
          <t>03/10/2025</t>
        </is>
      </c>
      <c r="B7" s="52" t="inlineStr">
        <is>
          <t>Arron Kimbrough</t>
        </is>
      </c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inlineStr">
        <is>
          <t>66 Litchfield St, Boston MA 02135</t>
        </is>
      </c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97" t="n"/>
      <c r="P7" s="297" t="n"/>
      <c r="Q7" s="297" t="n"/>
      <c r="R7" s="297" t="n"/>
      <c r="S7" s="297" t="n"/>
      <c r="T7" s="297" t="n"/>
      <c r="U7" s="297" t="n"/>
    </row>
    <row r="8" ht="33" customFormat="1" customHeight="1" s="106">
      <c r="A8" s="174" t="inlineStr">
        <is>
          <t>03/10/2025</t>
        </is>
      </c>
      <c r="B8" s="52" t="inlineStr">
        <is>
          <t>Dequanta Branner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66 Litchfield St, Boston MA 02135</t>
        </is>
      </c>
      <c r="F8" s="52" t="n"/>
      <c r="G8" s="52" t="n"/>
      <c r="H8" s="52" t="n"/>
      <c r="I8" s="52" t="n"/>
      <c r="J8" s="59" t="n"/>
      <c r="K8" s="59" t="n"/>
      <c r="L8" s="59" t="n"/>
      <c r="M8" s="59" t="n"/>
      <c r="N8" s="59" t="n"/>
      <c r="O8" s="297" t="n"/>
      <c r="P8" s="297" t="n"/>
      <c r="Q8" s="297" t="n"/>
      <c r="R8" s="297" t="n"/>
      <c r="S8" s="297" t="n"/>
      <c r="T8" s="297" t="n"/>
      <c r="U8" s="297" t="n"/>
    </row>
    <row r="9" ht="33" customFormat="1" customHeight="1" s="106">
      <c r="A9" s="174" t="inlineStr">
        <is>
          <t>03/10/2025</t>
        </is>
      </c>
      <c r="B9" s="52" t="inlineStr">
        <is>
          <t>Emanuelle Grafton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66 Litchfield St, Boston MA 02135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97" t="n"/>
      <c r="P9" s="297" t="n"/>
      <c r="Q9" s="297" t="n"/>
      <c r="R9" s="297" t="n"/>
      <c r="S9" s="297" t="n"/>
      <c r="T9" s="297" t="n"/>
      <c r="U9" s="297" t="n"/>
    </row>
    <row r="10" ht="33" customFormat="1" customHeight="1" s="106">
      <c r="A10" s="174" t="inlineStr">
        <is>
          <t>03/12/2025</t>
        </is>
      </c>
      <c r="B10" s="52" t="inlineStr">
        <is>
          <t>Juwan Patton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66 Litchfield St, 2H, Boston, MA 01235</t>
        </is>
      </c>
      <c r="F10" s="52" t="inlineStr">
        <is>
          <t>150 E 71st ST, 4r, New York, NT 10021</t>
        </is>
      </c>
      <c r="G10" s="52" t="n"/>
      <c r="H10" s="52" t="n"/>
      <c r="I10" s="52" t="n"/>
      <c r="J10" s="59" t="n"/>
      <c r="K10" s="59" t="n"/>
      <c r="L10" s="59" t="n"/>
      <c r="M10" s="59" t="n"/>
      <c r="N10" s="59" t="n"/>
      <c r="O10" s="297" t="n"/>
      <c r="P10" s="297" t="n"/>
      <c r="Q10" s="297" t="n"/>
      <c r="R10" s="297" t="n"/>
      <c r="S10" s="297" t="n"/>
      <c r="T10" s="297" t="n"/>
      <c r="U10" s="297" t="n"/>
    </row>
    <row r="11" ht="33" customFormat="1" customHeight="1" s="106">
      <c r="A11" s="174" t="inlineStr">
        <is>
          <t>03/12/2025</t>
        </is>
      </c>
      <c r="B11" s="52" t="inlineStr">
        <is>
          <t>Courtney Cary</t>
        </is>
      </c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inlineStr">
        <is>
          <t>1 First St NE, Washington, DC 20543, United States</t>
        </is>
      </c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97" t="n"/>
      <c r="P11" s="297" t="n"/>
      <c r="Q11" s="297" t="n"/>
      <c r="R11" s="297" t="n"/>
      <c r="S11" s="297" t="n"/>
      <c r="T11" s="297" t="n"/>
      <c r="U11" s="297" t="n"/>
    </row>
    <row r="12" ht="33" customFormat="1" customHeight="1" s="106">
      <c r="A12" s="174" t="inlineStr">
        <is>
          <t>03/12/2025</t>
        </is>
      </c>
      <c r="B12" s="52" t="inlineStr">
        <is>
          <t>James Watts</t>
        </is>
      </c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inlineStr">
        <is>
          <t>150 E 71st ST, 6G, New York, NY 10021</t>
        </is>
      </c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97" t="n"/>
      <c r="P12" s="297" t="n"/>
      <c r="Q12" s="297" t="n"/>
      <c r="R12" s="297" t="n"/>
      <c r="S12" s="297" t="n"/>
      <c r="T12" s="297" t="n"/>
      <c r="U12" s="297" t="n"/>
    </row>
    <row r="13" ht="33" customFormat="1" customHeight="1" s="106">
      <c r="A13" s="174" t="inlineStr">
        <is>
          <t>03/12/2025</t>
        </is>
      </c>
      <c r="B13" s="52" t="inlineStr">
        <is>
          <t>Felicia Graham</t>
        </is>
      </c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inlineStr">
        <is>
          <t>183 Bay State Rd, Apt 4RL, Boston, MA 02215</t>
        </is>
      </c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97" t="n"/>
      <c r="P13" s="297" t="n"/>
      <c r="Q13" s="297" t="n"/>
      <c r="R13" s="297" t="n"/>
      <c r="S13" s="297" t="n"/>
      <c r="T13" s="297" t="n"/>
      <c r="U13" s="297" t="n"/>
    </row>
    <row r="14" ht="33" customFormat="1" customHeight="1" s="106">
      <c r="A14" s="174" t="inlineStr">
        <is>
          <t>03/12/2025</t>
        </is>
      </c>
      <c r="B14" s="52" t="inlineStr">
        <is>
          <t>Martez Davis</t>
        </is>
      </c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inlineStr">
        <is>
          <t>208-216 S 1st St, Shepherd, MI 48883</t>
        </is>
      </c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97" t="n"/>
      <c r="P14" s="297" t="n"/>
      <c r="Q14" s="297" t="n"/>
      <c r="R14" s="297" t="n"/>
      <c r="S14" s="297" t="n"/>
      <c r="T14" s="297" t="n"/>
      <c r="U14" s="297" t="n"/>
    </row>
    <row r="15" ht="33" customFormat="1" customHeight="1" s="106">
      <c r="A15" s="174" t="inlineStr">
        <is>
          <t>03/12/2025</t>
        </is>
      </c>
      <c r="B15" s="298" t="inlineStr">
        <is>
          <t>Timothy Daniell</t>
        </is>
      </c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inlineStr">
        <is>
          <t>208-216 S 1st St, Shepherd, MI 48883</t>
        </is>
      </c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97" t="n"/>
      <c r="P15" s="297" t="n"/>
      <c r="Q15" s="297" t="n"/>
      <c r="R15" s="297" t="n"/>
      <c r="S15" s="297" t="n"/>
      <c r="T15" s="297" t="n"/>
      <c r="U15" s="297" t="n"/>
    </row>
    <row r="16" ht="33" customFormat="1" customHeight="1" s="106">
      <c r="A16" s="174" t="inlineStr">
        <is>
          <t>03/12/2025</t>
        </is>
      </c>
      <c r="B16" s="298" t="inlineStr">
        <is>
          <t>Tony Knight III</t>
        </is>
      </c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inlineStr">
        <is>
          <t>311 W Cottage Ave, Shepherd, MI 48883</t>
        </is>
      </c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97" t="n"/>
      <c r="P16" s="297" t="n"/>
      <c r="Q16" s="297" t="n"/>
      <c r="R16" s="297" t="n"/>
      <c r="S16" s="297" t="n"/>
      <c r="T16" s="297" t="n"/>
      <c r="U16" s="297" t="n"/>
    </row>
    <row r="17" customFormat="1" s="106">
      <c r="A17" s="174" t="inlineStr">
        <is>
          <t>03/12/2025</t>
        </is>
      </c>
      <c r="B17" s="298" t="inlineStr">
        <is>
          <t xml:space="preserve">Monea Ricumstrict </t>
        </is>
      </c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inlineStr">
        <is>
          <t>311 W Cottage Ave, Shepherd, MI 48883</t>
        </is>
      </c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97" t="n"/>
      <c r="P17" s="297" t="n"/>
      <c r="Q17" s="297" t="n"/>
      <c r="R17" s="297" t="n"/>
      <c r="S17" s="297" t="n"/>
      <c r="T17" s="297" t="n"/>
      <c r="U17" s="297" t="n"/>
    </row>
    <row r="18" customFormat="1" s="106">
      <c r="A18" s="174" t="inlineStr">
        <is>
          <t>03/12/2025</t>
        </is>
      </c>
      <c r="B18" s="298" t="inlineStr">
        <is>
          <t>Courtney Cary</t>
        </is>
      </c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inlineStr">
        <is>
          <t>Mdme CuriE, Beirut, MA 00000</t>
        </is>
      </c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97" t="n"/>
      <c r="P18" s="297" t="n"/>
      <c r="Q18" s="297" t="n"/>
      <c r="R18" s="297" t="n"/>
      <c r="S18" s="297" t="n"/>
      <c r="T18" s="297" t="n"/>
      <c r="U18" s="297" t="n"/>
    </row>
    <row r="19" customFormat="1" s="106">
      <c r="A19" s="174" t="inlineStr">
        <is>
          <t>03/12/2025</t>
        </is>
      </c>
      <c r="B19" s="298" t="inlineStr">
        <is>
          <t>James Watts</t>
        </is>
      </c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inlineStr">
        <is>
          <t>183 Bay State Rd, Apt 4RL, Boston, MA 02215</t>
        </is>
      </c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97" t="n"/>
      <c r="P19" s="297" t="n"/>
      <c r="Q19" s="297" t="n"/>
      <c r="R19" s="297" t="n"/>
      <c r="S19" s="297" t="n"/>
      <c r="T19" s="297" t="n"/>
      <c r="U19" s="297" t="n"/>
    </row>
    <row r="20" customFormat="1" s="106">
      <c r="A20" s="174" t="n"/>
      <c r="B20" s="298" t="n"/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n"/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97" t="n"/>
      <c r="P20" s="297" t="n"/>
      <c r="Q20" s="297" t="n"/>
      <c r="R20" s="297" t="n"/>
      <c r="S20" s="297" t="n"/>
      <c r="T20" s="297" t="n"/>
      <c r="U20" s="297" t="n"/>
    </row>
    <row r="21" customFormat="1" s="106">
      <c r="A21" s="174" t="n"/>
      <c r="B21" s="298" t="n"/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n"/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97" t="n"/>
      <c r="P21" s="297" t="n"/>
      <c r="Q21" s="297" t="n"/>
      <c r="R21" s="297" t="n"/>
      <c r="S21" s="297" t="n"/>
      <c r="T21" s="297" t="n"/>
      <c r="U21" s="297" t="n"/>
    </row>
    <row r="22" customFormat="1" s="106">
      <c r="A22" s="174" t="n"/>
      <c r="B22" s="298" t="n"/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n"/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97" t="n"/>
      <c r="P22" s="297" t="n"/>
      <c r="Q22" s="297" t="n"/>
      <c r="R22" s="297" t="n"/>
      <c r="S22" s="297" t="n"/>
      <c r="T22" s="297" t="n"/>
      <c r="U22" s="297" t="n"/>
    </row>
    <row r="23" customFormat="1" s="106">
      <c r="A23" s="174" t="n"/>
      <c r="B23" s="298" t="n"/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n"/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97" t="n"/>
      <c r="P23" s="297" t="n"/>
      <c r="Q23" s="297" t="n"/>
      <c r="R23" s="297" t="n"/>
      <c r="S23" s="297" t="n"/>
      <c r="T23" s="297" t="n"/>
      <c r="U23" s="297" t="n"/>
    </row>
    <row r="24" customFormat="1" s="106">
      <c r="A24" s="174" t="n"/>
      <c r="B24" s="298" t="n"/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n"/>
      <c r="F24" s="52" t="n"/>
      <c r="G24" s="52" t="n"/>
      <c r="H24" s="52" t="n"/>
      <c r="I24" s="52" t="n"/>
      <c r="J24" s="59" t="n"/>
      <c r="K24" s="59" t="n"/>
      <c r="L24" s="59" t="n"/>
      <c r="M24" s="59" t="n"/>
      <c r="N24" s="59" t="n"/>
      <c r="O24" s="297" t="n"/>
      <c r="P24" s="297" t="n"/>
      <c r="Q24" s="297" t="n"/>
      <c r="R24" s="297" t="n"/>
      <c r="S24" s="297" t="n"/>
      <c r="T24" s="297" t="n"/>
      <c r="U24" s="297" t="n"/>
    </row>
    <row r="25" customFormat="1" s="106">
      <c r="A25" s="174" t="n"/>
      <c r="B25" s="298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97" t="n"/>
      <c r="P25" s="297" t="n"/>
      <c r="Q25" s="297" t="n"/>
      <c r="R25" s="297" t="n"/>
      <c r="S25" s="297" t="n"/>
      <c r="T25" s="297" t="n"/>
      <c r="U25" s="297" t="n"/>
    </row>
    <row r="26" customFormat="1" s="106">
      <c r="A26" s="174" t="n"/>
      <c r="B26" s="298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97" t="n"/>
      <c r="P26" s="297" t="n"/>
      <c r="Q26" s="297" t="n"/>
      <c r="R26" s="297" t="n"/>
      <c r="S26" s="297" t="n"/>
      <c r="T26" s="297" t="n"/>
      <c r="U26" s="297" t="n"/>
    </row>
    <row r="27" customFormat="1" s="106">
      <c r="A27" s="174" t="n"/>
      <c r="B27" s="298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97" t="n"/>
      <c r="P27" s="297" t="n"/>
      <c r="Q27" s="297" t="n"/>
      <c r="R27" s="297" t="n"/>
      <c r="S27" s="297" t="n"/>
      <c r="T27" s="297" t="n"/>
      <c r="U27" s="297" t="n"/>
    </row>
    <row r="28" customFormat="1" s="106">
      <c r="A28" s="174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97" t="n"/>
      <c r="P28" s="297" t="n"/>
      <c r="Q28" s="297" t="n"/>
      <c r="R28" s="297" t="n"/>
      <c r="S28" s="297" t="n"/>
      <c r="T28" s="297" t="n"/>
      <c r="U28" s="297" t="n"/>
    </row>
    <row r="29" customFormat="1" s="106">
      <c r="A29" s="174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97" t="n"/>
      <c r="P29" s="297" t="n"/>
      <c r="Q29" s="297" t="n"/>
      <c r="R29" s="297" t="n"/>
      <c r="S29" s="297" t="n"/>
      <c r="T29" s="297" t="n"/>
      <c r="U29" s="297" t="n"/>
    </row>
    <row r="30" customFormat="1" s="106">
      <c r="A30" s="174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97" t="n"/>
      <c r="P30" s="297" t="n"/>
      <c r="Q30" s="297" t="n"/>
      <c r="R30" s="297" t="n"/>
      <c r="S30" s="297" t="n"/>
      <c r="T30" s="297" t="n"/>
      <c r="U30" s="297" t="n"/>
    </row>
    <row r="31" customFormat="1" s="106">
      <c r="A31" s="174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97" t="n"/>
      <c r="P31" s="297" t="n"/>
      <c r="Q31" s="297" t="n"/>
      <c r="R31" s="297" t="n"/>
      <c r="S31" s="297" t="n"/>
      <c r="T31" s="297" t="n"/>
      <c r="U31" s="297" t="n"/>
    </row>
    <row r="32" customFormat="1" s="106">
      <c r="A32" s="174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97" t="n"/>
      <c r="P32" s="297" t="n"/>
      <c r="Q32" s="297" t="n"/>
      <c r="R32" s="297" t="n"/>
      <c r="S32" s="297" t="n"/>
      <c r="T32" s="297" t="n"/>
      <c r="U32" s="297" t="n"/>
    </row>
    <row r="33" customFormat="1" s="106">
      <c r="A33" s="174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97" t="n"/>
      <c r="P33" s="297" t="n"/>
      <c r="Q33" s="297" t="n"/>
      <c r="R33" s="297" t="n"/>
      <c r="S33" s="297" t="n"/>
      <c r="T33" s="297" t="n"/>
      <c r="U33" s="297" t="n"/>
    </row>
    <row r="34" customFormat="1" s="106">
      <c r="A34" s="174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97" t="n"/>
      <c r="P34" s="297" t="n"/>
      <c r="Q34" s="297" t="n"/>
      <c r="R34" s="297" t="n"/>
      <c r="S34" s="297" t="n"/>
      <c r="T34" s="297" t="n"/>
      <c r="U34" s="297" t="n"/>
    </row>
    <row r="35" customFormat="1" s="106">
      <c r="A35" s="174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97" t="n"/>
      <c r="P35" s="297" t="n"/>
      <c r="Q35" s="297" t="n"/>
      <c r="R35" s="297" t="n"/>
      <c r="S35" s="297" t="n"/>
      <c r="T35" s="297" t="n"/>
      <c r="U35" s="297" t="n"/>
    </row>
    <row r="36" customFormat="1" s="106">
      <c r="A36" s="174" t="n"/>
      <c r="B36" s="298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97" t="n"/>
      <c r="P36" s="297" t="n"/>
      <c r="Q36" s="297" t="n"/>
      <c r="R36" s="297" t="n"/>
      <c r="S36" s="297" t="n"/>
      <c r="T36" s="297" t="n"/>
      <c r="U36" s="297" t="n"/>
    </row>
    <row r="37" customFormat="1" s="106">
      <c r="A37" s="174" t="n"/>
      <c r="B37" s="298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97" t="n"/>
      <c r="P37" s="297" t="n"/>
      <c r="Q37" s="297" t="n"/>
      <c r="R37" s="297" t="n"/>
      <c r="S37" s="297" t="n"/>
      <c r="T37" s="297" t="n"/>
      <c r="U37" s="297" t="n"/>
    </row>
    <row r="38" customFormat="1" s="106">
      <c r="A38" s="174" t="n"/>
      <c r="B38" s="298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97" t="n"/>
      <c r="P38" s="297" t="n"/>
      <c r="Q38" s="297" t="n"/>
      <c r="R38" s="297" t="n"/>
      <c r="S38" s="297" t="n"/>
      <c r="T38" s="297" t="n"/>
      <c r="U38" s="297" t="n"/>
    </row>
    <row r="39" customFormat="1" s="106">
      <c r="A39" s="174" t="n"/>
      <c r="B39" s="298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97" t="n"/>
      <c r="P39" s="297" t="n"/>
      <c r="Q39" s="297" t="n"/>
      <c r="R39" s="297" t="n"/>
      <c r="S39" s="297" t="n"/>
      <c r="T39" s="297" t="n"/>
      <c r="U39" s="297" t="n"/>
    </row>
    <row r="40" customFormat="1" s="106">
      <c r="A40" s="174" t="n"/>
      <c r="B40" s="298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97" t="n"/>
      <c r="P40" s="297" t="n"/>
      <c r="Q40" s="297" t="n"/>
      <c r="R40" s="297" t="n"/>
      <c r="S40" s="297" t="n"/>
      <c r="T40" s="297" t="n"/>
      <c r="U40" s="297" t="n"/>
    </row>
    <row r="41" customFormat="1" s="106">
      <c r="A41" s="174" t="n"/>
      <c r="B41" s="298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97" t="n"/>
      <c r="P41" s="297" t="n"/>
      <c r="Q41" s="297" t="n"/>
      <c r="R41" s="297" t="n"/>
      <c r="S41" s="297" t="n"/>
      <c r="T41" s="297" t="n"/>
      <c r="U41" s="297" t="n"/>
    </row>
    <row r="42" customFormat="1" s="106">
      <c r="A42" s="174" t="n"/>
      <c r="B42" s="298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97" t="n"/>
      <c r="P42" s="297" t="n"/>
      <c r="Q42" s="297" t="n"/>
      <c r="R42" s="297" t="n"/>
      <c r="S42" s="297" t="n"/>
      <c r="T42" s="297" t="n"/>
      <c r="U42" s="297" t="n"/>
    </row>
    <row r="43" customFormat="1" s="106">
      <c r="A43" s="174" t="n"/>
      <c r="B43" s="298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97" t="n"/>
      <c r="P43" s="297" t="n"/>
      <c r="Q43" s="297" t="n"/>
      <c r="R43" s="297" t="n"/>
      <c r="S43" s="297" t="n"/>
      <c r="T43" s="297" t="n"/>
      <c r="U43" s="297" t="n"/>
    </row>
    <row r="44" customFormat="1" s="106">
      <c r="A44" s="174" t="n"/>
      <c r="B44" s="298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97" t="n"/>
      <c r="P44" s="297" t="n"/>
      <c r="Q44" s="297" t="n"/>
      <c r="R44" s="297" t="n"/>
      <c r="S44" s="297" t="n"/>
      <c r="T44" s="297" t="n"/>
      <c r="U44" s="297" t="n"/>
    </row>
    <row r="45" customFormat="1" s="106">
      <c r="A45" s="174" t="n"/>
      <c r="B45" s="298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97" t="n"/>
      <c r="P45" s="297" t="n"/>
      <c r="Q45" s="297" t="n"/>
      <c r="R45" s="297" t="n"/>
      <c r="S45" s="297" t="n"/>
      <c r="T45" s="297" t="n"/>
      <c r="U45" s="297" t="n"/>
    </row>
    <row r="46" customFormat="1" s="106">
      <c r="A46" s="174" t="n"/>
      <c r="B46" s="298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97" t="n"/>
      <c r="P46" s="297" t="n"/>
      <c r="Q46" s="297" t="n"/>
      <c r="R46" s="297" t="n"/>
      <c r="S46" s="297" t="n"/>
      <c r="T46" s="297" t="n"/>
      <c r="U46" s="297" t="n"/>
    </row>
    <row r="47" customFormat="1" s="106">
      <c r="A47" s="174" t="n"/>
      <c r="B47" s="298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97" t="n"/>
      <c r="P47" s="297" t="n"/>
      <c r="Q47" s="297" t="n"/>
      <c r="R47" s="297" t="n"/>
      <c r="S47" s="297" t="n"/>
      <c r="T47" s="297" t="n"/>
      <c r="U47" s="297" t="n"/>
    </row>
    <row r="48" customFormat="1" s="106">
      <c r="A48" s="174" t="n"/>
      <c r="B48" s="298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97" t="n"/>
      <c r="P48" s="297" t="n"/>
      <c r="Q48" s="297" t="n"/>
      <c r="R48" s="297" t="n"/>
      <c r="S48" s="297" t="n"/>
      <c r="T48" s="297" t="n"/>
      <c r="U48" s="297" t="n"/>
    </row>
    <row r="49" customFormat="1" s="106">
      <c r="A49" s="174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97" t="n"/>
      <c r="P49" s="297" t="n"/>
      <c r="Q49" s="297" t="n"/>
      <c r="R49" s="297" t="n"/>
      <c r="S49" s="297" t="n"/>
      <c r="T49" s="297" t="n"/>
      <c r="U49" s="297" t="n"/>
    </row>
    <row r="50" customFormat="1" s="106">
      <c r="A50" s="174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97" t="n"/>
      <c r="P50" s="297" t="n"/>
      <c r="Q50" s="297" t="n"/>
      <c r="R50" s="297" t="n"/>
      <c r="S50" s="297" t="n"/>
      <c r="T50" s="297" t="n"/>
      <c r="U50" s="297" t="n"/>
    </row>
    <row r="51" customFormat="1" s="106">
      <c r="A51" s="174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97" t="n"/>
      <c r="P51" s="297" t="n"/>
      <c r="Q51" s="297" t="n"/>
      <c r="R51" s="297" t="n"/>
      <c r="S51" s="297" t="n"/>
      <c r="T51" s="297" t="n"/>
      <c r="U51" s="297" t="n"/>
    </row>
    <row r="52" customFormat="1" s="106">
      <c r="A52" s="174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97" t="n"/>
      <c r="P52" s="297" t="n"/>
      <c r="Q52" s="297" t="n"/>
      <c r="R52" s="297" t="n"/>
      <c r="S52" s="297" t="n"/>
      <c r="T52" s="297" t="n"/>
      <c r="U52" s="297" t="n"/>
    </row>
    <row r="53" customFormat="1" s="106">
      <c r="A53" s="174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97" t="n"/>
      <c r="P53" s="297" t="n"/>
      <c r="Q53" s="297" t="n"/>
      <c r="R53" s="297" t="n"/>
      <c r="S53" s="297" t="n"/>
      <c r="T53" s="297" t="n"/>
      <c r="U53" s="297" t="n"/>
    </row>
    <row r="54" customFormat="1" s="106">
      <c r="A54" s="174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97" t="n"/>
      <c r="P54" s="297" t="n"/>
      <c r="Q54" s="297" t="n"/>
      <c r="R54" s="297" t="n"/>
      <c r="S54" s="297" t="n"/>
      <c r="T54" s="297" t="n"/>
      <c r="U54" s="297" t="n"/>
    </row>
    <row r="55" customFormat="1" s="106">
      <c r="A55" s="174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97" t="n"/>
      <c r="P55" s="297" t="n"/>
      <c r="Q55" s="297" t="n"/>
      <c r="R55" s="297" t="n"/>
      <c r="S55" s="297" t="n"/>
      <c r="T55" s="297" t="n"/>
      <c r="U55" s="297" t="n"/>
    </row>
    <row r="56" customFormat="1" s="106">
      <c r="A56" s="174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97" t="n"/>
      <c r="P56" s="297" t="n"/>
      <c r="Q56" s="297" t="n"/>
      <c r="R56" s="297" t="n"/>
      <c r="S56" s="297" t="n"/>
      <c r="T56" s="297" t="n"/>
      <c r="U56" s="297" t="n"/>
    </row>
    <row r="57" customFormat="1" s="106">
      <c r="A57" s="174" t="n"/>
      <c r="B57" s="298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97" t="n"/>
      <c r="P57" s="297" t="n"/>
      <c r="Q57" s="297" t="n"/>
      <c r="R57" s="297" t="n"/>
      <c r="S57" s="297" t="n"/>
      <c r="T57" s="297" t="n"/>
      <c r="U57" s="297" t="n"/>
    </row>
    <row r="58" customFormat="1" s="106">
      <c r="A58" s="174" t="n"/>
      <c r="B58" s="298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97" t="n"/>
      <c r="P58" s="297" t="n"/>
      <c r="Q58" s="297" t="n"/>
      <c r="R58" s="297" t="n"/>
      <c r="S58" s="297" t="n"/>
      <c r="T58" s="297" t="n"/>
      <c r="U58" s="297" t="n"/>
    </row>
    <row r="59" customFormat="1" s="106">
      <c r="A59" s="174" t="n"/>
      <c r="B59" s="298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97" t="n"/>
      <c r="P59" s="297" t="n"/>
      <c r="Q59" s="297" t="n"/>
      <c r="R59" s="297" t="n"/>
      <c r="S59" s="297" t="n"/>
      <c r="T59" s="297" t="n"/>
      <c r="U59" s="297" t="n"/>
    </row>
    <row r="60" customFormat="1" s="106">
      <c r="A60" s="174" t="n"/>
      <c r="B60" s="298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97" t="n"/>
      <c r="P60" s="297" t="n"/>
      <c r="Q60" s="297" t="n"/>
      <c r="R60" s="297" t="n"/>
      <c r="S60" s="297" t="n"/>
      <c r="T60" s="297" t="n"/>
      <c r="U60" s="297" t="n"/>
    </row>
    <row r="61" customFormat="1" s="106">
      <c r="A61" s="174" t="n"/>
      <c r="B61" s="298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97" t="n"/>
      <c r="P61" s="297" t="n"/>
      <c r="Q61" s="297" t="n"/>
      <c r="R61" s="297" t="n"/>
      <c r="S61" s="297" t="n"/>
      <c r="T61" s="297" t="n"/>
      <c r="U61" s="297" t="n"/>
    </row>
    <row r="62" customFormat="1" s="106">
      <c r="A62" s="174" t="n"/>
      <c r="B62" s="298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97" t="n"/>
      <c r="P62" s="297" t="n"/>
      <c r="Q62" s="297" t="n"/>
      <c r="R62" s="297" t="n"/>
      <c r="S62" s="297" t="n"/>
      <c r="T62" s="297" t="n"/>
      <c r="U62" s="297" t="n"/>
    </row>
    <row r="63" customFormat="1" s="106">
      <c r="A63" s="174" t="n"/>
      <c r="B63" s="298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97" t="n"/>
      <c r="P63" s="297" t="n"/>
      <c r="Q63" s="297" t="n"/>
      <c r="R63" s="297" t="n"/>
      <c r="S63" s="297" t="n"/>
      <c r="T63" s="297" t="n"/>
      <c r="U63" s="297" t="n"/>
    </row>
    <row r="64" customFormat="1" s="106">
      <c r="A64" s="174" t="n"/>
      <c r="B64" s="298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97" t="n"/>
      <c r="P64" s="297" t="n"/>
      <c r="Q64" s="297" t="n"/>
      <c r="R64" s="297" t="n"/>
      <c r="S64" s="297" t="n"/>
      <c r="T64" s="297" t="n"/>
      <c r="U64" s="297" t="n"/>
    </row>
    <row r="65" customFormat="1" s="106">
      <c r="A65" s="174" t="n"/>
      <c r="B65" s="298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97" t="n"/>
      <c r="P65" s="297" t="n"/>
      <c r="Q65" s="297" t="n"/>
      <c r="R65" s="297" t="n"/>
      <c r="S65" s="297" t="n"/>
      <c r="T65" s="297" t="n"/>
      <c r="U65" s="297" t="n"/>
    </row>
    <row r="66" customFormat="1" s="106">
      <c r="A66" s="174" t="n"/>
      <c r="B66" s="298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97" t="n"/>
      <c r="P66" s="297" t="n"/>
      <c r="Q66" s="297" t="n"/>
      <c r="R66" s="297" t="n"/>
      <c r="S66" s="297" t="n"/>
      <c r="T66" s="297" t="n"/>
      <c r="U66" s="297" t="n"/>
    </row>
    <row r="67" customFormat="1" s="106">
      <c r="A67" s="174" t="n"/>
      <c r="B67" s="298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97" t="n"/>
      <c r="P67" s="297" t="n"/>
      <c r="Q67" s="297" t="n"/>
      <c r="R67" s="297" t="n"/>
      <c r="S67" s="297" t="n"/>
      <c r="T67" s="297" t="n"/>
      <c r="U67" s="297" t="n"/>
    </row>
    <row r="68" customFormat="1" s="106">
      <c r="A68" s="174" t="n"/>
      <c r="B68" s="298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97" t="n"/>
      <c r="P68" s="297" t="n"/>
      <c r="Q68" s="297" t="n"/>
      <c r="R68" s="297" t="n"/>
      <c r="S68" s="297" t="n"/>
      <c r="T68" s="297" t="n"/>
      <c r="U68" s="297" t="n"/>
    </row>
    <row r="69" customFormat="1" s="106">
      <c r="A69" s="174" t="n"/>
      <c r="B69" s="298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97" t="n"/>
      <c r="P69" s="297" t="n"/>
      <c r="Q69" s="297" t="n"/>
      <c r="R69" s="297" t="n"/>
      <c r="S69" s="297" t="n"/>
      <c r="T69" s="297" t="n"/>
      <c r="U69" s="297" t="n"/>
    </row>
    <row r="70" customFormat="1" s="106">
      <c r="A70" s="174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97" t="n"/>
      <c r="P70" s="297" t="n"/>
      <c r="Q70" s="297" t="n"/>
      <c r="R70" s="297" t="n"/>
      <c r="S70" s="297" t="n"/>
      <c r="T70" s="297" t="n"/>
      <c r="U70" s="297" t="n"/>
    </row>
    <row r="71" customFormat="1" s="106">
      <c r="A71" s="174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97" t="n"/>
      <c r="P71" s="297" t="n"/>
      <c r="Q71" s="297" t="n"/>
      <c r="R71" s="297" t="n"/>
      <c r="S71" s="297" t="n"/>
      <c r="T71" s="297" t="n"/>
      <c r="U71" s="297" t="n"/>
    </row>
    <row r="72" customFormat="1" s="106">
      <c r="A72" s="174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97" t="n"/>
      <c r="P72" s="297" t="n"/>
      <c r="Q72" s="297" t="n"/>
      <c r="R72" s="297" t="n"/>
      <c r="S72" s="297" t="n"/>
      <c r="T72" s="297" t="n"/>
      <c r="U72" s="297" t="n"/>
    </row>
    <row r="73" customFormat="1" s="106">
      <c r="A73" s="174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97" t="n"/>
      <c r="P73" s="297" t="n"/>
      <c r="Q73" s="297" t="n"/>
      <c r="R73" s="297" t="n"/>
      <c r="S73" s="297" t="n"/>
      <c r="T73" s="297" t="n"/>
      <c r="U73" s="297" t="n"/>
    </row>
    <row r="74" customFormat="1" s="106">
      <c r="A74" s="174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97" t="n"/>
      <c r="P74" s="297" t="n"/>
      <c r="Q74" s="297" t="n"/>
      <c r="R74" s="297" t="n"/>
      <c r="S74" s="297" t="n"/>
      <c r="T74" s="297" t="n"/>
      <c r="U74" s="297" t="n"/>
    </row>
    <row r="75" customFormat="1" s="106">
      <c r="A75" s="174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97" t="n"/>
      <c r="P75" s="297" t="n"/>
      <c r="Q75" s="297" t="n"/>
      <c r="R75" s="297" t="n"/>
      <c r="S75" s="297" t="n"/>
      <c r="T75" s="297" t="n"/>
      <c r="U75" s="297" t="n"/>
    </row>
    <row r="76" customFormat="1" s="106">
      <c r="A76" s="174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97" t="n"/>
      <c r="P76" s="297" t="n"/>
      <c r="Q76" s="297" t="n"/>
      <c r="R76" s="297" t="n"/>
      <c r="S76" s="297" t="n"/>
      <c r="T76" s="297" t="n"/>
      <c r="U76" s="297" t="n"/>
    </row>
    <row r="77" customFormat="1" s="106">
      <c r="A77" s="174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97" t="n"/>
      <c r="P77" s="297" t="n"/>
      <c r="Q77" s="297" t="n"/>
      <c r="R77" s="297" t="n"/>
      <c r="S77" s="297" t="n"/>
      <c r="T77" s="297" t="n"/>
      <c r="U77" s="297" t="n"/>
    </row>
    <row r="78" customFormat="1" s="106">
      <c r="A78" s="174" t="n"/>
      <c r="B78" s="298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97" t="n"/>
      <c r="P78" s="297" t="n"/>
      <c r="Q78" s="297" t="n"/>
      <c r="R78" s="297" t="n"/>
      <c r="S78" s="297" t="n"/>
      <c r="T78" s="297" t="n"/>
      <c r="U78" s="297" t="n"/>
    </row>
    <row r="79" customFormat="1" s="106">
      <c r="A79" s="174" t="n"/>
      <c r="B79" s="298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97" t="n"/>
      <c r="P79" s="297" t="n"/>
      <c r="Q79" s="297" t="n"/>
      <c r="R79" s="297" t="n"/>
      <c r="S79" s="297" t="n"/>
      <c r="T79" s="297" t="n"/>
      <c r="U79" s="297" t="n"/>
    </row>
    <row r="80" customFormat="1" s="106">
      <c r="A80" s="174" t="n"/>
      <c r="B80" s="298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97" t="n"/>
      <c r="P80" s="297" t="n"/>
      <c r="Q80" s="297" t="n"/>
      <c r="R80" s="297" t="n"/>
      <c r="S80" s="297" t="n"/>
      <c r="T80" s="297" t="n"/>
      <c r="U80" s="297" t="n"/>
    </row>
    <row r="81" customFormat="1" s="106">
      <c r="A81" s="174" t="n"/>
      <c r="B81" s="298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97" t="n"/>
      <c r="P81" s="297" t="n"/>
      <c r="Q81" s="297" t="n"/>
      <c r="R81" s="297" t="n"/>
      <c r="S81" s="297" t="n"/>
      <c r="T81" s="297" t="n"/>
      <c r="U81" s="297" t="n"/>
    </row>
    <row r="82" customFormat="1" s="106">
      <c r="A82" s="174" t="n"/>
      <c r="B82" s="298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97" t="n"/>
      <c r="P82" s="297" t="n"/>
      <c r="Q82" s="297" t="n"/>
      <c r="R82" s="297" t="n"/>
      <c r="S82" s="297" t="n"/>
      <c r="T82" s="297" t="n"/>
      <c r="U82" s="297" t="n"/>
    </row>
    <row r="83" customFormat="1" s="106">
      <c r="A83" s="174" t="n"/>
      <c r="B83" s="298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97" t="n"/>
      <c r="P83" s="297" t="n"/>
      <c r="Q83" s="297" t="n"/>
      <c r="R83" s="297" t="n"/>
      <c r="S83" s="297" t="n"/>
      <c r="T83" s="297" t="n"/>
      <c r="U83" s="297" t="n"/>
    </row>
    <row r="84" customFormat="1" s="106">
      <c r="A84" s="174" t="n"/>
      <c r="B84" s="298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97" t="n"/>
      <c r="P84" s="297" t="n"/>
      <c r="Q84" s="297" t="n"/>
      <c r="R84" s="297" t="n"/>
      <c r="S84" s="297" t="n"/>
      <c r="T84" s="297" t="n"/>
      <c r="U84" s="297" t="n"/>
    </row>
    <row r="85" customFormat="1" s="106">
      <c r="A85" s="174" t="n"/>
      <c r="B85" s="298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97" t="n"/>
      <c r="P85" s="297" t="n"/>
      <c r="Q85" s="297" t="n"/>
      <c r="R85" s="297" t="n"/>
      <c r="S85" s="297" t="n"/>
      <c r="T85" s="297" t="n"/>
      <c r="U85" s="297" t="n"/>
    </row>
    <row r="86" customFormat="1" s="106">
      <c r="A86" s="174" t="n"/>
      <c r="B86" s="298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97" t="n"/>
      <c r="P86" s="297" t="n"/>
      <c r="Q86" s="297" t="n"/>
      <c r="R86" s="297" t="n"/>
      <c r="S86" s="297" t="n"/>
      <c r="T86" s="297" t="n"/>
      <c r="U86" s="297" t="n"/>
    </row>
    <row r="87" customFormat="1" s="106">
      <c r="A87" s="174" t="n"/>
      <c r="B87" s="298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97" t="n"/>
      <c r="P87" s="297" t="n"/>
      <c r="Q87" s="297" t="n"/>
      <c r="R87" s="297" t="n"/>
      <c r="S87" s="297" t="n"/>
      <c r="T87" s="297" t="n"/>
      <c r="U87" s="297" t="n"/>
    </row>
    <row r="88" customFormat="1" s="106">
      <c r="A88" s="174" t="n"/>
      <c r="B88" s="298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97" t="n"/>
      <c r="P88" s="297" t="n"/>
      <c r="Q88" s="297" t="n"/>
      <c r="R88" s="297" t="n"/>
      <c r="S88" s="297" t="n"/>
      <c r="T88" s="297" t="n"/>
      <c r="U88" s="297" t="n"/>
    </row>
    <row r="89" customFormat="1" s="106">
      <c r="A89" s="174" t="n"/>
      <c r="B89" s="298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97" t="n"/>
      <c r="P89" s="297" t="n"/>
      <c r="Q89" s="297" t="n"/>
      <c r="R89" s="297" t="n"/>
      <c r="S89" s="297" t="n"/>
      <c r="T89" s="297" t="n"/>
      <c r="U89" s="297" t="n"/>
    </row>
    <row r="90" customFormat="1" s="106">
      <c r="A90" s="174" t="n"/>
      <c r="B90" s="298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97" t="n"/>
      <c r="P90" s="297" t="n"/>
      <c r="Q90" s="297" t="n"/>
      <c r="R90" s="297" t="n"/>
      <c r="S90" s="297" t="n"/>
      <c r="T90" s="297" t="n"/>
      <c r="U90" s="297" t="n"/>
    </row>
    <row r="91" customFormat="1" s="106">
      <c r="A91" s="174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97" t="n"/>
      <c r="P91" s="297" t="n"/>
      <c r="Q91" s="297" t="n"/>
      <c r="R91" s="297" t="n"/>
      <c r="S91" s="297" t="n"/>
      <c r="T91" s="297" t="n"/>
      <c r="U91" s="297" t="n"/>
    </row>
    <row r="92" customFormat="1" s="106">
      <c r="A92" s="174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97" t="n"/>
      <c r="P92" s="297" t="n"/>
      <c r="Q92" s="297" t="n"/>
      <c r="R92" s="297" t="n"/>
      <c r="S92" s="297" t="n"/>
      <c r="T92" s="297" t="n"/>
      <c r="U92" s="297" t="n"/>
    </row>
    <row r="93" customFormat="1" s="106">
      <c r="A93" s="174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97" t="n"/>
      <c r="P93" s="297" t="n"/>
      <c r="Q93" s="297" t="n"/>
      <c r="R93" s="297" t="n"/>
      <c r="S93" s="297" t="n"/>
      <c r="T93" s="297" t="n"/>
      <c r="U93" s="297" t="n"/>
    </row>
    <row r="94" customFormat="1" s="106">
      <c r="A94" s="174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97" t="n"/>
      <c r="P94" s="297" t="n"/>
      <c r="Q94" s="297" t="n"/>
      <c r="R94" s="297" t="n"/>
      <c r="S94" s="297" t="n"/>
      <c r="T94" s="297" t="n"/>
      <c r="U94" s="297" t="n"/>
    </row>
    <row r="95" customFormat="1" s="106">
      <c r="A95" s="174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97" t="n"/>
      <c r="P95" s="297" t="n"/>
      <c r="Q95" s="297" t="n"/>
      <c r="R95" s="297" t="n"/>
      <c r="S95" s="297" t="n"/>
      <c r="T95" s="297" t="n"/>
      <c r="U95" s="297" t="n"/>
    </row>
    <row r="96" customFormat="1" s="106">
      <c r="A96" s="174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97" t="n"/>
      <c r="P96" s="297" t="n"/>
      <c r="Q96" s="297" t="n"/>
      <c r="R96" s="297" t="n"/>
      <c r="S96" s="297" t="n"/>
      <c r="T96" s="297" t="n"/>
      <c r="U96" s="297" t="n"/>
    </row>
    <row r="97" customFormat="1" s="106">
      <c r="A97" s="174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97" t="n"/>
      <c r="P97" s="297" t="n"/>
      <c r="Q97" s="297" t="n"/>
      <c r="R97" s="297" t="n"/>
      <c r="S97" s="297" t="n"/>
      <c r="T97" s="297" t="n"/>
      <c r="U97" s="297" t="n"/>
    </row>
    <row r="98" customFormat="1" s="106">
      <c r="A98" s="174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97" t="n"/>
      <c r="P98" s="297" t="n"/>
      <c r="Q98" s="297" t="n"/>
      <c r="R98" s="297" t="n"/>
      <c r="S98" s="297" t="n"/>
      <c r="T98" s="297" t="n"/>
      <c r="U98" s="297" t="n"/>
    </row>
    <row r="99" customFormat="1" s="106">
      <c r="A99" s="174" t="n"/>
      <c r="B99" s="298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97" t="n"/>
      <c r="P99" s="297" t="n"/>
      <c r="Q99" s="297" t="n"/>
      <c r="R99" s="297" t="n"/>
      <c r="S99" s="297" t="n"/>
      <c r="T99" s="297" t="n"/>
      <c r="U99" s="297" t="n"/>
    </row>
    <row r="100" customFormat="1" s="106">
      <c r="A100" s="174" t="n"/>
      <c r="B100" s="298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97" t="n"/>
      <c r="P100" s="297" t="n"/>
      <c r="Q100" s="297" t="n"/>
      <c r="R100" s="297" t="n"/>
      <c r="S100" s="297" t="n"/>
      <c r="T100" s="297" t="n"/>
      <c r="U100" s="297" t="n"/>
    </row>
    <row r="101" customFormat="1" s="106">
      <c r="A101" s="174" t="n"/>
      <c r="B101" s="298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97" t="n"/>
      <c r="P101" s="297" t="n"/>
      <c r="Q101" s="297" t="n"/>
      <c r="R101" s="297" t="n"/>
      <c r="S101" s="297" t="n"/>
      <c r="T101" s="297" t="n"/>
      <c r="U101" s="297" t="n"/>
    </row>
    <row r="102" customFormat="1" s="106">
      <c r="A102" s="174" t="n"/>
      <c r="B102" s="298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97" t="n"/>
      <c r="P102" s="297" t="n"/>
      <c r="Q102" s="297" t="n"/>
      <c r="R102" s="297" t="n"/>
      <c r="S102" s="297" t="n"/>
      <c r="T102" s="297" t="n"/>
      <c r="U102" s="297" t="n"/>
    </row>
    <row r="103" customFormat="1" s="106">
      <c r="A103" s="174" t="n"/>
      <c r="B103" s="298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97" t="n"/>
      <c r="P103" s="297" t="n"/>
      <c r="Q103" s="297" t="n"/>
      <c r="R103" s="297" t="n"/>
      <c r="S103" s="297" t="n"/>
      <c r="T103" s="297" t="n"/>
      <c r="U103" s="297" t="n"/>
    </row>
    <row r="104" customFormat="1" s="106">
      <c r="A104" s="174" t="n"/>
      <c r="B104" s="298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97" t="n"/>
      <c r="P104" s="297" t="n"/>
      <c r="Q104" s="297" t="n"/>
      <c r="R104" s="297" t="n"/>
      <c r="S104" s="297" t="n"/>
      <c r="T104" s="297" t="n"/>
      <c r="U104" s="297" t="n"/>
    </row>
    <row r="105" customFormat="1" s="106">
      <c r="A105" s="174" t="n"/>
      <c r="B105" s="298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97" t="n"/>
      <c r="P105" s="297" t="n"/>
      <c r="Q105" s="297" t="n"/>
      <c r="R105" s="297" t="n"/>
      <c r="S105" s="297" t="n"/>
      <c r="T105" s="297" t="n"/>
      <c r="U105" s="297" t="n"/>
    </row>
    <row r="106" customFormat="1" s="106">
      <c r="A106" s="174" t="n"/>
      <c r="B106" s="298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97" t="n"/>
      <c r="P106" s="297" t="n"/>
      <c r="Q106" s="297" t="n"/>
      <c r="R106" s="297" t="n"/>
      <c r="S106" s="297" t="n"/>
      <c r="T106" s="297" t="n"/>
      <c r="U106" s="297" t="n"/>
    </row>
    <row r="107" customFormat="1" s="106">
      <c r="A107" s="174" t="n"/>
      <c r="B107" s="298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97" t="n"/>
      <c r="P107" s="297" t="n"/>
      <c r="Q107" s="297" t="n"/>
      <c r="R107" s="297" t="n"/>
      <c r="S107" s="297" t="n"/>
      <c r="T107" s="297" t="n"/>
      <c r="U107" s="297" t="n"/>
    </row>
    <row r="108" customFormat="1" s="106">
      <c r="A108" s="174" t="n"/>
      <c r="B108" s="298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97" t="n"/>
      <c r="P108" s="297" t="n"/>
      <c r="Q108" s="297" t="n"/>
      <c r="R108" s="297" t="n"/>
      <c r="S108" s="297" t="n"/>
      <c r="T108" s="297" t="n"/>
      <c r="U108" s="297" t="n"/>
    </row>
    <row r="109" customFormat="1" s="106">
      <c r="A109" s="174" t="n"/>
      <c r="B109" s="298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97" t="n"/>
      <c r="P109" s="297" t="n"/>
      <c r="Q109" s="297" t="n"/>
      <c r="R109" s="297" t="n"/>
      <c r="S109" s="297" t="n"/>
      <c r="T109" s="297" t="n"/>
      <c r="U109" s="297" t="n"/>
    </row>
    <row r="110" customFormat="1" s="106">
      <c r="A110" s="174" t="n"/>
      <c r="B110" s="298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97" t="n"/>
      <c r="P110" s="297" t="n"/>
      <c r="Q110" s="297" t="n"/>
      <c r="R110" s="297" t="n"/>
      <c r="S110" s="297" t="n"/>
      <c r="T110" s="297" t="n"/>
      <c r="U110" s="297" t="n"/>
    </row>
    <row r="111" customFormat="1" s="106">
      <c r="A111" s="174" t="n"/>
      <c r="B111" s="298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97" t="n"/>
      <c r="P111" s="297" t="n"/>
      <c r="Q111" s="297" t="n"/>
      <c r="R111" s="297" t="n"/>
      <c r="S111" s="297" t="n"/>
      <c r="T111" s="297" t="n"/>
      <c r="U111" s="297" t="n"/>
    </row>
    <row r="112" customFormat="1" s="106">
      <c r="A112" s="174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97" t="n"/>
      <c r="P112" s="297" t="n"/>
      <c r="Q112" s="297" t="n"/>
      <c r="R112" s="297" t="n"/>
      <c r="S112" s="297" t="n"/>
      <c r="T112" s="297" t="n"/>
      <c r="U112" s="297" t="n"/>
    </row>
    <row r="113" customFormat="1" s="106">
      <c r="A113" s="174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97" t="n"/>
      <c r="P113" s="297" t="n"/>
      <c r="Q113" s="297" t="n"/>
      <c r="R113" s="297" t="n"/>
      <c r="S113" s="297" t="n"/>
      <c r="T113" s="297" t="n"/>
      <c r="U113" s="297" t="n"/>
    </row>
    <row r="114" customFormat="1" s="106">
      <c r="A114" s="174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97" t="n"/>
      <c r="P114" s="297" t="n"/>
      <c r="Q114" s="297" t="n"/>
      <c r="R114" s="297" t="n"/>
      <c r="S114" s="297" t="n"/>
      <c r="T114" s="297" t="n"/>
      <c r="U114" s="297" t="n"/>
    </row>
    <row r="115" customFormat="1" s="106">
      <c r="A115" s="174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97" t="n"/>
      <c r="P115" s="297" t="n"/>
      <c r="Q115" s="297" t="n"/>
      <c r="R115" s="297" t="n"/>
      <c r="S115" s="297" t="n"/>
      <c r="T115" s="297" t="n"/>
      <c r="U115" s="297" t="n"/>
    </row>
    <row r="116" customFormat="1" s="106">
      <c r="A116" s="174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97" t="n"/>
      <c r="P116" s="297" t="n"/>
      <c r="Q116" s="297" t="n"/>
      <c r="R116" s="297" t="n"/>
      <c r="S116" s="297" t="n"/>
      <c r="T116" s="297" t="n"/>
      <c r="U116" s="297" t="n"/>
    </row>
    <row r="117" customFormat="1" s="106">
      <c r="A117" s="174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97" t="n"/>
      <c r="P117" s="297" t="n"/>
      <c r="Q117" s="297" t="n"/>
      <c r="R117" s="297" t="n"/>
      <c r="S117" s="297" t="n"/>
      <c r="T117" s="297" t="n"/>
      <c r="U117" s="297" t="n"/>
    </row>
    <row r="118" customFormat="1" s="106">
      <c r="A118" s="174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97" t="n"/>
      <c r="P118" s="297" t="n"/>
      <c r="Q118" s="297" t="n"/>
      <c r="R118" s="297" t="n"/>
      <c r="S118" s="297" t="n"/>
      <c r="T118" s="297" t="n"/>
      <c r="U118" s="297" t="n"/>
    </row>
    <row r="119" customFormat="1" s="106">
      <c r="A119" s="174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97" t="n"/>
      <c r="P119" s="297" t="n"/>
      <c r="Q119" s="297" t="n"/>
      <c r="R119" s="297" t="n"/>
      <c r="S119" s="297" t="n"/>
      <c r="T119" s="297" t="n"/>
      <c r="U119" s="297" t="n"/>
    </row>
    <row r="120" customFormat="1" s="106">
      <c r="A120" s="174" t="n"/>
      <c r="B120" s="298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97" t="n"/>
      <c r="P120" s="297" t="n"/>
      <c r="Q120" s="297" t="n"/>
      <c r="R120" s="297" t="n"/>
      <c r="S120" s="297" t="n"/>
      <c r="T120" s="297" t="n"/>
      <c r="U120" s="297" t="n"/>
    </row>
    <row r="121" customFormat="1" s="106">
      <c r="A121" s="174" t="n"/>
      <c r="B121" s="298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97" t="n"/>
      <c r="P121" s="297" t="n"/>
      <c r="Q121" s="297" t="n"/>
      <c r="R121" s="297" t="n"/>
      <c r="S121" s="297" t="n"/>
      <c r="T121" s="297" t="n"/>
      <c r="U121" s="297" t="n"/>
    </row>
    <row r="122" customFormat="1" s="106">
      <c r="A122" s="174" t="n"/>
      <c r="B122" s="298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97" t="n"/>
      <c r="P122" s="297" t="n"/>
      <c r="Q122" s="297" t="n"/>
      <c r="R122" s="297" t="n"/>
      <c r="S122" s="297" t="n"/>
      <c r="T122" s="297" t="n"/>
      <c r="U122" s="297" t="n"/>
    </row>
    <row r="123" customFormat="1" s="106">
      <c r="A123" s="174" t="n"/>
      <c r="B123" s="298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97" t="n"/>
      <c r="P123" s="297" t="n"/>
      <c r="Q123" s="297" t="n"/>
      <c r="R123" s="297" t="n"/>
      <c r="S123" s="297" t="n"/>
      <c r="T123" s="297" t="n"/>
      <c r="U123" s="297" t="n"/>
    </row>
    <row r="124" customFormat="1" s="106">
      <c r="A124" s="174" t="n"/>
      <c r="B124" s="298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97" t="n"/>
      <c r="P124" s="297" t="n"/>
      <c r="Q124" s="297" t="n"/>
      <c r="R124" s="297" t="n"/>
      <c r="S124" s="297" t="n"/>
      <c r="T124" s="297" t="n"/>
      <c r="U124" s="297" t="n"/>
    </row>
    <row r="125" customFormat="1" s="106">
      <c r="A125" s="174" t="n"/>
      <c r="B125" s="298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97" t="n"/>
      <c r="P125" s="297" t="n"/>
      <c r="Q125" s="297" t="n"/>
      <c r="R125" s="297" t="n"/>
      <c r="S125" s="297" t="n"/>
      <c r="T125" s="297" t="n"/>
      <c r="U125" s="297" t="n"/>
    </row>
    <row r="126" customFormat="1" s="106">
      <c r="A126" s="174" t="n"/>
      <c r="B126" s="298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97" t="n"/>
      <c r="P126" s="297" t="n"/>
      <c r="Q126" s="297" t="n"/>
      <c r="R126" s="297" t="n"/>
      <c r="S126" s="297" t="n"/>
      <c r="T126" s="297" t="n"/>
      <c r="U126" s="297" t="n"/>
    </row>
    <row r="127" customFormat="1" s="106">
      <c r="A127" s="174" t="n"/>
      <c r="B127" s="298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97" t="n"/>
      <c r="P127" s="297" t="n"/>
      <c r="Q127" s="297" t="n"/>
      <c r="R127" s="297" t="n"/>
      <c r="S127" s="297" t="n"/>
      <c r="T127" s="297" t="n"/>
      <c r="U127" s="297" t="n"/>
    </row>
    <row r="128" customFormat="1" s="106">
      <c r="A128" s="174" t="n"/>
      <c r="B128" s="298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97" t="n"/>
      <c r="P128" s="297" t="n"/>
      <c r="Q128" s="297" t="n"/>
      <c r="R128" s="297" t="n"/>
      <c r="S128" s="297" t="n"/>
      <c r="T128" s="297" t="n"/>
      <c r="U128" s="297" t="n"/>
    </row>
    <row r="129" customFormat="1" s="106">
      <c r="A129" s="174" t="n"/>
      <c r="B129" s="298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97" t="n"/>
      <c r="P129" s="297" t="n"/>
      <c r="Q129" s="297" t="n"/>
      <c r="R129" s="297" t="n"/>
      <c r="S129" s="297" t="n"/>
      <c r="T129" s="297" t="n"/>
      <c r="U129" s="297" t="n"/>
    </row>
    <row r="130" customFormat="1" s="106">
      <c r="A130" s="174" t="n"/>
      <c r="B130" s="298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97" t="n"/>
      <c r="P130" s="297" t="n"/>
      <c r="Q130" s="297" t="n"/>
      <c r="R130" s="297" t="n"/>
      <c r="S130" s="297" t="n"/>
      <c r="T130" s="297" t="n"/>
      <c r="U130" s="297" t="n"/>
    </row>
    <row r="131" customFormat="1" s="106">
      <c r="A131" s="174" t="n"/>
      <c r="B131" s="298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97" t="n"/>
      <c r="P131" s="297" t="n"/>
      <c r="Q131" s="297" t="n"/>
      <c r="R131" s="297" t="n"/>
      <c r="S131" s="297" t="n"/>
      <c r="T131" s="297" t="n"/>
      <c r="U131" s="297" t="n"/>
    </row>
    <row r="132" customFormat="1" s="106">
      <c r="A132" s="174" t="n"/>
      <c r="B132" s="298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97" t="n"/>
      <c r="P132" s="297" t="n"/>
      <c r="Q132" s="297" t="n"/>
      <c r="R132" s="297" t="n"/>
      <c r="S132" s="297" t="n"/>
      <c r="T132" s="297" t="n"/>
      <c r="U132" s="297" t="n"/>
    </row>
    <row r="133" customFormat="1" s="106">
      <c r="A133" s="174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97" t="n"/>
      <c r="P133" s="297" t="n"/>
      <c r="Q133" s="297" t="n"/>
      <c r="R133" s="297" t="n"/>
      <c r="S133" s="297" t="n"/>
      <c r="T133" s="297" t="n"/>
      <c r="U133" s="297" t="n"/>
    </row>
    <row r="134" customFormat="1" s="106">
      <c r="A134" s="174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97" t="n"/>
      <c r="P134" s="297" t="n"/>
      <c r="Q134" s="297" t="n"/>
      <c r="R134" s="297" t="n"/>
      <c r="S134" s="297" t="n"/>
      <c r="T134" s="297" t="n"/>
      <c r="U134" s="297" t="n"/>
    </row>
    <row r="135" customFormat="1" s="106">
      <c r="A135" s="174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97" t="n"/>
      <c r="P135" s="297" t="n"/>
      <c r="Q135" s="297" t="n"/>
      <c r="R135" s="297" t="n"/>
      <c r="S135" s="297" t="n"/>
      <c r="T135" s="297" t="n"/>
      <c r="U135" s="297" t="n"/>
    </row>
    <row r="136" customFormat="1" s="106">
      <c r="A136" s="174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97" t="n"/>
      <c r="P136" s="297" t="n"/>
      <c r="Q136" s="297" t="n"/>
      <c r="R136" s="297" t="n"/>
      <c r="S136" s="297" t="n"/>
      <c r="T136" s="297" t="n"/>
      <c r="U136" s="297" t="n"/>
    </row>
    <row r="137" customFormat="1" s="106">
      <c r="A137" s="174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97" t="n"/>
      <c r="P137" s="297" t="n"/>
      <c r="Q137" s="297" t="n"/>
      <c r="R137" s="297" t="n"/>
      <c r="S137" s="297" t="n"/>
      <c r="T137" s="297" t="n"/>
      <c r="U137" s="297" t="n"/>
    </row>
    <row r="138" customFormat="1" s="106">
      <c r="A138" s="174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97" t="n"/>
      <c r="P138" s="297" t="n"/>
      <c r="Q138" s="297" t="n"/>
      <c r="R138" s="297" t="n"/>
      <c r="S138" s="297" t="n"/>
      <c r="T138" s="297" t="n"/>
      <c r="U138" s="297" t="n"/>
    </row>
    <row r="139" customFormat="1" s="106">
      <c r="A139" s="174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97" t="n"/>
      <c r="P139" s="297" t="n"/>
      <c r="Q139" s="297" t="n"/>
      <c r="R139" s="297" t="n"/>
      <c r="S139" s="297" t="n"/>
      <c r="T139" s="297" t="n"/>
      <c r="U139" s="297" t="n"/>
    </row>
    <row r="140" customFormat="1" s="106">
      <c r="A140" s="174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97" t="n"/>
      <c r="P140" s="297" t="n"/>
      <c r="Q140" s="297" t="n"/>
      <c r="R140" s="297" t="n"/>
      <c r="S140" s="297" t="n"/>
      <c r="T140" s="297" t="n"/>
      <c r="U140" s="297" t="n"/>
    </row>
    <row r="141" customFormat="1" s="106">
      <c r="A141" s="174" t="n"/>
      <c r="B141" s="298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97" t="n"/>
      <c r="P141" s="297" t="n"/>
      <c r="Q141" s="297" t="n"/>
      <c r="R141" s="297" t="n"/>
      <c r="S141" s="297" t="n"/>
      <c r="T141" s="297" t="n"/>
      <c r="U141" s="297" t="n"/>
    </row>
    <row r="142" customFormat="1" s="106">
      <c r="A142" s="174" t="n"/>
      <c r="B142" s="298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97" t="n"/>
      <c r="P142" s="297" t="n"/>
      <c r="Q142" s="297" t="n"/>
      <c r="R142" s="297" t="n"/>
      <c r="S142" s="297" t="n"/>
      <c r="T142" s="297" t="n"/>
      <c r="U142" s="297" t="n"/>
    </row>
    <row r="143" customFormat="1" s="106">
      <c r="A143" s="174" t="n"/>
      <c r="B143" s="298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97" t="n"/>
      <c r="P143" s="297" t="n"/>
      <c r="Q143" s="297" t="n"/>
      <c r="R143" s="297" t="n"/>
      <c r="S143" s="297" t="n"/>
      <c r="T143" s="297" t="n"/>
      <c r="U143" s="297" t="n"/>
    </row>
    <row r="144" customFormat="1" s="106">
      <c r="A144" s="174" t="n"/>
      <c r="B144" s="298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97" t="n"/>
      <c r="P144" s="297" t="n"/>
      <c r="Q144" s="297" t="n"/>
      <c r="R144" s="297" t="n"/>
      <c r="S144" s="297" t="n"/>
      <c r="T144" s="297" t="n"/>
      <c r="U144" s="297" t="n"/>
    </row>
    <row r="145" customFormat="1" s="106">
      <c r="A145" s="174" t="n"/>
      <c r="B145" s="298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97" t="n"/>
      <c r="P145" s="297" t="n"/>
      <c r="Q145" s="297" t="n"/>
      <c r="R145" s="297" t="n"/>
      <c r="S145" s="297" t="n"/>
      <c r="T145" s="297" t="n"/>
      <c r="U145" s="297" t="n"/>
    </row>
    <row r="146" customFormat="1" s="106">
      <c r="A146" s="174" t="n"/>
      <c r="B146" s="298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97" t="n"/>
      <c r="P146" s="297" t="n"/>
      <c r="Q146" s="297" t="n"/>
      <c r="R146" s="297" t="n"/>
      <c r="S146" s="297" t="n"/>
      <c r="T146" s="297" t="n"/>
      <c r="U146" s="297" t="n"/>
    </row>
    <row r="147" customFormat="1" s="106">
      <c r="A147" s="174" t="n"/>
      <c r="B147" s="298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97" t="n"/>
      <c r="P147" s="297" t="n"/>
      <c r="Q147" s="297" t="n"/>
      <c r="R147" s="297" t="n"/>
      <c r="S147" s="297" t="n"/>
      <c r="T147" s="297" t="n"/>
      <c r="U147" s="297" t="n"/>
    </row>
    <row r="148" customFormat="1" s="106">
      <c r="A148" s="174" t="n"/>
      <c r="B148" s="298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97" t="n"/>
      <c r="P148" s="297" t="n"/>
      <c r="Q148" s="297" t="n"/>
      <c r="R148" s="297" t="n"/>
      <c r="S148" s="297" t="n"/>
      <c r="T148" s="297" t="n"/>
      <c r="U148" s="297" t="n"/>
    </row>
    <row r="149" customFormat="1" s="106">
      <c r="A149" s="174" t="n"/>
      <c r="B149" s="298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97" t="n"/>
      <c r="P149" s="297" t="n"/>
      <c r="Q149" s="297" t="n"/>
      <c r="R149" s="297" t="n"/>
      <c r="S149" s="297" t="n"/>
      <c r="T149" s="297" t="n"/>
      <c r="U149" s="297" t="n"/>
    </row>
    <row r="150" customFormat="1" s="106">
      <c r="A150" s="174" t="n"/>
      <c r="B150" s="298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97" t="n"/>
      <c r="P150" s="297" t="n"/>
      <c r="Q150" s="297" t="n"/>
      <c r="R150" s="297" t="n"/>
      <c r="S150" s="297" t="n"/>
      <c r="T150" s="297" t="n"/>
      <c r="U150" s="297" t="n"/>
    </row>
    <row r="151" customFormat="1" s="106">
      <c r="A151" s="174" t="n"/>
      <c r="B151" s="298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97" t="n"/>
      <c r="P151" s="297" t="n"/>
      <c r="Q151" s="297" t="n"/>
      <c r="R151" s="297" t="n"/>
      <c r="S151" s="297" t="n"/>
      <c r="T151" s="297" t="n"/>
      <c r="U151" s="297" t="n"/>
    </row>
    <row r="152" customFormat="1" s="106">
      <c r="A152" s="174" t="n"/>
      <c r="B152" s="298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97" t="n"/>
      <c r="P152" s="297" t="n"/>
      <c r="Q152" s="297" t="n"/>
      <c r="R152" s="297" t="n"/>
      <c r="S152" s="297" t="n"/>
      <c r="T152" s="297" t="n"/>
      <c r="U152" s="297" t="n"/>
    </row>
    <row r="153" customFormat="1" s="106">
      <c r="A153" s="174" t="n"/>
      <c r="B153" s="298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97" t="n"/>
      <c r="P153" s="297" t="n"/>
      <c r="Q153" s="297" t="n"/>
      <c r="R153" s="297" t="n"/>
      <c r="S153" s="297" t="n"/>
      <c r="T153" s="297" t="n"/>
      <c r="U153" s="297" t="n"/>
    </row>
    <row r="154" customFormat="1" s="106">
      <c r="A154" s="194" t="n"/>
      <c r="B154" s="298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97" t="n"/>
      <c r="P154" s="297" t="n"/>
      <c r="Q154" s="297" t="n"/>
      <c r="R154" s="297" t="n"/>
      <c r="S154" s="297" t="n"/>
      <c r="T154" s="297" t="n"/>
      <c r="U154" s="297" t="n"/>
    </row>
    <row r="155" customFormat="1" s="106">
      <c r="A155" s="194" t="n"/>
      <c r="B155" s="298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97" t="n"/>
      <c r="P155" s="297" t="n"/>
      <c r="Q155" s="297" t="n"/>
      <c r="R155" s="297" t="n"/>
      <c r="S155" s="297" t="n"/>
      <c r="T155" s="297" t="n"/>
      <c r="U155" s="297" t="n"/>
    </row>
    <row r="156" customFormat="1" s="106">
      <c r="A156" s="194" t="n"/>
      <c r="B156" s="298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97" t="n"/>
      <c r="P156" s="297" t="n"/>
      <c r="Q156" s="297" t="n"/>
      <c r="R156" s="297" t="n"/>
      <c r="S156" s="297" t="n"/>
      <c r="T156" s="297" t="n"/>
      <c r="U156" s="297" t="n"/>
    </row>
    <row r="157" customFormat="1" s="106">
      <c r="A157" s="194" t="n"/>
      <c r="B157" s="298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97" t="n"/>
      <c r="P157" s="297" t="n"/>
      <c r="Q157" s="297" t="n"/>
      <c r="R157" s="297" t="n"/>
      <c r="S157" s="297" t="n"/>
      <c r="T157" s="297" t="n"/>
      <c r="U157" s="297" t="n"/>
    </row>
    <row r="158" customFormat="1" s="106">
      <c r="A158" s="194" t="n"/>
      <c r="B158" s="298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97" t="n"/>
      <c r="P158" s="297" t="n"/>
      <c r="Q158" s="297" t="n"/>
      <c r="R158" s="297" t="n"/>
      <c r="S158" s="297" t="n"/>
      <c r="T158" s="297" t="n"/>
      <c r="U158" s="297" t="n"/>
    </row>
    <row r="159" customFormat="1" s="106">
      <c r="A159" s="194" t="n"/>
      <c r="B159" s="298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97" t="n"/>
      <c r="P159" s="297" t="n"/>
      <c r="Q159" s="297" t="n"/>
      <c r="R159" s="297" t="n"/>
      <c r="S159" s="297" t="n"/>
      <c r="T159" s="297" t="n"/>
      <c r="U159" s="297" t="n"/>
    </row>
    <row r="160" customFormat="1" s="106">
      <c r="A160" s="194" t="n"/>
      <c r="B160" s="298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97" t="n"/>
      <c r="P160" s="297" t="n"/>
      <c r="Q160" s="297" t="n"/>
      <c r="R160" s="297" t="n"/>
      <c r="S160" s="297" t="n"/>
      <c r="T160" s="297" t="n"/>
      <c r="U160" s="297" t="n"/>
    </row>
    <row r="161" customFormat="1" s="106">
      <c r="A161" s="194" t="n"/>
      <c r="B161" s="298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97" t="n"/>
      <c r="P161" s="297" t="n"/>
      <c r="Q161" s="297" t="n"/>
      <c r="R161" s="297" t="n"/>
      <c r="S161" s="297" t="n"/>
      <c r="T161" s="297" t="n"/>
      <c r="U161" s="297" t="n"/>
    </row>
    <row r="162" customFormat="1" s="106">
      <c r="A162" s="194" t="n"/>
      <c r="B162" s="298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97" t="n"/>
      <c r="P162" s="297" t="n"/>
      <c r="Q162" s="297" t="n"/>
      <c r="R162" s="297" t="n"/>
      <c r="S162" s="297" t="n"/>
      <c r="T162" s="297" t="n"/>
      <c r="U162" s="297" t="n"/>
    </row>
    <row r="163" customFormat="1" s="106">
      <c r="A163" s="194" t="n"/>
      <c r="B163" s="298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97" t="n"/>
      <c r="P163" s="297" t="n"/>
      <c r="Q163" s="297" t="n"/>
      <c r="R163" s="297" t="n"/>
      <c r="S163" s="297" t="n"/>
      <c r="T163" s="297" t="n"/>
      <c r="U163" s="297" t="n"/>
    </row>
    <row r="164" customFormat="1" s="106">
      <c r="A164" s="194" t="n"/>
      <c r="B164" s="298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97" t="n"/>
      <c r="P164" s="297" t="n"/>
      <c r="Q164" s="297" t="n"/>
      <c r="R164" s="297" t="n"/>
      <c r="S164" s="297" t="n"/>
      <c r="T164" s="297" t="n"/>
      <c r="U164" s="297" t="n"/>
    </row>
    <row r="165" customFormat="1" s="106">
      <c r="A165" s="194" t="n"/>
      <c r="B165" s="298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97" t="n"/>
      <c r="P165" s="297" t="n"/>
      <c r="Q165" s="297" t="n"/>
      <c r="R165" s="297" t="n"/>
      <c r="S165" s="297" t="n"/>
      <c r="T165" s="297" t="n"/>
      <c r="U165" s="297" t="n"/>
    </row>
    <row r="166" customFormat="1" s="106">
      <c r="A166" s="194" t="n"/>
      <c r="B166" s="298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97" t="n"/>
      <c r="P166" s="297" t="n"/>
      <c r="Q166" s="297" t="n"/>
      <c r="R166" s="297" t="n"/>
      <c r="S166" s="297" t="n"/>
      <c r="T166" s="297" t="n"/>
      <c r="U166" s="297" t="n"/>
    </row>
    <row r="167" customFormat="1" s="106">
      <c r="A167" s="194" t="n"/>
      <c r="B167" s="298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97" t="n"/>
      <c r="P167" s="297" t="n"/>
      <c r="Q167" s="297" t="n"/>
      <c r="R167" s="297" t="n"/>
      <c r="S167" s="297" t="n"/>
      <c r="T167" s="297" t="n"/>
      <c r="U167" s="297" t="n"/>
    </row>
    <row r="168" customFormat="1" s="106">
      <c r="A168" s="194" t="n"/>
      <c r="B168" s="298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97" t="n"/>
      <c r="P168" s="297" t="n"/>
      <c r="Q168" s="297" t="n"/>
      <c r="R168" s="297" t="n"/>
      <c r="S168" s="297" t="n"/>
      <c r="T168" s="297" t="n"/>
      <c r="U168" s="297" t="n"/>
    </row>
    <row r="169" customFormat="1" s="106">
      <c r="A169" s="194" t="n"/>
      <c r="B169" s="298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97" t="n"/>
      <c r="P169" s="297" t="n"/>
      <c r="Q169" s="297" t="n"/>
      <c r="R169" s="297" t="n"/>
      <c r="S169" s="297" t="n"/>
      <c r="T169" s="297" t="n"/>
      <c r="U169" s="297" t="n"/>
    </row>
    <row r="170" customFormat="1" s="106">
      <c r="A170" s="194" t="n"/>
      <c r="B170" s="298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97" t="n"/>
      <c r="P170" s="297" t="n"/>
      <c r="Q170" s="297" t="n"/>
      <c r="R170" s="297" t="n"/>
      <c r="S170" s="297" t="n"/>
      <c r="T170" s="297" t="n"/>
      <c r="U170" s="297" t="n"/>
    </row>
    <row r="171" customFormat="1" s="106">
      <c r="A171" s="194" t="n"/>
      <c r="B171" s="298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97" t="n"/>
      <c r="P171" s="297" t="n"/>
      <c r="Q171" s="297" t="n"/>
      <c r="R171" s="297" t="n"/>
      <c r="S171" s="297" t="n"/>
      <c r="T171" s="297" t="n"/>
      <c r="U171" s="297" t="n"/>
    </row>
    <row r="172" customFormat="1" s="106">
      <c r="A172" s="194" t="n"/>
      <c r="B172" s="298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97" t="n"/>
      <c r="P172" s="297" t="n"/>
      <c r="Q172" s="297" t="n"/>
      <c r="R172" s="297" t="n"/>
      <c r="S172" s="297" t="n"/>
      <c r="T172" s="297" t="n"/>
      <c r="U172" s="297" t="n"/>
    </row>
    <row r="173" customFormat="1" s="106">
      <c r="A173" s="194" t="n"/>
      <c r="B173" s="298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97" t="n"/>
      <c r="P173" s="297" t="n"/>
      <c r="Q173" s="297" t="n"/>
      <c r="R173" s="297" t="n"/>
      <c r="S173" s="297" t="n"/>
      <c r="T173" s="297" t="n"/>
      <c r="U173" s="297" t="n"/>
    </row>
    <row r="174" customFormat="1" s="106">
      <c r="A174" s="194" t="n"/>
      <c r="B174" s="298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97" t="n"/>
      <c r="P174" s="297" t="n"/>
      <c r="Q174" s="297" t="n"/>
      <c r="R174" s="297" t="n"/>
      <c r="S174" s="297" t="n"/>
      <c r="T174" s="297" t="n"/>
      <c r="U174" s="297" t="n"/>
    </row>
    <row r="175" customFormat="1" s="106">
      <c r="A175" s="174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97" t="n"/>
      <c r="P175" s="297" t="n"/>
      <c r="Q175" s="297" t="n"/>
      <c r="R175" s="297" t="n"/>
      <c r="S175" s="297" t="n"/>
      <c r="T175" s="297" t="n"/>
      <c r="U175" s="297" t="n"/>
    </row>
    <row r="176" customFormat="1" s="106">
      <c r="A176" s="174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97" t="n"/>
      <c r="P176" s="297" t="n"/>
      <c r="Q176" s="297" t="n"/>
      <c r="R176" s="297" t="n"/>
      <c r="S176" s="297" t="n"/>
      <c r="T176" s="297" t="n"/>
      <c r="U176" s="297" t="n"/>
    </row>
    <row r="177" customFormat="1" s="106">
      <c r="A177" s="174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97" t="n"/>
      <c r="P177" s="297" t="n"/>
      <c r="Q177" s="297" t="n"/>
      <c r="R177" s="297" t="n"/>
      <c r="S177" s="297" t="n"/>
      <c r="T177" s="297" t="n"/>
      <c r="U177" s="297" t="n"/>
    </row>
    <row r="178" customFormat="1" s="106">
      <c r="A178" s="174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97" t="n"/>
      <c r="P178" s="297" t="n"/>
      <c r="Q178" s="297" t="n"/>
      <c r="R178" s="297" t="n"/>
      <c r="S178" s="297" t="n"/>
      <c r="T178" s="297" t="n"/>
      <c r="U178" s="297" t="n"/>
    </row>
    <row r="179" customFormat="1" s="106">
      <c r="A179" s="174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97" t="n"/>
      <c r="P179" s="297" t="n"/>
      <c r="Q179" s="297" t="n"/>
      <c r="R179" s="297" t="n"/>
      <c r="S179" s="297" t="n"/>
      <c r="T179" s="297" t="n"/>
      <c r="U179" s="297" t="n"/>
    </row>
    <row r="180" customFormat="1" s="106">
      <c r="A180" s="174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97" t="n"/>
      <c r="P180" s="297" t="n"/>
      <c r="Q180" s="297" t="n"/>
      <c r="R180" s="297" t="n"/>
      <c r="S180" s="297" t="n"/>
      <c r="T180" s="297" t="n"/>
      <c r="U180" s="297" t="n"/>
    </row>
    <row r="181" customFormat="1" s="106">
      <c r="A181" s="174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97" t="n"/>
      <c r="P181" s="297" t="n"/>
      <c r="Q181" s="297" t="n"/>
      <c r="R181" s="297" t="n"/>
      <c r="S181" s="297" t="n"/>
      <c r="T181" s="297" t="n"/>
      <c r="U181" s="297" t="n"/>
    </row>
    <row r="182" customFormat="1" s="106">
      <c r="A182" s="174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97" t="n"/>
      <c r="P182" s="297" t="n"/>
      <c r="Q182" s="297" t="n"/>
      <c r="R182" s="297" t="n"/>
      <c r="S182" s="297" t="n"/>
      <c r="T182" s="297" t="n"/>
      <c r="U182" s="297" t="n"/>
    </row>
    <row r="183" customFormat="1" s="106">
      <c r="A183" s="174" t="n"/>
      <c r="B183" s="298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97" t="n"/>
      <c r="P183" s="297" t="n"/>
      <c r="Q183" s="297" t="n"/>
      <c r="R183" s="297" t="n"/>
      <c r="S183" s="297" t="n"/>
      <c r="T183" s="297" t="n"/>
      <c r="U183" s="297" t="n"/>
    </row>
    <row r="184" customFormat="1" s="106">
      <c r="A184" s="174" t="n"/>
      <c r="B184" s="298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97" t="n"/>
      <c r="P184" s="297" t="n"/>
      <c r="Q184" s="297" t="n"/>
      <c r="R184" s="297" t="n"/>
      <c r="S184" s="297" t="n"/>
      <c r="T184" s="297" t="n"/>
      <c r="U184" s="297" t="n"/>
    </row>
    <row r="185" customFormat="1" s="106">
      <c r="A185" s="174" t="n"/>
      <c r="B185" s="298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97" t="n"/>
      <c r="P185" s="297" t="n"/>
      <c r="Q185" s="297" t="n"/>
      <c r="R185" s="297" t="n"/>
      <c r="S185" s="297" t="n"/>
      <c r="T185" s="297" t="n"/>
      <c r="U185" s="297" t="n"/>
    </row>
    <row r="186" customFormat="1" s="106">
      <c r="A186" s="174" t="n"/>
      <c r="B186" s="298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97" t="n"/>
      <c r="P186" s="297" t="n"/>
      <c r="Q186" s="297" t="n"/>
      <c r="R186" s="297" t="n"/>
      <c r="S186" s="297" t="n"/>
      <c r="T186" s="297" t="n"/>
      <c r="U186" s="297" t="n"/>
    </row>
    <row r="187" customFormat="1" s="106">
      <c r="A187" s="174" t="n"/>
      <c r="B187" s="298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97" t="n"/>
      <c r="P187" s="297" t="n"/>
      <c r="Q187" s="297" t="n"/>
      <c r="R187" s="297" t="n"/>
      <c r="S187" s="297" t="n"/>
      <c r="T187" s="297" t="n"/>
      <c r="U187" s="297" t="n"/>
    </row>
    <row r="188" customFormat="1" s="106">
      <c r="A188" s="174" t="n"/>
      <c r="B188" s="298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97" t="n"/>
      <c r="P188" s="297" t="n"/>
      <c r="Q188" s="297" t="n"/>
      <c r="R188" s="297" t="n"/>
      <c r="S188" s="297" t="n"/>
      <c r="T188" s="297" t="n"/>
      <c r="U188" s="297" t="n"/>
    </row>
    <row r="189" customFormat="1" s="106">
      <c r="A189" s="174" t="n"/>
      <c r="B189" s="298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97" t="n"/>
      <c r="P189" s="297" t="n"/>
      <c r="Q189" s="297" t="n"/>
      <c r="R189" s="297" t="n"/>
      <c r="S189" s="297" t="n"/>
      <c r="T189" s="297" t="n"/>
      <c r="U189" s="297" t="n"/>
    </row>
    <row r="190" customFormat="1" s="106">
      <c r="A190" s="174" t="n"/>
      <c r="B190" s="298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97" t="n"/>
      <c r="P190" s="297" t="n"/>
      <c r="Q190" s="297" t="n"/>
      <c r="R190" s="297" t="n"/>
      <c r="S190" s="297" t="n"/>
      <c r="T190" s="297" t="n"/>
      <c r="U190" s="297" t="n"/>
    </row>
    <row r="191" customFormat="1" s="106">
      <c r="A191" s="174" t="n"/>
      <c r="B191" s="298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97" t="n"/>
      <c r="P191" s="297" t="n"/>
      <c r="Q191" s="297" t="n"/>
      <c r="R191" s="297" t="n"/>
      <c r="S191" s="297" t="n"/>
      <c r="T191" s="297" t="n"/>
      <c r="U191" s="297" t="n"/>
    </row>
    <row r="192" customFormat="1" s="106">
      <c r="A192" s="174" t="n"/>
      <c r="B192" s="298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97" t="n"/>
      <c r="P192" s="297" t="n"/>
      <c r="Q192" s="297" t="n"/>
      <c r="R192" s="297" t="n"/>
      <c r="S192" s="297" t="n"/>
      <c r="T192" s="297" t="n"/>
      <c r="U192" s="297" t="n"/>
    </row>
    <row r="193" customFormat="1" s="106">
      <c r="A193" s="174" t="n"/>
      <c r="B193" s="298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97" t="n"/>
      <c r="P193" s="297" t="n"/>
      <c r="Q193" s="297" t="n"/>
      <c r="R193" s="297" t="n"/>
      <c r="S193" s="297" t="n"/>
      <c r="T193" s="297" t="n"/>
      <c r="U193" s="297" t="n"/>
    </row>
    <row r="194" customFormat="1" s="106">
      <c r="A194" s="174" t="n"/>
      <c r="B194" s="298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97" t="n"/>
      <c r="P194" s="297" t="n"/>
      <c r="Q194" s="297" t="n"/>
      <c r="R194" s="297" t="n"/>
      <c r="S194" s="297" t="n"/>
      <c r="T194" s="297" t="n"/>
      <c r="U194" s="297" t="n"/>
    </row>
    <row r="195" customFormat="1" s="106">
      <c r="A195" s="174" t="n"/>
      <c r="B195" s="298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97" t="n"/>
      <c r="P195" s="297" t="n"/>
      <c r="Q195" s="297" t="n"/>
      <c r="R195" s="297" t="n"/>
      <c r="S195" s="297" t="n"/>
      <c r="T195" s="297" t="n"/>
      <c r="U195" s="297" t="n"/>
    </row>
    <row r="196" customFormat="1" s="106">
      <c r="A196" s="174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97" t="n"/>
      <c r="P196" s="297" t="n"/>
      <c r="Q196" s="297" t="n"/>
      <c r="R196" s="297" t="n"/>
      <c r="S196" s="297" t="n"/>
      <c r="T196" s="297" t="n"/>
      <c r="U196" s="297" t="n"/>
    </row>
    <row r="197" customFormat="1" s="106">
      <c r="A197" s="174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97" t="n"/>
      <c r="P197" s="297" t="n"/>
      <c r="Q197" s="297" t="n"/>
      <c r="R197" s="297" t="n"/>
      <c r="S197" s="297" t="n"/>
      <c r="T197" s="297" t="n"/>
      <c r="U197" s="297" t="n"/>
    </row>
    <row r="198" customFormat="1" s="106">
      <c r="A198" s="174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97" t="n"/>
      <c r="P198" s="297" t="n"/>
      <c r="Q198" s="297" t="n"/>
      <c r="R198" s="297" t="n"/>
      <c r="S198" s="297" t="n"/>
      <c r="T198" s="297" t="n"/>
      <c r="U198" s="297" t="n"/>
    </row>
    <row r="199" customFormat="1" s="106">
      <c r="A199" s="174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97" t="n"/>
      <c r="P199" s="297" t="n"/>
      <c r="Q199" s="297" t="n"/>
      <c r="R199" s="297" t="n"/>
      <c r="S199" s="297" t="n"/>
      <c r="T199" s="297" t="n"/>
      <c r="U199" s="297" t="n"/>
    </row>
    <row r="200" customFormat="1" s="106">
      <c r="A200" s="174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97" t="n"/>
      <c r="P200" s="297" t="n"/>
      <c r="Q200" s="297" t="n"/>
      <c r="R200" s="297" t="n"/>
      <c r="S200" s="297" t="n"/>
      <c r="T200" s="297" t="n"/>
      <c r="U200" s="297" t="n"/>
    </row>
    <row r="201" customFormat="1" s="106">
      <c r="A201" s="174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97" t="n"/>
      <c r="P201" s="297" t="n"/>
      <c r="Q201" s="297" t="n"/>
      <c r="R201" s="297" t="n"/>
      <c r="S201" s="297" t="n"/>
      <c r="T201" s="297" t="n"/>
      <c r="U201" s="297" t="n"/>
    </row>
    <row r="202" customFormat="1" s="106">
      <c r="A202" s="174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97" t="n"/>
      <c r="P202" s="297" t="n"/>
      <c r="Q202" s="297" t="n"/>
      <c r="R202" s="297" t="n"/>
      <c r="S202" s="297" t="n"/>
      <c r="T202" s="297" t="n"/>
      <c r="U202" s="297" t="n"/>
    </row>
    <row r="203" customFormat="1" s="106">
      <c r="A203" s="174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97" t="n"/>
      <c r="P203" s="297" t="n"/>
      <c r="Q203" s="297" t="n"/>
      <c r="R203" s="297" t="n"/>
      <c r="S203" s="297" t="n"/>
      <c r="T203" s="297" t="n"/>
      <c r="U203" s="297" t="n"/>
    </row>
    <row r="204" customFormat="1" s="106">
      <c r="A204" s="174" t="n"/>
      <c r="B204" s="298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97" t="n"/>
      <c r="P204" s="297" t="n"/>
      <c r="Q204" s="297" t="n"/>
      <c r="R204" s="297" t="n"/>
      <c r="S204" s="297" t="n"/>
      <c r="T204" s="297" t="n"/>
      <c r="U204" s="297" t="n"/>
    </row>
    <row r="205" customFormat="1" s="106">
      <c r="A205" s="174" t="n"/>
      <c r="B205" s="298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97" t="n"/>
      <c r="P205" s="297" t="n"/>
      <c r="Q205" s="297" t="n"/>
      <c r="R205" s="297" t="n"/>
      <c r="S205" s="297" t="n"/>
      <c r="T205" s="297" t="n"/>
      <c r="U205" s="297" t="n"/>
    </row>
    <row r="206" customFormat="1" s="106">
      <c r="A206" s="174" t="n"/>
      <c r="B206" s="298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97" t="n"/>
      <c r="P206" s="297" t="n"/>
      <c r="Q206" s="297" t="n"/>
      <c r="R206" s="297" t="n"/>
      <c r="S206" s="297" t="n"/>
      <c r="T206" s="297" t="n"/>
      <c r="U206" s="297" t="n"/>
    </row>
    <row r="207" customFormat="1" s="106">
      <c r="A207" s="174" t="n"/>
      <c r="B207" s="298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97" t="n"/>
      <c r="P207" s="297" t="n"/>
      <c r="Q207" s="297" t="n"/>
      <c r="R207" s="297" t="n"/>
      <c r="S207" s="297" t="n"/>
      <c r="T207" s="297" t="n"/>
      <c r="U207" s="297" t="n"/>
    </row>
    <row r="208" customFormat="1" s="106">
      <c r="A208" s="174" t="n"/>
      <c r="B208" s="298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97" t="n"/>
      <c r="P208" s="297" t="n"/>
      <c r="Q208" s="297" t="n"/>
      <c r="R208" s="297" t="n"/>
      <c r="S208" s="297" t="n"/>
      <c r="T208" s="297" t="n"/>
      <c r="U208" s="297" t="n"/>
    </row>
    <row r="209" customFormat="1" s="106">
      <c r="A209" s="174" t="n"/>
      <c r="B209" s="298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97" t="n"/>
      <c r="P209" s="297" t="n"/>
      <c r="Q209" s="297" t="n"/>
      <c r="R209" s="297" t="n"/>
      <c r="S209" s="297" t="n"/>
      <c r="T209" s="297" t="n"/>
      <c r="U209" s="297" t="n"/>
    </row>
    <row r="210" customFormat="1" s="106">
      <c r="A210" s="174" t="n"/>
      <c r="B210" s="298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97" t="n"/>
      <c r="P210" s="297" t="n"/>
      <c r="Q210" s="297" t="n"/>
      <c r="R210" s="297" t="n"/>
      <c r="S210" s="297" t="n"/>
      <c r="T210" s="297" t="n"/>
      <c r="U210" s="297" t="n"/>
    </row>
    <row r="211" customFormat="1" s="106">
      <c r="A211" s="174" t="n"/>
      <c r="B211" s="298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97" t="n"/>
      <c r="P211" s="297" t="n"/>
      <c r="Q211" s="297" t="n"/>
      <c r="R211" s="297" t="n"/>
      <c r="S211" s="297" t="n"/>
      <c r="T211" s="297" t="n"/>
      <c r="U211" s="297" t="n"/>
    </row>
    <row r="212" customFormat="1" s="106">
      <c r="A212" s="174" t="n"/>
      <c r="B212" s="298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97" t="n"/>
      <c r="P212" s="297" t="n"/>
      <c r="Q212" s="297" t="n"/>
      <c r="R212" s="297" t="n"/>
      <c r="S212" s="297" t="n"/>
      <c r="T212" s="297" t="n"/>
      <c r="U212" s="297" t="n"/>
    </row>
    <row r="213" customFormat="1" s="106">
      <c r="A213" s="174" t="n"/>
      <c r="B213" s="298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97" t="n"/>
      <c r="P213" s="297" t="n"/>
      <c r="Q213" s="297" t="n"/>
      <c r="R213" s="297" t="n"/>
      <c r="S213" s="297" t="n"/>
      <c r="T213" s="297" t="n"/>
      <c r="U213" s="297" t="n"/>
    </row>
    <row r="214" customFormat="1" s="106">
      <c r="A214" s="174" t="n"/>
      <c r="B214" s="298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97" t="n"/>
      <c r="P214" s="297" t="n"/>
      <c r="Q214" s="297" t="n"/>
      <c r="R214" s="297" t="n"/>
      <c r="S214" s="297" t="n"/>
      <c r="T214" s="297" t="n"/>
      <c r="U214" s="297" t="n"/>
    </row>
    <row r="215" customFormat="1" s="106">
      <c r="A215" s="174" t="n"/>
      <c r="B215" s="298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97" t="n"/>
      <c r="P215" s="297" t="n"/>
      <c r="Q215" s="297" t="n"/>
      <c r="R215" s="297" t="n"/>
      <c r="S215" s="297" t="n"/>
      <c r="T215" s="297" t="n"/>
      <c r="U215" s="297" t="n"/>
    </row>
    <row r="216" customFormat="1" s="106">
      <c r="A216" s="174" t="n"/>
      <c r="B216" s="298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97" t="n"/>
      <c r="P216" s="297" t="n"/>
      <c r="Q216" s="297" t="n"/>
      <c r="R216" s="297" t="n"/>
      <c r="S216" s="297" t="n"/>
      <c r="T216" s="297" t="n"/>
      <c r="U216" s="297" t="n"/>
    </row>
    <row r="217" customFormat="1" s="106">
      <c r="A217" s="174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97" t="n"/>
      <c r="P217" s="297" t="n"/>
      <c r="Q217" s="297" t="n"/>
      <c r="R217" s="297" t="n"/>
      <c r="S217" s="297" t="n"/>
      <c r="T217" s="297" t="n"/>
      <c r="U217" s="297" t="n"/>
    </row>
    <row r="218" customFormat="1" s="106">
      <c r="A218" s="174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97" t="n"/>
      <c r="P218" s="297" t="n"/>
      <c r="Q218" s="297" t="n"/>
      <c r="R218" s="297" t="n"/>
      <c r="S218" s="297" t="n"/>
      <c r="T218" s="297" t="n"/>
      <c r="U218" s="297" t="n"/>
    </row>
    <row r="219" customFormat="1" s="106">
      <c r="A219" s="174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97" t="n"/>
      <c r="P219" s="297" t="n"/>
      <c r="Q219" s="297" t="n"/>
      <c r="R219" s="297" t="n"/>
      <c r="S219" s="297" t="n"/>
      <c r="T219" s="297" t="n"/>
      <c r="U219" s="297" t="n"/>
    </row>
    <row r="220" customFormat="1" s="106">
      <c r="A220" s="174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97" t="n"/>
      <c r="P220" s="297" t="n"/>
      <c r="Q220" s="297" t="n"/>
      <c r="R220" s="297" t="n"/>
      <c r="S220" s="297" t="n"/>
      <c r="T220" s="297" t="n"/>
      <c r="U220" s="297" t="n"/>
    </row>
    <row r="221" customFormat="1" s="106">
      <c r="A221" s="174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97" t="n"/>
      <c r="P221" s="297" t="n"/>
      <c r="Q221" s="297" t="n"/>
      <c r="R221" s="297" t="n"/>
      <c r="S221" s="297" t="n"/>
      <c r="T221" s="297" t="n"/>
      <c r="U221" s="297" t="n"/>
    </row>
    <row r="222" customFormat="1" s="106">
      <c r="A222" s="174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97" t="n"/>
      <c r="P222" s="297" t="n"/>
      <c r="Q222" s="297" t="n"/>
      <c r="R222" s="297" t="n"/>
      <c r="S222" s="297" t="n"/>
      <c r="T222" s="297" t="n"/>
      <c r="U222" s="297" t="n"/>
    </row>
    <row r="223" customFormat="1" s="106">
      <c r="A223" s="174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97" t="n"/>
      <c r="P223" s="297" t="n"/>
      <c r="Q223" s="297" t="n"/>
      <c r="R223" s="297" t="n"/>
      <c r="S223" s="297" t="n"/>
      <c r="T223" s="297" t="n"/>
      <c r="U223" s="297" t="n"/>
    </row>
    <row r="224" customFormat="1" s="106">
      <c r="A224" s="174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97" t="n"/>
      <c r="P224" s="297" t="n"/>
      <c r="Q224" s="297" t="n"/>
      <c r="R224" s="297" t="n"/>
      <c r="S224" s="297" t="n"/>
      <c r="T224" s="297" t="n"/>
      <c r="U224" s="297" t="n"/>
    </row>
    <row r="225" customFormat="1" s="106">
      <c r="A225" s="174" t="n"/>
      <c r="B225" s="298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97" t="n"/>
      <c r="P225" s="297" t="n"/>
      <c r="Q225" s="297" t="n"/>
      <c r="R225" s="297" t="n"/>
      <c r="S225" s="297" t="n"/>
      <c r="T225" s="297" t="n"/>
      <c r="U225" s="297" t="n"/>
    </row>
    <row r="226" customFormat="1" s="106">
      <c r="A226" s="174" t="n"/>
      <c r="B226" s="298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97" t="n"/>
      <c r="P226" s="297" t="n"/>
      <c r="Q226" s="297" t="n"/>
      <c r="R226" s="297" t="n"/>
      <c r="S226" s="297" t="n"/>
      <c r="T226" s="297" t="n"/>
      <c r="U226" s="297" t="n"/>
    </row>
    <row r="227" customFormat="1" s="106">
      <c r="A227" s="174" t="n"/>
      <c r="B227" s="298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97" t="n"/>
      <c r="P227" s="297" t="n"/>
      <c r="Q227" s="297" t="n"/>
      <c r="R227" s="297" t="n"/>
      <c r="S227" s="297" t="n"/>
      <c r="T227" s="297" t="n"/>
      <c r="U227" s="297" t="n"/>
    </row>
    <row r="228" customFormat="1" s="106">
      <c r="A228" s="174" t="n"/>
      <c r="B228" s="298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97" t="n"/>
      <c r="P228" s="297" t="n"/>
      <c r="Q228" s="297" t="n"/>
      <c r="R228" s="297" t="n"/>
      <c r="S228" s="297" t="n"/>
      <c r="T228" s="297" t="n"/>
      <c r="U228" s="297" t="n"/>
    </row>
    <row r="229" customFormat="1" s="106">
      <c r="A229" s="174" t="n"/>
      <c r="B229" s="298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97" t="n"/>
      <c r="P229" s="297" t="n"/>
      <c r="Q229" s="297" t="n"/>
      <c r="R229" s="297" t="n"/>
      <c r="S229" s="297" t="n"/>
      <c r="T229" s="297" t="n"/>
      <c r="U229" s="297" t="n"/>
    </row>
    <row r="230" customFormat="1" s="106">
      <c r="A230" s="174" t="n"/>
      <c r="B230" s="298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97" t="n"/>
      <c r="P230" s="297" t="n"/>
      <c r="Q230" s="297" t="n"/>
      <c r="R230" s="297" t="n"/>
      <c r="S230" s="297" t="n"/>
      <c r="T230" s="297" t="n"/>
      <c r="U230" s="297" t="n"/>
    </row>
    <row r="231" customFormat="1" s="106">
      <c r="A231" s="174" t="n"/>
      <c r="B231" s="298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97" t="n"/>
      <c r="P231" s="297" t="n"/>
      <c r="Q231" s="297" t="n"/>
      <c r="R231" s="297" t="n"/>
      <c r="S231" s="297" t="n"/>
      <c r="T231" s="297" t="n"/>
      <c r="U231" s="297" t="n"/>
    </row>
    <row r="232" customFormat="1" s="106">
      <c r="A232" s="174" t="n"/>
      <c r="B232" s="298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97" t="n"/>
      <c r="P232" s="297" t="n"/>
      <c r="Q232" s="297" t="n"/>
      <c r="R232" s="297" t="n"/>
      <c r="S232" s="297" t="n"/>
      <c r="T232" s="297" t="n"/>
      <c r="U232" s="297" t="n"/>
    </row>
    <row r="233" customFormat="1" s="106">
      <c r="A233" s="174" t="n"/>
      <c r="B233" s="298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97" t="n"/>
      <c r="P233" s="297" t="n"/>
      <c r="Q233" s="297" t="n"/>
      <c r="R233" s="297" t="n"/>
      <c r="S233" s="297" t="n"/>
      <c r="T233" s="297" t="n"/>
      <c r="U233" s="297" t="n"/>
    </row>
    <row r="234" customFormat="1" s="106">
      <c r="A234" s="174" t="n"/>
      <c r="B234" s="298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97" t="n"/>
      <c r="P234" s="297" t="n"/>
      <c r="Q234" s="297" t="n"/>
      <c r="R234" s="297" t="n"/>
      <c r="S234" s="297" t="n"/>
      <c r="T234" s="297" t="n"/>
      <c r="U234" s="297" t="n"/>
    </row>
    <row r="235" customFormat="1" s="106">
      <c r="A235" s="174" t="n"/>
      <c r="B235" s="298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97" t="n"/>
      <c r="P235" s="297" t="n"/>
      <c r="Q235" s="297" t="n"/>
      <c r="R235" s="297" t="n"/>
      <c r="S235" s="297" t="n"/>
      <c r="T235" s="297" t="n"/>
      <c r="U235" s="297" t="n"/>
    </row>
    <row r="236" customFormat="1" s="106">
      <c r="A236" s="174" t="n"/>
      <c r="B236" s="298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97" t="n"/>
      <c r="P236" s="297" t="n"/>
      <c r="Q236" s="297" t="n"/>
      <c r="R236" s="297" t="n"/>
      <c r="S236" s="297" t="n"/>
      <c r="T236" s="297" t="n"/>
      <c r="U236" s="297" t="n"/>
    </row>
    <row r="237" customFormat="1" s="106">
      <c r="A237" s="174" t="n"/>
      <c r="B237" s="298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97" t="n"/>
      <c r="P237" s="297" t="n"/>
      <c r="Q237" s="297" t="n"/>
      <c r="R237" s="297" t="n"/>
      <c r="S237" s="297" t="n"/>
      <c r="T237" s="297" t="n"/>
      <c r="U237" s="297" t="n"/>
    </row>
    <row r="238" customFormat="1" s="106">
      <c r="A238" s="174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97" t="n"/>
      <c r="P238" s="297" t="n"/>
      <c r="Q238" s="297" t="n"/>
      <c r="R238" s="297" t="n"/>
      <c r="S238" s="297" t="n"/>
      <c r="T238" s="297" t="n"/>
      <c r="U238" s="297" t="n"/>
    </row>
    <row r="239" customFormat="1" s="106">
      <c r="A239" s="174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97" t="n"/>
      <c r="P239" s="297" t="n"/>
      <c r="Q239" s="297" t="n"/>
      <c r="R239" s="297" t="n"/>
      <c r="S239" s="297" t="n"/>
      <c r="T239" s="297" t="n"/>
      <c r="U239" s="297" t="n"/>
    </row>
    <row r="240" customFormat="1" s="106">
      <c r="A240" s="174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97" t="n"/>
      <c r="P240" s="297" t="n"/>
      <c r="Q240" s="297" t="n"/>
      <c r="R240" s="297" t="n"/>
      <c r="S240" s="297" t="n"/>
      <c r="T240" s="297" t="n"/>
      <c r="U240" s="297" t="n"/>
    </row>
    <row r="241" customFormat="1" s="106">
      <c r="A241" s="174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97" t="n"/>
      <c r="P241" s="297" t="n"/>
      <c r="Q241" s="297" t="n"/>
      <c r="R241" s="297" t="n"/>
      <c r="S241" s="297" t="n"/>
      <c r="T241" s="297" t="n"/>
      <c r="U241" s="297" t="n"/>
    </row>
    <row r="242" customFormat="1" s="106">
      <c r="A242" s="174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97" t="n"/>
      <c r="P242" s="297" t="n"/>
      <c r="Q242" s="297" t="n"/>
      <c r="R242" s="297" t="n"/>
      <c r="S242" s="297" t="n"/>
      <c r="T242" s="297" t="n"/>
      <c r="U242" s="297" t="n"/>
    </row>
    <row r="243" customFormat="1" s="106">
      <c r="A243" s="174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97" t="n"/>
      <c r="P243" s="297" t="n"/>
      <c r="Q243" s="297" t="n"/>
      <c r="R243" s="297" t="n"/>
      <c r="S243" s="297" t="n"/>
      <c r="T243" s="297" t="n"/>
      <c r="U243" s="297" t="n"/>
    </row>
    <row r="244" customFormat="1" s="106">
      <c r="A244" s="174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97" t="n"/>
      <c r="P244" s="297" t="n"/>
      <c r="Q244" s="297" t="n"/>
      <c r="R244" s="297" t="n"/>
      <c r="S244" s="297" t="n"/>
      <c r="T244" s="297" t="n"/>
      <c r="U244" s="297" t="n"/>
    </row>
    <row r="245" customFormat="1" s="106">
      <c r="A245" s="174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97" t="n"/>
      <c r="P245" s="297" t="n"/>
      <c r="Q245" s="297" t="n"/>
      <c r="R245" s="297" t="n"/>
      <c r="S245" s="297" t="n"/>
      <c r="T245" s="297" t="n"/>
      <c r="U245" s="297" t="n"/>
    </row>
    <row r="246" customFormat="1" s="106">
      <c r="A246" s="174" t="n"/>
      <c r="B246" s="298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97" t="n"/>
      <c r="P246" s="297" t="n"/>
      <c r="Q246" s="297" t="n"/>
      <c r="R246" s="297" t="n"/>
      <c r="S246" s="297" t="n"/>
      <c r="T246" s="297" t="n"/>
      <c r="U246" s="297" t="n"/>
    </row>
    <row r="247" customFormat="1" s="106">
      <c r="A247" s="174" t="n"/>
      <c r="B247" s="298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97" t="n"/>
      <c r="P247" s="297" t="n"/>
      <c r="Q247" s="297" t="n"/>
      <c r="R247" s="297" t="n"/>
      <c r="S247" s="297" t="n"/>
      <c r="T247" s="297" t="n"/>
      <c r="U247" s="297" t="n"/>
    </row>
    <row r="248" customFormat="1" s="106">
      <c r="A248" s="174" t="n"/>
      <c r="B248" s="298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97" t="n"/>
      <c r="P248" s="297" t="n"/>
      <c r="Q248" s="297" t="n"/>
      <c r="R248" s="297" t="n"/>
      <c r="S248" s="297" t="n"/>
      <c r="T248" s="297" t="n"/>
      <c r="U248" s="297" t="n"/>
    </row>
    <row r="249" customFormat="1" s="106">
      <c r="A249" s="174" t="n"/>
      <c r="B249" s="298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97" t="n"/>
      <c r="P249" s="297" t="n"/>
      <c r="Q249" s="297" t="n"/>
      <c r="R249" s="297" t="n"/>
      <c r="S249" s="297" t="n"/>
      <c r="T249" s="297" t="n"/>
      <c r="U249" s="297" t="n"/>
    </row>
    <row r="250" customFormat="1" s="106">
      <c r="A250" s="174" t="n"/>
      <c r="B250" s="298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97" t="n"/>
      <c r="P250" s="297" t="n"/>
      <c r="Q250" s="297" t="n"/>
      <c r="R250" s="297" t="n"/>
      <c r="S250" s="297" t="n"/>
      <c r="T250" s="297" t="n"/>
      <c r="U250" s="297" t="n"/>
    </row>
    <row r="251" customFormat="1" s="106">
      <c r="A251" s="174" t="n"/>
      <c r="B251" s="298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97" t="n"/>
      <c r="P251" s="297" t="n"/>
      <c r="Q251" s="297" t="n"/>
      <c r="R251" s="297" t="n"/>
      <c r="S251" s="297" t="n"/>
      <c r="T251" s="297" t="n"/>
      <c r="U251" s="297" t="n"/>
    </row>
    <row r="252" customFormat="1" s="106">
      <c r="A252" s="174" t="n"/>
      <c r="B252" s="298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97" t="n"/>
      <c r="P252" s="297" t="n"/>
      <c r="Q252" s="297" t="n"/>
      <c r="R252" s="297" t="n"/>
      <c r="S252" s="297" t="n"/>
      <c r="T252" s="297" t="n"/>
      <c r="U252" s="297" t="n"/>
    </row>
    <row r="253" customFormat="1" s="106">
      <c r="A253" s="174" t="n"/>
      <c r="B253" s="298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97" t="n"/>
      <c r="P253" s="297" t="n"/>
      <c r="Q253" s="297" t="n"/>
      <c r="R253" s="297" t="n"/>
      <c r="S253" s="297" t="n"/>
      <c r="T253" s="297" t="n"/>
      <c r="U253" s="297" t="n"/>
    </row>
    <row r="254" customFormat="1" s="106">
      <c r="A254" s="174" t="n"/>
      <c r="B254" s="298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97" t="n"/>
      <c r="P254" s="297" t="n"/>
      <c r="Q254" s="297" t="n"/>
      <c r="R254" s="297" t="n"/>
      <c r="S254" s="297" t="n"/>
      <c r="T254" s="297" t="n"/>
      <c r="U254" s="297" t="n"/>
    </row>
    <row r="255" customFormat="1" s="106">
      <c r="A255" s="174" t="n"/>
      <c r="B255" s="298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97" t="n"/>
      <c r="P255" s="297" t="n"/>
      <c r="Q255" s="297" t="n"/>
      <c r="R255" s="297" t="n"/>
      <c r="S255" s="297" t="n"/>
      <c r="T255" s="297" t="n"/>
      <c r="U255" s="297" t="n"/>
    </row>
    <row r="256" customFormat="1" s="106">
      <c r="A256" s="174" t="n"/>
      <c r="B256" s="298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97" t="n"/>
      <c r="P256" s="297" t="n"/>
      <c r="Q256" s="297" t="n"/>
      <c r="R256" s="297" t="n"/>
      <c r="S256" s="297" t="n"/>
      <c r="T256" s="297" t="n"/>
      <c r="U256" s="297" t="n"/>
    </row>
    <row r="257" customFormat="1" s="106">
      <c r="A257" s="174" t="n"/>
      <c r="B257" s="298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97" t="n"/>
      <c r="P257" s="297" t="n"/>
      <c r="Q257" s="297" t="n"/>
      <c r="R257" s="297" t="n"/>
      <c r="S257" s="297" t="n"/>
      <c r="T257" s="297" t="n"/>
      <c r="U257" s="297" t="n"/>
    </row>
    <row r="258" customFormat="1" s="106">
      <c r="A258" s="174" t="n"/>
      <c r="B258" s="298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97" t="n"/>
      <c r="P258" s="297" t="n"/>
      <c r="Q258" s="297" t="n"/>
      <c r="R258" s="297" t="n"/>
      <c r="S258" s="297" t="n"/>
      <c r="T258" s="297" t="n"/>
      <c r="U258" s="297" t="n"/>
    </row>
    <row r="259" customFormat="1" s="106">
      <c r="A259" s="194" t="n"/>
      <c r="B259" s="298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97" t="n"/>
      <c r="P259" s="297" t="n"/>
      <c r="Q259" s="297" t="n"/>
      <c r="R259" s="297" t="n"/>
      <c r="S259" s="297" t="n"/>
      <c r="T259" s="297" t="n"/>
      <c r="U259" s="297" t="n"/>
    </row>
    <row r="260" customFormat="1" s="106">
      <c r="A260" s="194" t="n"/>
      <c r="B260" s="298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97" t="n"/>
      <c r="P260" s="297" t="n"/>
      <c r="Q260" s="297" t="n"/>
      <c r="R260" s="297" t="n"/>
      <c r="S260" s="297" t="n"/>
      <c r="T260" s="297" t="n"/>
      <c r="U260" s="297" t="n"/>
    </row>
    <row r="261" customFormat="1" s="106">
      <c r="A261" s="194" t="n"/>
      <c r="B261" s="298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97" t="n"/>
      <c r="P261" s="297" t="n"/>
      <c r="Q261" s="297" t="n"/>
      <c r="R261" s="297" t="n"/>
      <c r="S261" s="297" t="n"/>
      <c r="T261" s="297" t="n"/>
      <c r="U261" s="297" t="n"/>
    </row>
    <row r="262" customFormat="1" s="106">
      <c r="A262" s="194" t="n"/>
      <c r="B262" s="298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97" t="n"/>
      <c r="P262" s="297" t="n"/>
      <c r="Q262" s="297" t="n"/>
      <c r="R262" s="297" t="n"/>
      <c r="S262" s="297" t="n"/>
      <c r="T262" s="297" t="n"/>
      <c r="U262" s="297" t="n"/>
    </row>
    <row r="263" customFormat="1" s="106">
      <c r="A263" s="194" t="n"/>
      <c r="B263" s="298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97" t="n"/>
      <c r="P263" s="297" t="n"/>
      <c r="Q263" s="297" t="n"/>
      <c r="R263" s="297" t="n"/>
      <c r="S263" s="297" t="n"/>
      <c r="T263" s="297" t="n"/>
      <c r="U263" s="297" t="n"/>
    </row>
    <row r="264" customFormat="1" s="106">
      <c r="A264" s="194" t="n"/>
      <c r="B264" s="298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97" t="n"/>
      <c r="P264" s="297" t="n"/>
      <c r="Q264" s="297" t="n"/>
      <c r="R264" s="297" t="n"/>
      <c r="S264" s="297" t="n"/>
      <c r="T264" s="297" t="n"/>
      <c r="U264" s="297" t="n"/>
    </row>
    <row r="265" customFormat="1" s="106">
      <c r="A265" s="194" t="n"/>
      <c r="B265" s="298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97" t="n"/>
      <c r="P265" s="297" t="n"/>
      <c r="Q265" s="297" t="n"/>
      <c r="R265" s="297" t="n"/>
      <c r="S265" s="297" t="n"/>
      <c r="T265" s="297" t="n"/>
      <c r="U265" s="297" t="n"/>
    </row>
    <row r="266" customFormat="1" s="106">
      <c r="A266" s="194" t="n"/>
      <c r="B266" s="298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97" t="n"/>
      <c r="P266" s="297" t="n"/>
      <c r="Q266" s="297" t="n"/>
      <c r="R266" s="297" t="n"/>
      <c r="S266" s="297" t="n"/>
      <c r="T266" s="297" t="n"/>
      <c r="U266" s="297" t="n"/>
    </row>
    <row r="267" customFormat="1" s="106">
      <c r="A267" s="194" t="n"/>
      <c r="B267" s="298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97" t="n"/>
      <c r="P267" s="297" t="n"/>
      <c r="Q267" s="297" t="n"/>
      <c r="R267" s="297" t="n"/>
      <c r="S267" s="297" t="n"/>
      <c r="T267" s="297" t="n"/>
      <c r="U267" s="297" t="n"/>
    </row>
    <row r="268" customFormat="1" s="106">
      <c r="A268" s="194" t="n"/>
      <c r="B268" s="298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97" t="n"/>
      <c r="P268" s="297" t="n"/>
      <c r="Q268" s="297" t="n"/>
      <c r="R268" s="297" t="n"/>
      <c r="S268" s="297" t="n"/>
      <c r="T268" s="297" t="n"/>
      <c r="U268" s="297" t="n"/>
    </row>
    <row r="269" customFormat="1" s="106">
      <c r="A269" s="194" t="n"/>
      <c r="B269" s="298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97" t="n"/>
      <c r="P269" s="297" t="n"/>
      <c r="Q269" s="297" t="n"/>
      <c r="R269" s="297" t="n"/>
      <c r="S269" s="297" t="n"/>
      <c r="T269" s="297" t="n"/>
      <c r="U269" s="297" t="n"/>
    </row>
    <row r="270" customFormat="1" s="106">
      <c r="A270" s="194" t="n"/>
      <c r="B270" s="298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97" t="n"/>
      <c r="P270" s="297" t="n"/>
      <c r="Q270" s="297" t="n"/>
      <c r="R270" s="297" t="n"/>
      <c r="S270" s="297" t="n"/>
      <c r="T270" s="297" t="n"/>
      <c r="U270" s="297" t="n"/>
    </row>
    <row r="271" customFormat="1" s="106">
      <c r="A271" s="194" t="n"/>
      <c r="B271" s="298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97" t="n"/>
      <c r="P271" s="297" t="n"/>
      <c r="Q271" s="297" t="n"/>
      <c r="R271" s="297" t="n"/>
      <c r="S271" s="297" t="n"/>
      <c r="T271" s="297" t="n"/>
      <c r="U271" s="297" t="n"/>
    </row>
    <row r="272" customFormat="1" s="106">
      <c r="A272" s="194" t="n"/>
      <c r="B272" s="298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97" t="n"/>
      <c r="P272" s="297" t="n"/>
      <c r="Q272" s="297" t="n"/>
      <c r="R272" s="297" t="n"/>
      <c r="S272" s="297" t="n"/>
      <c r="T272" s="297" t="n"/>
      <c r="U272" s="297" t="n"/>
    </row>
    <row r="273" customFormat="1" s="106">
      <c r="A273" s="194" t="n"/>
      <c r="B273" s="298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97" t="n"/>
      <c r="P273" s="297" t="n"/>
      <c r="Q273" s="297" t="n"/>
      <c r="R273" s="297" t="n"/>
      <c r="S273" s="297" t="n"/>
      <c r="T273" s="297" t="n"/>
      <c r="U273" s="297" t="n"/>
    </row>
    <row r="274" customFormat="1" s="106">
      <c r="A274" s="194" t="n"/>
      <c r="B274" s="298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97" t="n"/>
      <c r="P274" s="297" t="n"/>
      <c r="Q274" s="297" t="n"/>
      <c r="R274" s="297" t="n"/>
      <c r="S274" s="297" t="n"/>
      <c r="T274" s="297" t="n"/>
      <c r="U274" s="297" t="n"/>
    </row>
    <row r="275" customFormat="1" s="106">
      <c r="A275" s="194" t="n"/>
      <c r="B275" s="298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97" t="n"/>
      <c r="P275" s="297" t="n"/>
      <c r="Q275" s="297" t="n"/>
      <c r="R275" s="297" t="n"/>
      <c r="S275" s="297" t="n"/>
      <c r="T275" s="297" t="n"/>
      <c r="U275" s="297" t="n"/>
    </row>
    <row r="276" customFormat="1" s="106">
      <c r="A276" s="194" t="n"/>
      <c r="B276" s="298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97" t="n"/>
      <c r="P276" s="297" t="n"/>
      <c r="Q276" s="297" t="n"/>
      <c r="R276" s="297" t="n"/>
      <c r="S276" s="297" t="n"/>
      <c r="T276" s="297" t="n"/>
      <c r="U276" s="297" t="n"/>
    </row>
    <row r="277" customFormat="1" s="106">
      <c r="A277" s="194" t="n"/>
      <c r="B277" s="298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97" t="n"/>
      <c r="P277" s="297" t="n"/>
      <c r="Q277" s="297" t="n"/>
      <c r="R277" s="297" t="n"/>
      <c r="S277" s="297" t="n"/>
      <c r="T277" s="297" t="n"/>
      <c r="U277" s="297" t="n"/>
    </row>
    <row r="278" customFormat="1" s="106">
      <c r="A278" s="194" t="n"/>
      <c r="B278" s="298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97" t="n"/>
      <c r="P278" s="297" t="n"/>
      <c r="Q278" s="297" t="n"/>
      <c r="R278" s="297" t="n"/>
      <c r="S278" s="297" t="n"/>
      <c r="T278" s="297" t="n"/>
      <c r="U278" s="297" t="n"/>
    </row>
    <row r="279" customFormat="1" s="106">
      <c r="A279" s="194" t="n"/>
      <c r="B279" s="298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97" t="n"/>
      <c r="P279" s="297" t="n"/>
      <c r="Q279" s="297" t="n"/>
      <c r="R279" s="297" t="n"/>
      <c r="S279" s="297" t="n"/>
      <c r="T279" s="297" t="n"/>
      <c r="U279" s="297" t="n"/>
    </row>
    <row r="280" customFormat="1" s="106">
      <c r="A280" s="174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97" t="n"/>
      <c r="P280" s="297" t="n"/>
      <c r="Q280" s="297" t="n"/>
      <c r="R280" s="297" t="n"/>
      <c r="S280" s="297" t="n"/>
      <c r="T280" s="297" t="n"/>
      <c r="U280" s="297" t="n"/>
    </row>
    <row r="281" customFormat="1" s="106">
      <c r="A281" s="174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97" t="n"/>
      <c r="P281" s="297" t="n"/>
      <c r="Q281" s="297" t="n"/>
      <c r="R281" s="297" t="n"/>
      <c r="S281" s="297" t="n"/>
      <c r="T281" s="297" t="n"/>
      <c r="U281" s="297" t="n"/>
    </row>
    <row r="282" customFormat="1" s="106">
      <c r="A282" s="174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97" t="n"/>
      <c r="P282" s="297" t="n"/>
      <c r="Q282" s="297" t="n"/>
      <c r="R282" s="297" t="n"/>
      <c r="S282" s="297" t="n"/>
      <c r="T282" s="297" t="n"/>
      <c r="U282" s="297" t="n"/>
    </row>
    <row r="283" customFormat="1" s="106">
      <c r="A283" s="174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97" t="n"/>
      <c r="P283" s="297" t="n"/>
      <c r="Q283" s="297" t="n"/>
      <c r="R283" s="297" t="n"/>
      <c r="S283" s="297" t="n"/>
      <c r="T283" s="297" t="n"/>
      <c r="U283" s="297" t="n"/>
    </row>
    <row r="284" customFormat="1" s="106">
      <c r="A284" s="174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97" t="n"/>
      <c r="P284" s="297" t="n"/>
      <c r="Q284" s="297" t="n"/>
      <c r="R284" s="297" t="n"/>
      <c r="S284" s="297" t="n"/>
      <c r="T284" s="297" t="n"/>
      <c r="U284" s="297" t="n"/>
    </row>
    <row r="285" customFormat="1" s="106">
      <c r="A285" s="174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97" t="n"/>
      <c r="P285" s="297" t="n"/>
      <c r="Q285" s="297" t="n"/>
      <c r="R285" s="297" t="n"/>
      <c r="S285" s="297" t="n"/>
      <c r="T285" s="297" t="n"/>
      <c r="U285" s="297" t="n"/>
    </row>
    <row r="286" customFormat="1" s="106">
      <c r="A286" s="174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97" t="n"/>
      <c r="P286" s="297" t="n"/>
      <c r="Q286" s="297" t="n"/>
      <c r="R286" s="297" t="n"/>
      <c r="S286" s="297" t="n"/>
      <c r="T286" s="297" t="n"/>
      <c r="U286" s="297" t="n"/>
    </row>
    <row r="287" customFormat="1" s="106">
      <c r="A287" s="174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97" t="n"/>
      <c r="P287" s="297" t="n"/>
      <c r="Q287" s="297" t="n"/>
      <c r="R287" s="297" t="n"/>
      <c r="S287" s="297" t="n"/>
      <c r="T287" s="297" t="n"/>
      <c r="U287" s="297" t="n"/>
    </row>
    <row r="288" customFormat="1" s="106">
      <c r="A288" s="174" t="n"/>
      <c r="B288" s="298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97" t="n"/>
      <c r="P288" s="297" t="n"/>
      <c r="Q288" s="297" t="n"/>
      <c r="R288" s="297" t="n"/>
      <c r="S288" s="297" t="n"/>
      <c r="T288" s="297" t="n"/>
      <c r="U288" s="297" t="n"/>
    </row>
    <row r="289" customFormat="1" s="106">
      <c r="A289" s="174" t="n"/>
      <c r="B289" s="298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97" t="n"/>
      <c r="P289" s="297" t="n"/>
      <c r="Q289" s="297" t="n"/>
      <c r="R289" s="297" t="n"/>
      <c r="S289" s="297" t="n"/>
      <c r="T289" s="297" t="n"/>
      <c r="U289" s="297" t="n"/>
    </row>
    <row r="290" customFormat="1" s="106">
      <c r="A290" s="174" t="n"/>
      <c r="B290" s="298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97" t="n"/>
      <c r="P290" s="297" t="n"/>
      <c r="Q290" s="297" t="n"/>
      <c r="R290" s="297" t="n"/>
      <c r="S290" s="297" t="n"/>
      <c r="T290" s="297" t="n"/>
      <c r="U290" s="297" t="n"/>
    </row>
    <row r="291" customFormat="1" s="106">
      <c r="A291" s="174" t="n"/>
      <c r="B291" s="298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97" t="n"/>
      <c r="P291" s="297" t="n"/>
      <c r="Q291" s="297" t="n"/>
      <c r="R291" s="297" t="n"/>
      <c r="S291" s="297" t="n"/>
      <c r="T291" s="297" t="n"/>
      <c r="U291" s="297" t="n"/>
    </row>
    <row r="292" customFormat="1" s="106">
      <c r="A292" s="174" t="n"/>
      <c r="B292" s="298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97" t="n"/>
      <c r="P292" s="297" t="n"/>
      <c r="Q292" s="297" t="n"/>
      <c r="R292" s="297" t="n"/>
      <c r="S292" s="297" t="n"/>
      <c r="T292" s="297" t="n"/>
      <c r="U292" s="297" t="n"/>
    </row>
    <row r="293" customFormat="1" s="106">
      <c r="A293" s="174" t="n"/>
      <c r="B293" s="298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97" t="n"/>
      <c r="P293" s="297" t="n"/>
      <c r="Q293" s="297" t="n"/>
      <c r="R293" s="297" t="n"/>
      <c r="S293" s="297" t="n"/>
      <c r="T293" s="297" t="n"/>
      <c r="U293" s="297" t="n"/>
    </row>
    <row r="294" customFormat="1" s="106">
      <c r="A294" s="174" t="n"/>
      <c r="B294" s="298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97" t="n"/>
      <c r="P294" s="297" t="n"/>
      <c r="Q294" s="297" t="n"/>
      <c r="R294" s="297" t="n"/>
      <c r="S294" s="297" t="n"/>
      <c r="T294" s="297" t="n"/>
      <c r="U294" s="297" t="n"/>
    </row>
    <row r="295" customFormat="1" s="106">
      <c r="A295" s="174" t="n"/>
      <c r="B295" s="298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97" t="n"/>
      <c r="P295" s="297" t="n"/>
      <c r="Q295" s="297" t="n"/>
      <c r="R295" s="297" t="n"/>
      <c r="S295" s="297" t="n"/>
      <c r="T295" s="297" t="n"/>
      <c r="U295" s="297" t="n"/>
    </row>
    <row r="296" customFormat="1" s="106">
      <c r="A296" s="174" t="n"/>
      <c r="B296" s="298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97" t="n"/>
      <c r="P296" s="297" t="n"/>
      <c r="Q296" s="297" t="n"/>
      <c r="R296" s="297" t="n"/>
      <c r="S296" s="297" t="n"/>
      <c r="T296" s="297" t="n"/>
      <c r="U296" s="297" t="n"/>
    </row>
    <row r="297" customFormat="1" s="106">
      <c r="A297" s="174" t="n"/>
      <c r="B297" s="298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97" t="n"/>
      <c r="P297" s="297" t="n"/>
      <c r="Q297" s="297" t="n"/>
      <c r="R297" s="297" t="n"/>
      <c r="S297" s="297" t="n"/>
      <c r="T297" s="297" t="n"/>
      <c r="U297" s="297" t="n"/>
    </row>
    <row r="298" customFormat="1" s="106">
      <c r="A298" s="174" t="n"/>
      <c r="B298" s="298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97" t="n"/>
      <c r="P298" s="297" t="n"/>
      <c r="Q298" s="297" t="n"/>
      <c r="R298" s="297" t="n"/>
      <c r="S298" s="297" t="n"/>
      <c r="T298" s="297" t="n"/>
      <c r="U298" s="297" t="n"/>
    </row>
    <row r="299" customFormat="1" s="106">
      <c r="A299" s="174" t="n"/>
      <c r="B299" s="298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97" t="n"/>
      <c r="P299" s="297" t="n"/>
      <c r="Q299" s="297" t="n"/>
      <c r="R299" s="297" t="n"/>
      <c r="S299" s="297" t="n"/>
      <c r="T299" s="297" t="n"/>
      <c r="U299" s="297" t="n"/>
    </row>
    <row r="300" customFormat="1" s="106">
      <c r="A300" s="174" t="n"/>
      <c r="B300" s="298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97" t="n"/>
      <c r="P300" s="297" t="n"/>
      <c r="Q300" s="297" t="n"/>
      <c r="R300" s="297" t="n"/>
      <c r="S300" s="297" t="n"/>
      <c r="T300" s="297" t="n"/>
      <c r="U300" s="297" t="n"/>
    </row>
    <row r="301" customFormat="1" s="106">
      <c r="A301" s="174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97" t="n"/>
      <c r="P301" s="297" t="n"/>
      <c r="Q301" s="297" t="n"/>
      <c r="R301" s="297" t="n"/>
      <c r="S301" s="297" t="n"/>
      <c r="T301" s="297" t="n"/>
      <c r="U301" s="297" t="n"/>
    </row>
    <row r="302" customFormat="1" s="106">
      <c r="A302" s="174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97" t="n"/>
      <c r="P302" s="297" t="n"/>
      <c r="Q302" s="297" t="n"/>
      <c r="R302" s="297" t="n"/>
      <c r="S302" s="297" t="n"/>
      <c r="T302" s="297" t="n"/>
      <c r="U302" s="297" t="n"/>
    </row>
    <row r="303" customFormat="1" s="106">
      <c r="A303" s="174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97" t="n"/>
      <c r="P303" s="297" t="n"/>
      <c r="Q303" s="297" t="n"/>
      <c r="R303" s="297" t="n"/>
      <c r="S303" s="297" t="n"/>
      <c r="T303" s="297" t="n"/>
      <c r="U303" s="297" t="n"/>
    </row>
    <row r="304" customFormat="1" s="106">
      <c r="A304" s="174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97" t="n"/>
      <c r="P304" s="297" t="n"/>
      <c r="Q304" s="297" t="n"/>
      <c r="R304" s="297" t="n"/>
      <c r="S304" s="297" t="n"/>
      <c r="T304" s="297" t="n"/>
      <c r="U304" s="297" t="n"/>
    </row>
    <row r="305" customFormat="1" s="106">
      <c r="A305" s="174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97" t="n"/>
      <c r="P305" s="297" t="n"/>
      <c r="Q305" s="297" t="n"/>
      <c r="R305" s="297" t="n"/>
      <c r="S305" s="297" t="n"/>
      <c r="T305" s="297" t="n"/>
      <c r="U305" s="297" t="n"/>
    </row>
    <row r="306" customFormat="1" s="106">
      <c r="A306" s="174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97" t="n"/>
      <c r="P306" s="297" t="n"/>
      <c r="Q306" s="297" t="n"/>
      <c r="R306" s="297" t="n"/>
      <c r="S306" s="297" t="n"/>
      <c r="T306" s="297" t="n"/>
      <c r="U306" s="297" t="n"/>
    </row>
    <row r="307" customFormat="1" s="106">
      <c r="A307" s="174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97" t="n"/>
      <c r="P307" s="297" t="n"/>
      <c r="Q307" s="297" t="n"/>
      <c r="R307" s="297" t="n"/>
      <c r="S307" s="297" t="n"/>
      <c r="T307" s="297" t="n"/>
      <c r="U307" s="297" t="n"/>
    </row>
    <row r="308" customFormat="1" s="106">
      <c r="A308" s="174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97" t="n"/>
      <c r="P308" s="297" t="n"/>
      <c r="Q308" s="297" t="n"/>
      <c r="R308" s="297" t="n"/>
      <c r="S308" s="297" t="n"/>
      <c r="T308" s="297" t="n"/>
      <c r="U308" s="297" t="n"/>
    </row>
    <row r="309" customFormat="1" s="106">
      <c r="A309" s="174" t="n"/>
      <c r="B309" s="298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97" t="n"/>
      <c r="P309" s="297" t="n"/>
      <c r="Q309" s="297" t="n"/>
      <c r="R309" s="297" t="n"/>
      <c r="S309" s="297" t="n"/>
      <c r="T309" s="297" t="n"/>
      <c r="U309" s="297" t="n"/>
    </row>
    <row r="310" customFormat="1" s="106">
      <c r="A310" s="174" t="n"/>
      <c r="B310" s="298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97" t="n"/>
      <c r="P310" s="297" t="n"/>
      <c r="Q310" s="297" t="n"/>
      <c r="R310" s="297" t="n"/>
      <c r="S310" s="297" t="n"/>
      <c r="T310" s="297" t="n"/>
      <c r="U310" s="297" t="n"/>
    </row>
    <row r="311" customFormat="1" s="106">
      <c r="A311" s="174" t="n"/>
      <c r="B311" s="298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97" t="n"/>
      <c r="P311" s="297" t="n"/>
      <c r="Q311" s="297" t="n"/>
      <c r="R311" s="297" t="n"/>
      <c r="S311" s="297" t="n"/>
      <c r="T311" s="297" t="n"/>
      <c r="U311" s="297" t="n"/>
    </row>
    <row r="312" customFormat="1" s="106">
      <c r="A312" s="174" t="n"/>
      <c r="B312" s="298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97" t="n"/>
      <c r="P312" s="297" t="n"/>
      <c r="Q312" s="297" t="n"/>
      <c r="R312" s="297" t="n"/>
      <c r="S312" s="297" t="n"/>
      <c r="T312" s="297" t="n"/>
      <c r="U312" s="297" t="n"/>
    </row>
    <row r="313" customFormat="1" s="106">
      <c r="A313" s="174" t="n"/>
      <c r="B313" s="298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97" t="n"/>
      <c r="P313" s="297" t="n"/>
      <c r="Q313" s="297" t="n"/>
      <c r="R313" s="297" t="n"/>
      <c r="S313" s="297" t="n"/>
      <c r="T313" s="297" t="n"/>
      <c r="U313" s="297" t="n"/>
    </row>
    <row r="314" customFormat="1" s="106">
      <c r="A314" s="174" t="n"/>
      <c r="B314" s="298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97" t="n"/>
      <c r="P314" s="297" t="n"/>
      <c r="Q314" s="297" t="n"/>
      <c r="R314" s="297" t="n"/>
      <c r="S314" s="297" t="n"/>
      <c r="T314" s="297" t="n"/>
      <c r="U314" s="297" t="n"/>
    </row>
    <row r="315" customFormat="1" s="106">
      <c r="A315" s="174" t="n"/>
      <c r="B315" s="298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97" t="n"/>
      <c r="P315" s="297" t="n"/>
      <c r="Q315" s="297" t="n"/>
      <c r="R315" s="297" t="n"/>
      <c r="S315" s="297" t="n"/>
      <c r="T315" s="297" t="n"/>
      <c r="U315" s="297" t="n"/>
    </row>
    <row r="316" customFormat="1" s="106">
      <c r="A316" s="174" t="n"/>
      <c r="B316" s="298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97" t="n"/>
      <c r="P316" s="297" t="n"/>
      <c r="Q316" s="297" t="n"/>
      <c r="R316" s="297" t="n"/>
      <c r="S316" s="297" t="n"/>
      <c r="T316" s="297" t="n"/>
      <c r="U316" s="297" t="n"/>
    </row>
    <row r="317" customFormat="1" s="106">
      <c r="A317" s="174" t="n"/>
      <c r="B317" s="298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97" t="n"/>
      <c r="P317" s="297" t="n"/>
      <c r="Q317" s="297" t="n"/>
      <c r="R317" s="297" t="n"/>
      <c r="S317" s="297" t="n"/>
      <c r="T317" s="297" t="n"/>
      <c r="U317" s="297" t="n"/>
    </row>
    <row r="318" customFormat="1" s="106">
      <c r="A318" s="174" t="n"/>
      <c r="B318" s="298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97" t="n"/>
      <c r="P318" s="297" t="n"/>
      <c r="Q318" s="297" t="n"/>
      <c r="R318" s="297" t="n"/>
      <c r="S318" s="297" t="n"/>
      <c r="T318" s="297" t="n"/>
      <c r="U318" s="297" t="n"/>
    </row>
    <row r="319" customFormat="1" s="106">
      <c r="A319" s="174" t="n"/>
      <c r="B319" s="298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97" t="n"/>
      <c r="P319" s="297" t="n"/>
      <c r="Q319" s="297" t="n"/>
      <c r="R319" s="297" t="n"/>
      <c r="S319" s="297" t="n"/>
      <c r="T319" s="297" t="n"/>
      <c r="U319" s="297" t="n"/>
    </row>
    <row r="320" customFormat="1" s="106">
      <c r="A320" s="174" t="n"/>
      <c r="B320" s="298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97" t="n"/>
      <c r="P320" s="297" t="n"/>
      <c r="Q320" s="297" t="n"/>
      <c r="R320" s="297" t="n"/>
      <c r="S320" s="297" t="n"/>
      <c r="T320" s="297" t="n"/>
      <c r="U320" s="297" t="n"/>
    </row>
    <row r="321" customFormat="1" s="106">
      <c r="A321" s="174" t="n"/>
      <c r="B321" s="298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97" t="n"/>
      <c r="P321" s="297" t="n"/>
      <c r="Q321" s="297" t="n"/>
      <c r="R321" s="297" t="n"/>
      <c r="S321" s="297" t="n"/>
      <c r="T321" s="297" t="n"/>
      <c r="U321" s="297" t="n"/>
    </row>
    <row r="322" customFormat="1" s="106">
      <c r="A322" s="174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97" t="n"/>
      <c r="P322" s="297" t="n"/>
      <c r="Q322" s="297" t="n"/>
      <c r="R322" s="297" t="n"/>
      <c r="S322" s="297" t="n"/>
      <c r="T322" s="297" t="n"/>
      <c r="U322" s="297" t="n"/>
    </row>
    <row r="323" customFormat="1" s="106">
      <c r="A323" s="174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97" t="n"/>
      <c r="P323" s="297" t="n"/>
      <c r="Q323" s="297" t="n"/>
      <c r="R323" s="297" t="n"/>
      <c r="S323" s="297" t="n"/>
      <c r="T323" s="297" t="n"/>
      <c r="U323" s="297" t="n"/>
    </row>
    <row r="324" customFormat="1" s="106">
      <c r="A324" s="174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97" t="n"/>
      <c r="P324" s="297" t="n"/>
      <c r="Q324" s="297" t="n"/>
      <c r="R324" s="297" t="n"/>
      <c r="S324" s="297" t="n"/>
      <c r="T324" s="297" t="n"/>
      <c r="U324" s="297" t="n"/>
    </row>
    <row r="325" customFormat="1" s="106">
      <c r="A325" s="174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97" t="n"/>
      <c r="P325" s="297" t="n"/>
      <c r="Q325" s="297" t="n"/>
      <c r="R325" s="297" t="n"/>
      <c r="S325" s="297" t="n"/>
      <c r="T325" s="297" t="n"/>
      <c r="U325" s="297" t="n"/>
    </row>
    <row r="326" customFormat="1" s="106">
      <c r="A326" s="174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97" t="n"/>
      <c r="P326" s="297" t="n"/>
      <c r="Q326" s="297" t="n"/>
      <c r="R326" s="297" t="n"/>
      <c r="S326" s="297" t="n"/>
      <c r="T326" s="297" t="n"/>
      <c r="U326" s="297" t="n"/>
    </row>
    <row r="327" customFormat="1" s="106">
      <c r="A327" s="174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97" t="n"/>
      <c r="P327" s="297" t="n"/>
      <c r="Q327" s="297" t="n"/>
      <c r="R327" s="297" t="n"/>
      <c r="S327" s="297" t="n"/>
      <c r="T327" s="297" t="n"/>
      <c r="U327" s="297" t="n"/>
    </row>
    <row r="328" customFormat="1" s="106">
      <c r="A328" s="174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97" t="n"/>
      <c r="P328" s="297" t="n"/>
      <c r="Q328" s="297" t="n"/>
      <c r="R328" s="297" t="n"/>
      <c r="S328" s="297" t="n"/>
      <c r="T328" s="297" t="n"/>
      <c r="U328" s="297" t="n"/>
    </row>
    <row r="329" customFormat="1" s="106">
      <c r="A329" s="174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97" t="n"/>
      <c r="P329" s="297" t="n"/>
      <c r="Q329" s="297" t="n"/>
      <c r="R329" s="297" t="n"/>
      <c r="S329" s="297" t="n"/>
      <c r="T329" s="297" t="n"/>
      <c r="U329" s="297" t="n"/>
    </row>
    <row r="330" customFormat="1" s="106">
      <c r="A330" s="174" t="n"/>
      <c r="B330" s="298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97" t="n"/>
      <c r="P330" s="297" t="n"/>
      <c r="Q330" s="297" t="n"/>
      <c r="R330" s="297" t="n"/>
      <c r="S330" s="297" t="n"/>
      <c r="T330" s="297" t="n"/>
      <c r="U330" s="297" t="n"/>
    </row>
    <row r="331" customFormat="1" s="106">
      <c r="A331" s="174" t="n"/>
      <c r="B331" s="298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97" t="n"/>
      <c r="P331" s="297" t="n"/>
      <c r="Q331" s="297" t="n"/>
      <c r="R331" s="297" t="n"/>
      <c r="S331" s="297" t="n"/>
      <c r="T331" s="297" t="n"/>
      <c r="U331" s="297" t="n"/>
    </row>
    <row r="332" customFormat="1" s="106">
      <c r="A332" s="174" t="n"/>
      <c r="B332" s="298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97" t="n"/>
      <c r="P332" s="297" t="n"/>
      <c r="Q332" s="297" t="n"/>
      <c r="R332" s="297" t="n"/>
      <c r="S332" s="297" t="n"/>
      <c r="T332" s="297" t="n"/>
      <c r="U332" s="297" t="n"/>
    </row>
    <row r="333" customFormat="1" s="106">
      <c r="A333" s="174" t="n"/>
      <c r="B333" s="298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97" t="n"/>
      <c r="P333" s="297" t="n"/>
      <c r="Q333" s="297" t="n"/>
      <c r="R333" s="297" t="n"/>
      <c r="S333" s="297" t="n"/>
      <c r="T333" s="297" t="n"/>
      <c r="U333" s="297" t="n"/>
    </row>
    <row r="334" customFormat="1" s="106">
      <c r="A334" s="174" t="n"/>
      <c r="B334" s="298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97" t="n"/>
      <c r="P334" s="297" t="n"/>
      <c r="Q334" s="297" t="n"/>
      <c r="R334" s="297" t="n"/>
      <c r="S334" s="297" t="n"/>
      <c r="T334" s="297" t="n"/>
      <c r="U334" s="297" t="n"/>
    </row>
    <row r="335" customFormat="1" s="106">
      <c r="A335" s="174" t="n"/>
      <c r="B335" s="298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97" t="n"/>
      <c r="P335" s="297" t="n"/>
      <c r="Q335" s="297" t="n"/>
      <c r="R335" s="297" t="n"/>
      <c r="S335" s="297" t="n"/>
      <c r="T335" s="297" t="n"/>
      <c r="U335" s="297" t="n"/>
    </row>
    <row r="336" customFormat="1" s="106">
      <c r="A336" s="174" t="n"/>
      <c r="B336" s="298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97" t="n"/>
      <c r="P336" s="297" t="n"/>
      <c r="Q336" s="297" t="n"/>
      <c r="R336" s="297" t="n"/>
      <c r="S336" s="297" t="n"/>
      <c r="T336" s="297" t="n"/>
      <c r="U336" s="297" t="n"/>
    </row>
    <row r="337" customFormat="1" s="106">
      <c r="A337" s="174" t="n"/>
      <c r="B337" s="298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97" t="n"/>
      <c r="P337" s="297" t="n"/>
      <c r="Q337" s="297" t="n"/>
      <c r="R337" s="297" t="n"/>
      <c r="S337" s="297" t="n"/>
      <c r="T337" s="297" t="n"/>
      <c r="U337" s="297" t="n"/>
    </row>
    <row r="338" customFormat="1" s="106">
      <c r="A338" s="174" t="n"/>
      <c r="B338" s="298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97" t="n"/>
      <c r="P338" s="297" t="n"/>
      <c r="Q338" s="297" t="n"/>
      <c r="R338" s="297" t="n"/>
      <c r="S338" s="297" t="n"/>
      <c r="T338" s="297" t="n"/>
      <c r="U338" s="297" t="n"/>
    </row>
    <row r="339" customFormat="1" s="106">
      <c r="A339" s="174" t="n"/>
      <c r="B339" s="298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97" t="n"/>
      <c r="P339" s="297" t="n"/>
      <c r="Q339" s="297" t="n"/>
      <c r="R339" s="297" t="n"/>
      <c r="S339" s="297" t="n"/>
      <c r="T339" s="297" t="n"/>
      <c r="U339" s="297" t="n"/>
    </row>
    <row r="340" customFormat="1" s="106">
      <c r="A340" s="174" t="n"/>
      <c r="B340" s="298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97" t="n"/>
      <c r="P340" s="297" t="n"/>
      <c r="Q340" s="297" t="n"/>
      <c r="R340" s="297" t="n"/>
      <c r="S340" s="297" t="n"/>
      <c r="T340" s="297" t="n"/>
      <c r="U340" s="297" t="n"/>
    </row>
    <row r="341" customFormat="1" s="106">
      <c r="A341" s="174" t="n"/>
      <c r="B341" s="298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97" t="n"/>
      <c r="P341" s="297" t="n"/>
      <c r="Q341" s="297" t="n"/>
      <c r="R341" s="297" t="n"/>
      <c r="S341" s="297" t="n"/>
      <c r="T341" s="297" t="n"/>
      <c r="U341" s="297" t="n"/>
    </row>
    <row r="342" customFormat="1" s="106">
      <c r="A342" s="174" t="n"/>
      <c r="B342" s="298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97" t="n"/>
      <c r="P342" s="297" t="n"/>
      <c r="Q342" s="297" t="n"/>
      <c r="R342" s="297" t="n"/>
      <c r="S342" s="297" t="n"/>
      <c r="T342" s="297" t="n"/>
      <c r="U342" s="297" t="n"/>
    </row>
    <row r="343">
      <c r="A343" s="174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97" t="n"/>
      <c r="P343" s="297" t="n"/>
      <c r="Q343" s="297" t="n"/>
      <c r="R343" s="297" t="n"/>
      <c r="S343" s="297" t="n"/>
      <c r="T343" s="297" t="n"/>
      <c r="U343" s="297" t="n"/>
    </row>
    <row r="344">
      <c r="A344" s="174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97" t="n"/>
      <c r="P344" s="297" t="n"/>
      <c r="Q344" s="297" t="n"/>
      <c r="R344" s="297" t="n"/>
      <c r="S344" s="297" t="n"/>
      <c r="T344" s="297" t="n"/>
      <c r="U344" s="297" t="n"/>
    </row>
    <row r="345">
      <c r="A345" s="174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97" t="n"/>
      <c r="P345" s="297" t="n"/>
      <c r="Q345" s="297" t="n"/>
      <c r="R345" s="297" t="n"/>
      <c r="S345" s="297" t="n"/>
      <c r="T345" s="297" t="n"/>
      <c r="U345" s="297" t="n"/>
    </row>
    <row r="346">
      <c r="A346" s="174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97" t="n"/>
      <c r="P346" s="297" t="n"/>
      <c r="Q346" s="297" t="n"/>
      <c r="R346" s="297" t="n"/>
      <c r="S346" s="297" t="n"/>
      <c r="T346" s="297" t="n"/>
      <c r="U346" s="297" t="n"/>
    </row>
    <row r="347">
      <c r="A347" s="174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97" t="n"/>
      <c r="P347" s="297" t="n"/>
      <c r="Q347" s="297" t="n"/>
      <c r="R347" s="297" t="n"/>
      <c r="S347" s="297" t="n"/>
      <c r="T347" s="297" t="n"/>
      <c r="U347" s="297" t="n"/>
    </row>
    <row r="348">
      <c r="A348" s="174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97" t="n"/>
      <c r="P348" s="297" t="n"/>
      <c r="Q348" s="297" t="n"/>
      <c r="R348" s="297" t="n"/>
      <c r="S348" s="297" t="n"/>
      <c r="T348" s="297" t="n"/>
      <c r="U348" s="297" t="n"/>
    </row>
    <row r="349">
      <c r="A349" s="174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97" t="n"/>
      <c r="P349" s="297" t="n"/>
      <c r="Q349" s="297" t="n"/>
      <c r="R349" s="297" t="n"/>
      <c r="S349" s="297" t="n"/>
      <c r="T349" s="297" t="n"/>
      <c r="U349" s="297" t="n"/>
    </row>
    <row r="350">
      <c r="A350" s="174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97" t="n"/>
      <c r="P350" s="297" t="n"/>
      <c r="Q350" s="297" t="n"/>
      <c r="R350" s="297" t="n"/>
      <c r="S350" s="297" t="n"/>
      <c r="T350" s="297" t="n"/>
      <c r="U350" s="297" t="n"/>
    </row>
    <row r="351">
      <c r="A351" s="174" t="n"/>
      <c r="B351" s="298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97" t="n"/>
      <c r="P351" s="297" t="n"/>
      <c r="Q351" s="297" t="n"/>
      <c r="R351" s="297" t="n"/>
      <c r="S351" s="297" t="n"/>
      <c r="T351" s="297" t="n"/>
      <c r="U351" s="297" t="n"/>
    </row>
    <row r="352">
      <c r="A352" s="174" t="n"/>
      <c r="B352" s="298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97" t="n"/>
      <c r="P352" s="297" t="n"/>
      <c r="Q352" s="297" t="n"/>
      <c r="R352" s="297" t="n"/>
      <c r="S352" s="297" t="n"/>
      <c r="T352" s="297" t="n"/>
      <c r="U352" s="297" t="n"/>
    </row>
    <row r="353">
      <c r="A353" s="174" t="n"/>
      <c r="B353" s="298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97" t="n"/>
      <c r="P353" s="297" t="n"/>
      <c r="Q353" s="297" t="n"/>
      <c r="R353" s="297" t="n"/>
      <c r="S353" s="297" t="n"/>
      <c r="T353" s="297" t="n"/>
      <c r="U353" s="297" t="n"/>
    </row>
    <row r="354">
      <c r="A354" s="174" t="n"/>
      <c r="B354" s="298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97" t="n"/>
      <c r="P354" s="297" t="n"/>
      <c r="Q354" s="297" t="n"/>
      <c r="R354" s="297" t="n"/>
      <c r="S354" s="297" t="n"/>
      <c r="T354" s="297" t="n"/>
      <c r="U354" s="297" t="n"/>
    </row>
    <row r="355">
      <c r="A355" s="174" t="n"/>
      <c r="B355" s="298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97" t="n"/>
      <c r="P355" s="297" t="n"/>
      <c r="Q355" s="297" t="n"/>
      <c r="R355" s="297" t="n"/>
      <c r="S355" s="297" t="n"/>
      <c r="T355" s="297" t="n"/>
      <c r="U355" s="297" t="n"/>
    </row>
    <row r="356">
      <c r="A356" s="174" t="n"/>
      <c r="B356" s="298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97" t="n"/>
      <c r="P356" s="297" t="n"/>
      <c r="Q356" s="297" t="n"/>
      <c r="R356" s="297" t="n"/>
      <c r="S356" s="297" t="n"/>
      <c r="T356" s="297" t="n"/>
      <c r="U356" s="297" t="n"/>
    </row>
    <row r="357">
      <c r="A357" s="174" t="n"/>
      <c r="B357" s="298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97" t="n"/>
      <c r="P357" s="297" t="n"/>
      <c r="Q357" s="297" t="n"/>
      <c r="R357" s="297" t="n"/>
      <c r="S357" s="297" t="n"/>
      <c r="T357" s="297" t="n"/>
      <c r="U357" s="297" t="n"/>
    </row>
    <row r="358">
      <c r="A358" s="174" t="n"/>
      <c r="B358" s="298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97" t="n"/>
      <c r="P358" s="297" t="n"/>
      <c r="Q358" s="297" t="n"/>
      <c r="R358" s="297" t="n"/>
      <c r="S358" s="297" t="n"/>
      <c r="T358" s="297" t="n"/>
      <c r="U358" s="297" t="n"/>
    </row>
    <row r="359">
      <c r="A359" s="174" t="n"/>
      <c r="B359" s="298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97" t="n"/>
      <c r="P359" s="297" t="n"/>
      <c r="Q359" s="297" t="n"/>
      <c r="R359" s="297" t="n"/>
      <c r="S359" s="297" t="n"/>
      <c r="T359" s="297" t="n"/>
      <c r="U359" s="297" t="n"/>
    </row>
    <row r="360">
      <c r="A360" s="174" t="n"/>
      <c r="B360" s="298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97" t="n"/>
      <c r="P360" s="297" t="n"/>
      <c r="Q360" s="297" t="n"/>
      <c r="R360" s="297" t="n"/>
      <c r="S360" s="297" t="n"/>
      <c r="T360" s="297" t="n"/>
      <c r="U360" s="297" t="n"/>
    </row>
    <row r="361">
      <c r="A361" s="174" t="n"/>
      <c r="B361" s="298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97" t="n"/>
      <c r="P361" s="297" t="n"/>
      <c r="Q361" s="297" t="n"/>
      <c r="R361" s="297" t="n"/>
      <c r="S361" s="297" t="n"/>
      <c r="T361" s="297" t="n"/>
      <c r="U361" s="297" t="n"/>
    </row>
    <row r="362">
      <c r="A362" s="174" t="n"/>
      <c r="B362" s="298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97" t="n"/>
      <c r="P362" s="297" t="n"/>
      <c r="Q362" s="297" t="n"/>
      <c r="R362" s="297" t="n"/>
      <c r="S362" s="297" t="n"/>
      <c r="T362" s="297" t="n"/>
      <c r="U362" s="297" t="n"/>
    </row>
    <row r="363">
      <c r="A363" s="174" t="n"/>
      <c r="B363" s="298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97" t="n"/>
      <c r="P363" s="297" t="n"/>
      <c r="Q363" s="297" t="n"/>
      <c r="R363" s="297" t="n"/>
      <c r="S363" s="297" t="n"/>
      <c r="T363" s="297" t="n"/>
      <c r="U363" s="297" t="n"/>
    </row>
    <row r="364">
      <c r="A364" s="174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97" t="n"/>
      <c r="P364" s="297" t="n"/>
      <c r="Q364" s="297" t="n"/>
      <c r="R364" s="297" t="n"/>
      <c r="S364" s="297" t="n"/>
      <c r="T364" s="297" t="n"/>
      <c r="U364" s="297" t="n"/>
    </row>
    <row r="365">
      <c r="A365" s="174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97" t="n"/>
      <c r="P365" s="297" t="n"/>
      <c r="Q365" s="297" t="n"/>
      <c r="R365" s="297" t="n"/>
      <c r="S365" s="297" t="n"/>
      <c r="T365" s="297" t="n"/>
      <c r="U365" s="297" t="n"/>
    </row>
    <row r="366">
      <c r="A366" s="174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97" t="n"/>
      <c r="P366" s="297" t="n"/>
      <c r="Q366" s="297" t="n"/>
      <c r="R366" s="297" t="n"/>
      <c r="S366" s="297" t="n"/>
      <c r="T366" s="297" t="n"/>
      <c r="U366" s="297" t="n"/>
    </row>
    <row r="367">
      <c r="A367" s="174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97" t="n"/>
      <c r="P367" s="297" t="n"/>
      <c r="Q367" s="297" t="n"/>
      <c r="R367" s="297" t="n"/>
      <c r="S367" s="297" t="n"/>
      <c r="T367" s="297" t="n"/>
      <c r="U367" s="297" t="n"/>
    </row>
    <row r="368">
      <c r="A368" s="174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97" t="n"/>
      <c r="P368" s="297" t="n"/>
      <c r="Q368" s="297" t="n"/>
      <c r="R368" s="297" t="n"/>
      <c r="S368" s="297" t="n"/>
      <c r="T368" s="297" t="n"/>
      <c r="U368" s="297" t="n"/>
    </row>
    <row r="369">
      <c r="A369" s="174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97" t="n"/>
      <c r="P369" s="297" t="n"/>
      <c r="Q369" s="297" t="n"/>
      <c r="R369" s="297" t="n"/>
      <c r="S369" s="297" t="n"/>
      <c r="T369" s="297" t="n"/>
      <c r="U369" s="297" t="n"/>
    </row>
    <row r="370">
      <c r="A370" s="174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97" t="n"/>
      <c r="P370" s="297" t="n"/>
      <c r="Q370" s="297" t="n"/>
      <c r="R370" s="297" t="n"/>
      <c r="S370" s="297" t="n"/>
      <c r="T370" s="297" t="n"/>
      <c r="U370" s="297" t="n"/>
    </row>
    <row r="371">
      <c r="A371" s="174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97" t="n"/>
      <c r="P371" s="297" t="n"/>
      <c r="Q371" s="297" t="n"/>
      <c r="R371" s="297" t="n"/>
      <c r="S371" s="297" t="n"/>
      <c r="T371" s="297" t="n"/>
      <c r="U371" s="297" t="n"/>
    </row>
    <row r="372">
      <c r="A372" s="174" t="n"/>
      <c r="B372" s="299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97" t="n"/>
      <c r="P372" s="297" t="n"/>
      <c r="Q372" s="297" t="n"/>
      <c r="R372" s="297" t="n"/>
      <c r="S372" s="297" t="n"/>
      <c r="T372" s="297" t="n"/>
      <c r="U372" s="297" t="n"/>
    </row>
    <row r="373">
      <c r="A373" s="174" t="n"/>
      <c r="B373" s="299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97" t="n"/>
      <c r="P373" s="297" t="n"/>
      <c r="Q373" s="297" t="n"/>
      <c r="R373" s="297" t="n"/>
      <c r="S373" s="297" t="n"/>
      <c r="T373" s="297" t="n"/>
      <c r="U373" s="297" t="n"/>
    </row>
    <row r="374">
      <c r="A374" s="174" t="n"/>
      <c r="B374" s="299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97" t="n"/>
      <c r="P374" s="297" t="n"/>
      <c r="Q374" s="297" t="n"/>
      <c r="R374" s="297" t="n"/>
      <c r="S374" s="297" t="n"/>
      <c r="T374" s="297" t="n"/>
      <c r="U374" s="297" t="n"/>
    </row>
    <row r="375">
      <c r="A375" s="174" t="n"/>
      <c r="B375" s="299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97" t="n"/>
      <c r="P375" s="297" t="n"/>
      <c r="Q375" s="297" t="n"/>
      <c r="R375" s="297" t="n"/>
      <c r="S375" s="297" t="n"/>
      <c r="T375" s="297" t="n"/>
      <c r="U375" s="297" t="n"/>
    </row>
    <row r="376">
      <c r="A376" s="174" t="n"/>
      <c r="B376" s="299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97" t="n"/>
      <c r="P376" s="297" t="n"/>
      <c r="Q376" s="297" t="n"/>
      <c r="R376" s="297" t="n"/>
      <c r="S376" s="297" t="n"/>
      <c r="T376" s="297" t="n"/>
      <c r="U376" s="297" t="n"/>
    </row>
    <row r="377">
      <c r="A377" s="174" t="n"/>
      <c r="B377" s="299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97" t="n"/>
      <c r="P377" s="297" t="n"/>
      <c r="Q377" s="297" t="n"/>
      <c r="R377" s="297" t="n"/>
      <c r="S377" s="297" t="n"/>
      <c r="T377" s="297" t="n"/>
      <c r="U377" s="297" t="n"/>
    </row>
    <row r="378">
      <c r="A378" s="174" t="n"/>
      <c r="B378" s="299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97" t="n"/>
      <c r="P378" s="297" t="n"/>
      <c r="Q378" s="297" t="n"/>
      <c r="R378" s="297" t="n"/>
      <c r="S378" s="297" t="n"/>
      <c r="T378" s="297" t="n"/>
      <c r="U378" s="297" t="n"/>
    </row>
    <row r="379">
      <c r="A379" s="174" t="n"/>
      <c r="B379" s="299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97" t="n"/>
      <c r="P379" s="297" t="n"/>
      <c r="Q379" s="297" t="n"/>
      <c r="R379" s="297" t="n"/>
      <c r="S379" s="297" t="n"/>
      <c r="T379" s="297" t="n"/>
      <c r="U379" s="297" t="n"/>
    </row>
    <row r="380">
      <c r="A380" s="174" t="n"/>
      <c r="B380" s="299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97" t="n"/>
      <c r="P380" s="297" t="n"/>
      <c r="Q380" s="297" t="n"/>
      <c r="R380" s="297" t="n"/>
      <c r="S380" s="297" t="n"/>
      <c r="T380" s="297" t="n"/>
      <c r="U380" s="297" t="n"/>
    </row>
    <row r="381">
      <c r="A381" s="174" t="n"/>
      <c r="B381" s="299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97" t="n"/>
      <c r="P381" s="297" t="n"/>
      <c r="Q381" s="297" t="n"/>
      <c r="R381" s="297" t="n"/>
      <c r="S381" s="297" t="n"/>
      <c r="T381" s="297" t="n"/>
      <c r="U381" s="297" t="n"/>
    </row>
    <row r="382">
      <c r="A382" s="174" t="n"/>
      <c r="B382" s="299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97" t="n"/>
      <c r="P382" s="297" t="n"/>
      <c r="Q382" s="297" t="n"/>
      <c r="R382" s="297" t="n"/>
      <c r="S382" s="297" t="n"/>
      <c r="T382" s="297" t="n"/>
      <c r="U382" s="297" t="n"/>
    </row>
    <row r="383">
      <c r="A383" s="174" t="n"/>
      <c r="B383" s="299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97" t="n"/>
      <c r="P383" s="297" t="n"/>
      <c r="Q383" s="297" t="n"/>
      <c r="R383" s="297" t="n"/>
      <c r="S383" s="297" t="n"/>
      <c r="T383" s="297" t="n"/>
      <c r="U383" s="297" t="n"/>
    </row>
    <row r="384">
      <c r="A384" s="174" t="n"/>
      <c r="B384" s="299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97" t="n"/>
      <c r="P384" s="297" t="n"/>
      <c r="Q384" s="297" t="n"/>
      <c r="R384" s="297" t="n"/>
      <c r="S384" s="297" t="n"/>
      <c r="T384" s="297" t="n"/>
      <c r="U384" s="297" t="n"/>
    </row>
    <row r="385">
      <c r="A385" s="174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97" t="n"/>
      <c r="P385" s="297" t="n"/>
      <c r="Q385" s="297" t="n"/>
      <c r="R385" s="297" t="n"/>
      <c r="S385" s="297" t="n"/>
      <c r="T385" s="297" t="n"/>
      <c r="U385" s="297" t="n"/>
    </row>
    <row r="386">
      <c r="A386" s="174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97" t="n"/>
      <c r="P386" s="297" t="n"/>
      <c r="Q386" s="297" t="n"/>
      <c r="R386" s="297" t="n"/>
      <c r="S386" s="297" t="n"/>
      <c r="T386" s="297" t="n"/>
      <c r="U386" s="297" t="n"/>
    </row>
    <row r="387">
      <c r="A387" s="174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97" t="n"/>
      <c r="P387" s="297" t="n"/>
      <c r="Q387" s="297" t="n"/>
      <c r="R387" s="297" t="n"/>
      <c r="S387" s="297" t="n"/>
      <c r="T387" s="297" t="n"/>
      <c r="U387" s="297" t="n"/>
    </row>
    <row r="388">
      <c r="A388" s="174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97" t="n"/>
      <c r="P388" s="297" t="n"/>
      <c r="Q388" s="297" t="n"/>
      <c r="R388" s="297" t="n"/>
      <c r="S388" s="297" t="n"/>
      <c r="T388" s="297" t="n"/>
      <c r="U388" s="297" t="n"/>
    </row>
    <row r="389">
      <c r="A389" s="174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97" t="n"/>
      <c r="P389" s="297" t="n"/>
      <c r="Q389" s="297" t="n"/>
      <c r="R389" s="297" t="n"/>
      <c r="S389" s="297" t="n"/>
      <c r="T389" s="297" t="n"/>
      <c r="U389" s="297" t="n"/>
    </row>
    <row r="390">
      <c r="A390" s="174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97" t="n"/>
      <c r="P390" s="297" t="n"/>
      <c r="Q390" s="297" t="n"/>
      <c r="R390" s="297" t="n"/>
      <c r="S390" s="297" t="n"/>
      <c r="T390" s="297" t="n"/>
      <c r="U390" s="297" t="n"/>
    </row>
    <row r="391">
      <c r="A391" s="174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97" t="n"/>
      <c r="P391" s="297" t="n"/>
      <c r="Q391" s="297" t="n"/>
      <c r="R391" s="297" t="n"/>
      <c r="S391" s="297" t="n"/>
      <c r="T391" s="297" t="n"/>
      <c r="U391" s="297" t="n"/>
    </row>
    <row r="392">
      <c r="A392" s="174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97" t="n"/>
      <c r="P392" s="297" t="n"/>
      <c r="Q392" s="297" t="n"/>
      <c r="R392" s="297" t="n"/>
      <c r="S392" s="297" t="n"/>
      <c r="T392" s="297" t="n"/>
      <c r="U392" s="297" t="n"/>
    </row>
    <row r="393">
      <c r="A393" s="174" t="n"/>
      <c r="B393" s="299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97" t="n"/>
      <c r="P393" s="297" t="n"/>
      <c r="Q393" s="297" t="n"/>
      <c r="R393" s="297" t="n"/>
      <c r="S393" s="297" t="n"/>
      <c r="T393" s="297" t="n"/>
      <c r="U393" s="297" t="n"/>
    </row>
    <row r="394">
      <c r="A394" s="174" t="n"/>
      <c r="B394" s="299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97" t="n"/>
      <c r="P394" s="297" t="n"/>
      <c r="Q394" s="297" t="n"/>
      <c r="R394" s="297" t="n"/>
      <c r="S394" s="297" t="n"/>
      <c r="T394" s="297" t="n"/>
      <c r="U394" s="297" t="n"/>
    </row>
    <row r="395">
      <c r="A395" s="174" t="n"/>
      <c r="B395" s="299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97" t="n"/>
      <c r="P395" s="297" t="n"/>
      <c r="Q395" s="297" t="n"/>
      <c r="R395" s="297" t="n"/>
      <c r="S395" s="297" t="n"/>
      <c r="T395" s="297" t="n"/>
      <c r="U395" s="297" t="n"/>
    </row>
    <row r="396">
      <c r="A396" s="174" t="n"/>
      <c r="B396" s="299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97" t="n"/>
      <c r="P396" s="297" t="n"/>
      <c r="Q396" s="297" t="n"/>
      <c r="R396" s="297" t="n"/>
      <c r="S396" s="297" t="n"/>
      <c r="T396" s="297" t="n"/>
      <c r="U396" s="297" t="n"/>
    </row>
    <row r="397">
      <c r="A397" s="174" t="n"/>
      <c r="B397" s="299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97" t="n"/>
      <c r="P397" s="297" t="n"/>
      <c r="Q397" s="297" t="n"/>
      <c r="R397" s="297" t="n"/>
      <c r="S397" s="297" t="n"/>
      <c r="T397" s="297" t="n"/>
      <c r="U397" s="297" t="n"/>
    </row>
    <row r="398">
      <c r="A398" s="174" t="n"/>
      <c r="B398" s="299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97" t="n"/>
      <c r="P398" s="297" t="n"/>
      <c r="Q398" s="297" t="n"/>
      <c r="R398" s="297" t="n"/>
      <c r="S398" s="297" t="n"/>
      <c r="T398" s="297" t="n"/>
      <c r="U398" s="297" t="n"/>
    </row>
    <row r="399">
      <c r="A399" s="174" t="n"/>
      <c r="B399" s="299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97" t="n"/>
      <c r="P399" s="297" t="n"/>
      <c r="Q399" s="297" t="n"/>
      <c r="R399" s="297" t="n"/>
      <c r="S399" s="297" t="n"/>
      <c r="T399" s="297" t="n"/>
      <c r="U399" s="297" t="n"/>
    </row>
    <row r="400">
      <c r="A400" s="174" t="n"/>
      <c r="B400" s="299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97" t="n"/>
      <c r="P400" s="297" t="n"/>
      <c r="Q400" s="297" t="n"/>
      <c r="R400" s="297" t="n"/>
      <c r="S400" s="297" t="n"/>
      <c r="T400" s="297" t="n"/>
      <c r="U400" s="297" t="n"/>
    </row>
    <row r="401">
      <c r="A401" s="174" t="n"/>
      <c r="B401" s="299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97" t="n"/>
      <c r="P401" s="297" t="n"/>
      <c r="Q401" s="297" t="n"/>
      <c r="R401" s="297" t="n"/>
      <c r="S401" s="297" t="n"/>
      <c r="T401" s="297" t="n"/>
      <c r="U401" s="297" t="n"/>
    </row>
    <row r="402">
      <c r="A402" s="174" t="n"/>
      <c r="B402" s="299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97" t="n"/>
      <c r="P402" s="297" t="n"/>
      <c r="Q402" s="297" t="n"/>
      <c r="R402" s="297" t="n"/>
      <c r="S402" s="297" t="n"/>
      <c r="T402" s="297" t="n"/>
      <c r="U402" s="297" t="n"/>
    </row>
    <row r="403">
      <c r="A403" s="174" t="n"/>
      <c r="B403" s="299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97" t="n"/>
      <c r="P403" s="297" t="n"/>
      <c r="Q403" s="297" t="n"/>
      <c r="R403" s="297" t="n"/>
      <c r="S403" s="297" t="n"/>
      <c r="T403" s="297" t="n"/>
      <c r="U403" s="297" t="n"/>
    </row>
    <row r="404">
      <c r="A404" s="174" t="n"/>
      <c r="B404" s="299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97" t="n"/>
      <c r="P404" s="297" t="n"/>
      <c r="Q404" s="297" t="n"/>
      <c r="R404" s="297" t="n"/>
      <c r="S404" s="297" t="n"/>
      <c r="T404" s="297" t="n"/>
      <c r="U404" s="297" t="n"/>
    </row>
    <row r="405">
      <c r="A405" s="174" t="n"/>
      <c r="B405" s="300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301" t="n"/>
      <c r="P405" s="301" t="n"/>
      <c r="Q405" s="301" t="n"/>
      <c r="R405" s="301" t="n"/>
      <c r="S405" s="301" t="n"/>
      <c r="T405" s="301" t="n"/>
      <c r="U405" s="301" t="n"/>
    </row>
    <row r="406">
      <c r="A406" s="174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97" t="n"/>
      <c r="P406" s="297" t="n"/>
      <c r="Q406" s="297" t="n"/>
      <c r="R406" s="297" t="n"/>
      <c r="S406" s="297" t="n"/>
      <c r="T406" s="297" t="n"/>
      <c r="U406" s="297" t="n"/>
    </row>
    <row r="407">
      <c r="A407" s="174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97" t="n"/>
      <c r="P407" s="297" t="n"/>
      <c r="Q407" s="297" t="n"/>
      <c r="R407" s="297" t="n"/>
      <c r="S407" s="297" t="n"/>
      <c r="T407" s="297" t="n"/>
      <c r="U407" s="297" t="n"/>
    </row>
    <row r="408">
      <c r="A408" s="174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97" t="n"/>
      <c r="P408" s="297" t="n"/>
      <c r="Q408" s="297" t="n"/>
      <c r="R408" s="297" t="n"/>
      <c r="S408" s="297" t="n"/>
      <c r="T408" s="297" t="n"/>
      <c r="U408" s="297" t="n"/>
    </row>
    <row r="409">
      <c r="A409" s="174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97" t="n"/>
      <c r="P409" s="297" t="n"/>
      <c r="Q409" s="297" t="n"/>
      <c r="R409" s="297" t="n"/>
      <c r="S409" s="297" t="n"/>
      <c r="T409" s="297" t="n"/>
      <c r="U409" s="297" t="n"/>
    </row>
    <row r="410">
      <c r="A410" s="174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97" t="n"/>
      <c r="P410" s="297" t="n"/>
      <c r="Q410" s="297" t="n"/>
      <c r="R410" s="297" t="n"/>
      <c r="S410" s="297" t="n"/>
      <c r="T410" s="297" t="n"/>
      <c r="U410" s="297" t="n"/>
    </row>
    <row r="411">
      <c r="A411" s="174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97" t="n"/>
      <c r="P411" s="297" t="n"/>
      <c r="Q411" s="297" t="n"/>
      <c r="R411" s="297" t="n"/>
      <c r="S411" s="297" t="n"/>
      <c r="T411" s="297" t="n"/>
      <c r="U411" s="297" t="n"/>
    </row>
    <row r="412">
      <c r="A412" s="174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97" t="n"/>
      <c r="P412" s="297" t="n"/>
      <c r="Q412" s="297" t="n"/>
      <c r="R412" s="297" t="n"/>
      <c r="S412" s="297" t="n"/>
      <c r="T412" s="297" t="n"/>
      <c r="U412" s="297" t="n"/>
    </row>
    <row r="413">
      <c r="A413" s="174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97" t="n"/>
      <c r="P413" s="297" t="n"/>
      <c r="Q413" s="297" t="n"/>
      <c r="R413" s="297" t="n"/>
      <c r="S413" s="297" t="n"/>
      <c r="T413" s="297" t="n"/>
      <c r="U413" s="297" t="n"/>
    </row>
    <row r="414">
      <c r="A414" s="174" t="n"/>
      <c r="B414" s="299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97" t="n"/>
      <c r="P414" s="297" t="n"/>
      <c r="Q414" s="297" t="n"/>
      <c r="R414" s="297" t="n"/>
      <c r="S414" s="297" t="n"/>
      <c r="T414" s="297" t="n"/>
      <c r="U414" s="297" t="n"/>
    </row>
    <row r="415">
      <c r="A415" s="174" t="n"/>
      <c r="B415" s="299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97" t="n"/>
      <c r="P415" s="297" t="n"/>
      <c r="Q415" s="297" t="n"/>
      <c r="R415" s="297" t="n"/>
      <c r="S415" s="297" t="n"/>
      <c r="T415" s="297" t="n"/>
      <c r="U415" s="297" t="n"/>
    </row>
    <row r="416">
      <c r="A416" s="174" t="n"/>
      <c r="B416" s="299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97" t="n"/>
      <c r="P416" s="297" t="n"/>
      <c r="Q416" s="297" t="n"/>
      <c r="R416" s="297" t="n"/>
      <c r="S416" s="297" t="n"/>
      <c r="T416" s="297" t="n"/>
      <c r="U416" s="297" t="n"/>
    </row>
    <row r="417">
      <c r="A417" s="174" t="n"/>
      <c r="B417" s="299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97" t="n"/>
      <c r="P417" s="297" t="n"/>
      <c r="Q417" s="297" t="n"/>
      <c r="R417" s="297" t="n"/>
      <c r="S417" s="297" t="n"/>
      <c r="T417" s="297" t="n"/>
      <c r="U417" s="297" t="n"/>
    </row>
    <row r="418">
      <c r="A418" s="174" t="n"/>
      <c r="B418" s="299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97" t="n"/>
      <c r="P418" s="297" t="n"/>
      <c r="Q418" s="297" t="n"/>
      <c r="R418" s="297" t="n"/>
      <c r="S418" s="297" t="n"/>
      <c r="T418" s="297" t="n"/>
      <c r="U418" s="297" t="n"/>
    </row>
    <row r="419">
      <c r="A419" s="174" t="n"/>
      <c r="B419" s="299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97" t="n"/>
      <c r="P419" s="297" t="n"/>
      <c r="Q419" s="297" t="n"/>
      <c r="R419" s="297" t="n"/>
      <c r="S419" s="297" t="n"/>
      <c r="T419" s="297" t="n"/>
      <c r="U419" s="297" t="n"/>
    </row>
    <row r="420">
      <c r="A420" s="174" t="n"/>
      <c r="B420" s="299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97" t="n"/>
      <c r="P420" s="297" t="n"/>
      <c r="Q420" s="297" t="n"/>
      <c r="R420" s="297" t="n"/>
      <c r="S420" s="297" t="n"/>
      <c r="T420" s="297" t="n"/>
      <c r="U420" s="297" t="n"/>
    </row>
    <row r="421">
      <c r="A421" s="174" t="n"/>
      <c r="B421" s="299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97" t="n"/>
      <c r="P421" s="297" t="n"/>
      <c r="Q421" s="297" t="n"/>
      <c r="R421" s="297" t="n"/>
      <c r="S421" s="297" t="n"/>
      <c r="T421" s="297" t="n"/>
      <c r="U421" s="297" t="n"/>
    </row>
    <row r="422">
      <c r="A422" s="174" t="n"/>
      <c r="B422" s="299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97" t="n"/>
      <c r="P422" s="297" t="n"/>
      <c r="Q422" s="297" t="n"/>
      <c r="R422" s="297" t="n"/>
      <c r="S422" s="297" t="n"/>
      <c r="T422" s="297" t="n"/>
      <c r="U422" s="297" t="n"/>
    </row>
    <row r="423">
      <c r="A423" s="174" t="n"/>
      <c r="B423" s="299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97" t="n"/>
      <c r="P423" s="297" t="n"/>
      <c r="Q423" s="297" t="n"/>
      <c r="R423" s="297" t="n"/>
      <c r="S423" s="297" t="n"/>
      <c r="T423" s="297" t="n"/>
      <c r="U423" s="297" t="n"/>
    </row>
    <row r="424">
      <c r="A424" s="174" t="n"/>
      <c r="B424" s="299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97" t="n"/>
      <c r="P424" s="297" t="n"/>
      <c r="Q424" s="297" t="n"/>
      <c r="R424" s="297" t="n"/>
      <c r="S424" s="297" t="n"/>
      <c r="T424" s="297" t="n"/>
      <c r="U424" s="297" t="n"/>
    </row>
    <row r="425">
      <c r="A425" s="174" t="n"/>
      <c r="B425" s="299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97" t="n"/>
      <c r="P425" s="297" t="n"/>
      <c r="Q425" s="297" t="n"/>
      <c r="R425" s="297" t="n"/>
      <c r="S425" s="297" t="n"/>
      <c r="T425" s="297" t="n"/>
      <c r="U425" s="297" t="n"/>
    </row>
    <row r="426">
      <c r="A426" s="174" t="n"/>
      <c r="B426" s="299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97" t="n"/>
      <c r="P426" s="297" t="n"/>
      <c r="Q426" s="297" t="n"/>
      <c r="R426" s="297" t="n"/>
      <c r="S426" s="297" t="n"/>
      <c r="T426" s="297" t="n"/>
      <c r="U426" s="297" t="n"/>
    </row>
    <row r="427">
      <c r="A427" s="194" t="n"/>
      <c r="B427" s="299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97" t="n"/>
      <c r="P427" s="297" t="n"/>
      <c r="Q427" s="297" t="n"/>
      <c r="R427" s="297" t="n"/>
      <c r="S427" s="297" t="n"/>
      <c r="T427" s="297" t="n"/>
      <c r="U427" s="297" t="n"/>
    </row>
    <row r="428">
      <c r="A428" s="194" t="n"/>
      <c r="B428" s="299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97" t="n"/>
      <c r="P428" s="297" t="n"/>
      <c r="Q428" s="297" t="n"/>
      <c r="R428" s="297" t="n"/>
      <c r="S428" s="297" t="n"/>
      <c r="T428" s="297" t="n"/>
      <c r="U428" s="297" t="n"/>
    </row>
    <row r="429">
      <c r="A429" s="194" t="n"/>
      <c r="B429" s="299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97" t="n"/>
      <c r="P429" s="297" t="n"/>
      <c r="Q429" s="297" t="n"/>
      <c r="R429" s="297" t="n"/>
      <c r="S429" s="297" t="n"/>
      <c r="T429" s="297" t="n"/>
      <c r="U429" s="297" t="n"/>
    </row>
    <row r="430">
      <c r="A430" s="194" t="n"/>
      <c r="B430" s="299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97" t="n"/>
      <c r="P430" s="297" t="n"/>
      <c r="Q430" s="297" t="n"/>
      <c r="R430" s="297" t="n"/>
      <c r="S430" s="297" t="n"/>
      <c r="T430" s="297" t="n"/>
      <c r="U430" s="297" t="n"/>
    </row>
    <row r="431">
      <c r="A431" s="194" t="n"/>
      <c r="B431" s="299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97" t="n"/>
      <c r="P431" s="297" t="n"/>
      <c r="Q431" s="297" t="n"/>
      <c r="R431" s="297" t="n"/>
      <c r="S431" s="297" t="n"/>
      <c r="T431" s="297" t="n"/>
      <c r="U431" s="297" t="n"/>
    </row>
    <row r="432">
      <c r="A432" s="194" t="n"/>
      <c r="B432" s="299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97" t="n"/>
      <c r="P432" s="297" t="n"/>
      <c r="Q432" s="297" t="n"/>
      <c r="R432" s="297" t="n"/>
      <c r="S432" s="297" t="n"/>
      <c r="T432" s="297" t="n"/>
      <c r="U432" s="297" t="n"/>
    </row>
    <row r="433">
      <c r="A433" s="194" t="n"/>
      <c r="B433" s="299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97" t="n"/>
      <c r="P433" s="297" t="n"/>
      <c r="Q433" s="297" t="n"/>
      <c r="R433" s="297" t="n"/>
      <c r="S433" s="297" t="n"/>
      <c r="T433" s="297" t="n"/>
      <c r="U433" s="297" t="n"/>
    </row>
    <row r="434">
      <c r="A434" s="194" t="n"/>
      <c r="B434" s="299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97" t="n"/>
      <c r="P434" s="297" t="n"/>
      <c r="Q434" s="297" t="n"/>
      <c r="R434" s="297" t="n"/>
      <c r="S434" s="297" t="n"/>
      <c r="T434" s="297" t="n"/>
      <c r="U434" s="297" t="n"/>
    </row>
    <row r="435">
      <c r="A435" s="194" t="n"/>
      <c r="B435" s="299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97" t="n"/>
      <c r="P435" s="297" t="n"/>
      <c r="Q435" s="297" t="n"/>
      <c r="R435" s="297" t="n"/>
      <c r="S435" s="297" t="n"/>
      <c r="T435" s="297" t="n"/>
      <c r="U435" s="297" t="n"/>
    </row>
    <row r="436">
      <c r="A436" s="194" t="n"/>
      <c r="B436" s="299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97" t="n"/>
      <c r="P436" s="297" t="n"/>
      <c r="Q436" s="297" t="n"/>
      <c r="R436" s="297" t="n"/>
      <c r="S436" s="297" t="n"/>
      <c r="T436" s="297" t="n"/>
      <c r="U436" s="297" t="n"/>
    </row>
    <row r="437">
      <c r="A437" s="194" t="n"/>
      <c r="B437" s="299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97" t="n"/>
      <c r="P437" s="297" t="n"/>
      <c r="Q437" s="297" t="n"/>
      <c r="R437" s="297" t="n"/>
      <c r="S437" s="297" t="n"/>
      <c r="T437" s="297" t="n"/>
      <c r="U437" s="297" t="n"/>
    </row>
    <row r="438">
      <c r="A438" s="194" t="n"/>
      <c r="B438" s="299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97" t="n"/>
      <c r="P438" s="297" t="n"/>
      <c r="Q438" s="297" t="n"/>
      <c r="R438" s="297" t="n"/>
      <c r="S438" s="297" t="n"/>
      <c r="T438" s="297" t="n"/>
      <c r="U438" s="297" t="n"/>
    </row>
    <row r="439">
      <c r="A439" s="194" t="n"/>
      <c r="B439" s="299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97" t="n"/>
      <c r="P439" s="297" t="n"/>
      <c r="Q439" s="297" t="n"/>
      <c r="R439" s="297" t="n"/>
      <c r="S439" s="297" t="n"/>
      <c r="T439" s="297" t="n"/>
      <c r="U439" s="297" t="n"/>
    </row>
    <row r="440">
      <c r="A440" s="194" t="n"/>
      <c r="B440" s="299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97" t="n"/>
      <c r="P440" s="297" t="n"/>
      <c r="Q440" s="297" t="n"/>
      <c r="R440" s="297" t="n"/>
      <c r="S440" s="297" t="n"/>
      <c r="T440" s="297" t="n"/>
      <c r="U440" s="297" t="n"/>
    </row>
    <row r="441">
      <c r="A441" s="194" t="n"/>
      <c r="B441" s="299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97" t="n"/>
      <c r="P441" s="297" t="n"/>
      <c r="Q441" s="297" t="n"/>
      <c r="R441" s="297" t="n"/>
      <c r="S441" s="297" t="n"/>
      <c r="T441" s="297" t="n"/>
      <c r="U441" s="297" t="n"/>
    </row>
    <row r="442">
      <c r="A442" s="194" t="n"/>
      <c r="B442" s="299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97" t="n"/>
      <c r="P442" s="297" t="n"/>
      <c r="Q442" s="297" t="n"/>
      <c r="R442" s="297" t="n"/>
      <c r="S442" s="297" t="n"/>
      <c r="T442" s="297" t="n"/>
      <c r="U442" s="297" t="n"/>
    </row>
    <row r="443">
      <c r="A443" s="194" t="n"/>
      <c r="B443" s="299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97" t="n"/>
      <c r="P443" s="297" t="n"/>
      <c r="Q443" s="297" t="n"/>
      <c r="R443" s="297" t="n"/>
      <c r="S443" s="297" t="n"/>
      <c r="T443" s="297" t="n"/>
      <c r="U443" s="297" t="n"/>
    </row>
    <row r="444">
      <c r="A444" s="194" t="n"/>
      <c r="B444" s="299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97" t="n"/>
      <c r="P444" s="297" t="n"/>
      <c r="Q444" s="297" t="n"/>
      <c r="R444" s="297" t="n"/>
      <c r="S444" s="297" t="n"/>
      <c r="T444" s="297" t="n"/>
      <c r="U444" s="297" t="n"/>
    </row>
    <row r="445">
      <c r="A445" s="194" t="n"/>
      <c r="B445" s="299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97" t="n"/>
      <c r="P445" s="297" t="n"/>
      <c r="Q445" s="297" t="n"/>
      <c r="R445" s="297" t="n"/>
      <c r="S445" s="297" t="n"/>
      <c r="T445" s="297" t="n"/>
      <c r="U445" s="297" t="n"/>
    </row>
    <row r="446">
      <c r="A446" s="194" t="n"/>
      <c r="B446" s="299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97" t="n"/>
      <c r="P446" s="297" t="n"/>
      <c r="Q446" s="297" t="n"/>
      <c r="R446" s="297" t="n"/>
      <c r="S446" s="297" t="n"/>
      <c r="T446" s="297" t="n"/>
      <c r="U446" s="297" t="n"/>
    </row>
    <row r="447">
      <c r="A447" s="194" t="n"/>
      <c r="B447" s="300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301" t="n"/>
      <c r="P447" s="301" t="n"/>
      <c r="Q447" s="301" t="n"/>
      <c r="R447" s="301" t="n"/>
      <c r="S447" s="301" t="n"/>
      <c r="T447" s="301" t="n"/>
      <c r="U447" s="301" t="n"/>
    </row>
    <row r="448">
      <c r="A448" s="174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97" t="n"/>
      <c r="P448" s="297" t="n"/>
      <c r="Q448" s="297" t="n"/>
      <c r="R448" s="297" t="n"/>
      <c r="S448" s="297" t="n"/>
      <c r="T448" s="297" t="n"/>
      <c r="U448" s="297" t="n"/>
    </row>
    <row r="449">
      <c r="A449" s="174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97" t="n"/>
      <c r="P449" s="297" t="n"/>
      <c r="Q449" s="297" t="n"/>
      <c r="R449" s="297" t="n"/>
      <c r="S449" s="297" t="n"/>
      <c r="T449" s="297" t="n"/>
      <c r="U449" s="297" t="n"/>
    </row>
    <row r="450">
      <c r="A450" s="174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97" t="n"/>
      <c r="P450" s="297" t="n"/>
      <c r="Q450" s="297" t="n"/>
      <c r="R450" s="297" t="n"/>
      <c r="S450" s="297" t="n"/>
      <c r="T450" s="297" t="n"/>
      <c r="U450" s="297" t="n"/>
    </row>
    <row r="451">
      <c r="A451" s="174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97" t="n"/>
      <c r="P451" s="297" t="n"/>
      <c r="Q451" s="297" t="n"/>
      <c r="R451" s="297" t="n"/>
      <c r="S451" s="297" t="n"/>
      <c r="T451" s="297" t="n"/>
      <c r="U451" s="297" t="n"/>
    </row>
    <row r="452">
      <c r="A452" s="174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97" t="n"/>
      <c r="P452" s="297" t="n"/>
      <c r="Q452" s="297" t="n"/>
      <c r="R452" s="297" t="n"/>
      <c r="S452" s="297" t="n"/>
      <c r="T452" s="297" t="n"/>
      <c r="U452" s="297" t="n"/>
    </row>
    <row r="453">
      <c r="A453" s="174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97" t="n"/>
      <c r="P453" s="297" t="n"/>
      <c r="Q453" s="297" t="n"/>
      <c r="R453" s="297" t="n"/>
      <c r="S453" s="297" t="n"/>
      <c r="T453" s="297" t="n"/>
      <c r="U453" s="297" t="n"/>
    </row>
    <row r="454">
      <c r="A454" s="174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97" t="n"/>
      <c r="P454" s="297" t="n"/>
      <c r="Q454" s="297" t="n"/>
      <c r="R454" s="297" t="n"/>
      <c r="S454" s="297" t="n"/>
      <c r="T454" s="297" t="n"/>
      <c r="U454" s="297" t="n"/>
    </row>
    <row r="455">
      <c r="A455" s="174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97" t="n"/>
      <c r="P455" s="297" t="n"/>
      <c r="Q455" s="297" t="n"/>
      <c r="R455" s="297" t="n"/>
      <c r="S455" s="297" t="n"/>
      <c r="T455" s="297" t="n"/>
      <c r="U455" s="297" t="n"/>
    </row>
    <row r="456">
      <c r="A456" s="174" t="n"/>
      <c r="B456" s="299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97" t="n"/>
      <c r="P456" s="297" t="n"/>
      <c r="Q456" s="297" t="n"/>
      <c r="R456" s="297" t="n"/>
      <c r="S456" s="297" t="n"/>
      <c r="T456" s="297" t="n"/>
      <c r="U456" s="297" t="n"/>
    </row>
    <row r="457">
      <c r="A457" s="174" t="n"/>
      <c r="B457" s="299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97" t="n"/>
      <c r="P457" s="297" t="n"/>
      <c r="Q457" s="297" t="n"/>
      <c r="R457" s="297" t="n"/>
      <c r="S457" s="297" t="n"/>
      <c r="T457" s="297" t="n"/>
      <c r="U457" s="297" t="n"/>
    </row>
    <row r="458">
      <c r="A458" s="174" t="n"/>
      <c r="B458" s="299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97" t="n"/>
      <c r="P458" s="297" t="n"/>
      <c r="Q458" s="297" t="n"/>
      <c r="R458" s="297" t="n"/>
      <c r="S458" s="297" t="n"/>
      <c r="T458" s="297" t="n"/>
      <c r="U458" s="297" t="n"/>
    </row>
    <row r="459">
      <c r="A459" s="174" t="n"/>
      <c r="B459" s="299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97" t="n"/>
      <c r="P459" s="297" t="n"/>
      <c r="Q459" s="297" t="n"/>
      <c r="R459" s="297" t="n"/>
      <c r="S459" s="297" t="n"/>
      <c r="T459" s="297" t="n"/>
      <c r="U459" s="297" t="n"/>
    </row>
    <row r="460">
      <c r="A460" s="174" t="n"/>
      <c r="B460" s="299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97" t="n"/>
      <c r="P460" s="297" t="n"/>
      <c r="Q460" s="297" t="n"/>
      <c r="R460" s="297" t="n"/>
      <c r="S460" s="297" t="n"/>
      <c r="T460" s="297" t="n"/>
      <c r="U460" s="297" t="n"/>
    </row>
    <row r="461">
      <c r="A461" s="174" t="n"/>
      <c r="B461" s="299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97" t="n"/>
      <c r="P461" s="297" t="n"/>
      <c r="Q461" s="297" t="n"/>
      <c r="R461" s="297" t="n"/>
      <c r="S461" s="297" t="n"/>
      <c r="T461" s="297" t="n"/>
      <c r="U461" s="297" t="n"/>
    </row>
    <row r="462">
      <c r="A462" s="174" t="n"/>
      <c r="B462" s="299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97" t="n"/>
      <c r="P462" s="297" t="n"/>
      <c r="Q462" s="297" t="n"/>
      <c r="R462" s="297" t="n"/>
      <c r="S462" s="297" t="n"/>
      <c r="T462" s="297" t="n"/>
      <c r="U462" s="297" t="n"/>
    </row>
    <row r="463">
      <c r="A463" s="174" t="n"/>
      <c r="B463" s="299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97" t="n"/>
      <c r="P463" s="297" t="n"/>
      <c r="Q463" s="297" t="n"/>
      <c r="R463" s="297" t="n"/>
      <c r="S463" s="297" t="n"/>
      <c r="T463" s="297" t="n"/>
      <c r="U463" s="297" t="n"/>
    </row>
    <row r="464">
      <c r="A464" s="174" t="n"/>
      <c r="B464" s="299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97" t="n"/>
      <c r="P464" s="297" t="n"/>
      <c r="Q464" s="297" t="n"/>
      <c r="R464" s="297" t="n"/>
      <c r="S464" s="297" t="n"/>
      <c r="T464" s="297" t="n"/>
      <c r="U464" s="297" t="n"/>
    </row>
    <row r="465">
      <c r="A465" s="174" t="n"/>
      <c r="B465" s="299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97" t="n"/>
      <c r="P465" s="297" t="n"/>
      <c r="Q465" s="297" t="n"/>
      <c r="R465" s="297" t="n"/>
      <c r="S465" s="297" t="n"/>
      <c r="T465" s="297" t="n"/>
      <c r="U465" s="297" t="n"/>
    </row>
    <row r="466">
      <c r="A466" s="174" t="n"/>
      <c r="B466" s="299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97" t="n"/>
      <c r="P466" s="297" t="n"/>
      <c r="Q466" s="297" t="n"/>
      <c r="R466" s="297" t="n"/>
      <c r="S466" s="297" t="n"/>
      <c r="T466" s="297" t="n"/>
      <c r="U466" s="297" t="n"/>
    </row>
    <row r="467">
      <c r="A467" s="174" t="n"/>
      <c r="B467" s="299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97" t="n"/>
      <c r="P467" s="297" t="n"/>
      <c r="Q467" s="297" t="n"/>
      <c r="R467" s="297" t="n"/>
      <c r="S467" s="297" t="n"/>
      <c r="T467" s="297" t="n"/>
      <c r="U467" s="297" t="n"/>
    </row>
    <row r="468">
      <c r="A468" s="174" t="n"/>
      <c r="B468" s="299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97" t="n"/>
      <c r="P468" s="297" t="n"/>
      <c r="Q468" s="297" t="n"/>
      <c r="R468" s="297" t="n"/>
      <c r="S468" s="297" t="n"/>
      <c r="T468" s="297" t="n"/>
      <c r="U468" s="297" t="n"/>
    </row>
    <row r="469">
      <c r="A469" s="174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97" t="n"/>
      <c r="P469" s="297" t="n"/>
      <c r="Q469" s="297" t="n"/>
      <c r="R469" s="297" t="n"/>
      <c r="S469" s="297" t="n"/>
      <c r="T469" s="297" t="n"/>
      <c r="U469" s="297" t="n"/>
    </row>
    <row r="470">
      <c r="A470" s="174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97" t="n"/>
      <c r="P470" s="297" t="n"/>
      <c r="Q470" s="297" t="n"/>
      <c r="R470" s="297" t="n"/>
      <c r="S470" s="297" t="n"/>
      <c r="T470" s="297" t="n"/>
      <c r="U470" s="297" t="n"/>
    </row>
    <row r="471">
      <c r="A471" s="174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97" t="n"/>
      <c r="P471" s="297" t="n"/>
      <c r="Q471" s="297" t="n"/>
      <c r="R471" s="297" t="n"/>
      <c r="S471" s="297" t="n"/>
      <c r="T471" s="297" t="n"/>
      <c r="U471" s="297" t="n"/>
    </row>
    <row r="472">
      <c r="A472" s="174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97" t="n"/>
      <c r="P472" s="297" t="n"/>
      <c r="Q472" s="297" t="n"/>
      <c r="R472" s="297" t="n"/>
      <c r="S472" s="297" t="n"/>
      <c r="T472" s="297" t="n"/>
      <c r="U472" s="297" t="n"/>
    </row>
    <row r="473">
      <c r="A473" s="174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97" t="n"/>
      <c r="P473" s="297" t="n"/>
      <c r="Q473" s="297" t="n"/>
      <c r="R473" s="297" t="n"/>
      <c r="S473" s="297" t="n"/>
      <c r="T473" s="297" t="n"/>
      <c r="U473" s="297" t="n"/>
    </row>
    <row r="474">
      <c r="A474" s="174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97" t="n"/>
      <c r="P474" s="297" t="n"/>
      <c r="Q474" s="297" t="n"/>
      <c r="R474" s="297" t="n"/>
      <c r="S474" s="297" t="n"/>
      <c r="T474" s="297" t="n"/>
      <c r="U474" s="297" t="n"/>
    </row>
    <row r="475">
      <c r="A475" s="174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97" t="n"/>
      <c r="P475" s="297" t="n"/>
      <c r="Q475" s="297" t="n"/>
      <c r="R475" s="297" t="n"/>
      <c r="S475" s="297" t="n"/>
      <c r="T475" s="297" t="n"/>
      <c r="U475" s="297" t="n"/>
    </row>
    <row r="476">
      <c r="A476" s="174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97" t="n"/>
      <c r="P476" s="297" t="n"/>
      <c r="Q476" s="297" t="n"/>
      <c r="R476" s="297" t="n"/>
      <c r="S476" s="297" t="n"/>
      <c r="T476" s="297" t="n"/>
      <c r="U476" s="297" t="n"/>
    </row>
    <row r="477">
      <c r="A477" s="174" t="n"/>
      <c r="B477" s="299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97" t="n"/>
      <c r="P477" s="297" t="n"/>
      <c r="Q477" s="297" t="n"/>
      <c r="R477" s="297" t="n"/>
      <c r="S477" s="297" t="n"/>
      <c r="T477" s="297" t="n"/>
      <c r="U477" s="297" t="n"/>
    </row>
    <row r="478">
      <c r="A478" s="174" t="n"/>
      <c r="B478" s="299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97" t="n"/>
      <c r="P478" s="297" t="n"/>
      <c r="Q478" s="297" t="n"/>
      <c r="R478" s="297" t="n"/>
      <c r="S478" s="297" t="n"/>
      <c r="T478" s="297" t="n"/>
      <c r="U478" s="297" t="n"/>
    </row>
    <row r="479">
      <c r="A479" s="174" t="n"/>
      <c r="B479" s="299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97" t="n"/>
      <c r="P479" s="297" t="n"/>
      <c r="Q479" s="297" t="n"/>
      <c r="R479" s="297" t="n"/>
      <c r="S479" s="297" t="n"/>
      <c r="T479" s="297" t="n"/>
      <c r="U479" s="297" t="n"/>
    </row>
    <row r="480">
      <c r="A480" s="174" t="n"/>
      <c r="B480" s="299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97" t="n"/>
      <c r="P480" s="297" t="n"/>
      <c r="Q480" s="297" t="n"/>
      <c r="R480" s="297" t="n"/>
      <c r="S480" s="297" t="n"/>
      <c r="T480" s="297" t="n"/>
      <c r="U480" s="297" t="n"/>
    </row>
    <row r="481">
      <c r="A481" s="174" t="n"/>
      <c r="B481" s="299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97" t="n"/>
      <c r="P481" s="297" t="n"/>
      <c r="Q481" s="297" t="n"/>
      <c r="R481" s="297" t="n"/>
      <c r="S481" s="297" t="n"/>
      <c r="T481" s="297" t="n"/>
      <c r="U481" s="297" t="n"/>
    </row>
    <row r="482">
      <c r="A482" s="174" t="n"/>
      <c r="B482" s="299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97" t="n"/>
      <c r="P482" s="297" t="n"/>
      <c r="Q482" s="297" t="n"/>
      <c r="R482" s="297" t="n"/>
      <c r="S482" s="297" t="n"/>
      <c r="T482" s="297" t="n"/>
      <c r="U482" s="297" t="n"/>
    </row>
    <row r="483">
      <c r="A483" s="174" t="n"/>
      <c r="B483" s="299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97" t="n"/>
      <c r="P483" s="297" t="n"/>
      <c r="Q483" s="297" t="n"/>
      <c r="R483" s="297" t="n"/>
      <c r="S483" s="297" t="n"/>
      <c r="T483" s="297" t="n"/>
      <c r="U483" s="297" t="n"/>
    </row>
    <row r="484">
      <c r="A484" s="174" t="n"/>
      <c r="B484" s="299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97" t="n"/>
      <c r="P484" s="297" t="n"/>
      <c r="Q484" s="297" t="n"/>
      <c r="R484" s="297" t="n"/>
      <c r="S484" s="297" t="n"/>
      <c r="T484" s="297" t="n"/>
      <c r="U484" s="297" t="n"/>
    </row>
    <row r="485">
      <c r="A485" s="174" t="n"/>
      <c r="B485" s="299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97" t="n"/>
      <c r="P485" s="297" t="n"/>
      <c r="Q485" s="297" t="n"/>
      <c r="R485" s="297" t="n"/>
      <c r="S485" s="297" t="n"/>
      <c r="T485" s="297" t="n"/>
      <c r="U485" s="297" t="n"/>
    </row>
    <row r="486">
      <c r="A486" s="174" t="n"/>
      <c r="B486" s="299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97" t="n"/>
      <c r="P486" s="297" t="n"/>
      <c r="Q486" s="297" t="n"/>
      <c r="R486" s="297" t="n"/>
      <c r="S486" s="297" t="n"/>
      <c r="T486" s="297" t="n"/>
      <c r="U486" s="297" t="n"/>
    </row>
    <row r="487">
      <c r="A487" s="174" t="n"/>
      <c r="B487" s="299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97" t="n"/>
      <c r="P487" s="297" t="n"/>
      <c r="Q487" s="297" t="n"/>
      <c r="R487" s="297" t="n"/>
      <c r="S487" s="297" t="n"/>
      <c r="T487" s="297" t="n"/>
      <c r="U487" s="297" t="n"/>
    </row>
    <row r="488">
      <c r="A488" s="174" t="n"/>
      <c r="B488" s="299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97" t="n"/>
      <c r="P488" s="297" t="n"/>
      <c r="Q488" s="297" t="n"/>
      <c r="R488" s="297" t="n"/>
      <c r="S488" s="297" t="n"/>
      <c r="T488" s="297" t="n"/>
      <c r="U488" s="297" t="n"/>
    </row>
    <row r="489">
      <c r="A489" s="174" t="n"/>
      <c r="B489" s="300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301" t="n"/>
      <c r="P489" s="301" t="n"/>
      <c r="Q489" s="301" t="n"/>
      <c r="R489" s="301" t="n"/>
      <c r="S489" s="301" t="n"/>
      <c r="T489" s="301" t="n"/>
      <c r="U489" s="301" t="n"/>
    </row>
    <row r="490">
      <c r="A490" s="174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97" t="n"/>
      <c r="P490" s="297" t="n"/>
      <c r="Q490" s="297" t="n"/>
      <c r="R490" s="297" t="n"/>
      <c r="S490" s="297" t="n"/>
      <c r="T490" s="297" t="n"/>
      <c r="U490" s="297" t="n"/>
    </row>
    <row r="491">
      <c r="A491" s="174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97" t="n"/>
      <c r="P491" s="297" t="n"/>
      <c r="Q491" s="297" t="n"/>
      <c r="R491" s="297" t="n"/>
      <c r="S491" s="297" t="n"/>
      <c r="T491" s="297" t="n"/>
      <c r="U491" s="297" t="n"/>
    </row>
    <row r="492">
      <c r="A492" s="174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97" t="n"/>
      <c r="P492" s="297" t="n"/>
      <c r="Q492" s="297" t="n"/>
      <c r="R492" s="297" t="n"/>
      <c r="S492" s="297" t="n"/>
      <c r="T492" s="297" t="n"/>
      <c r="U492" s="297" t="n"/>
    </row>
    <row r="493">
      <c r="A493" s="174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97" t="n"/>
      <c r="P493" s="297" t="n"/>
      <c r="Q493" s="297" t="n"/>
      <c r="R493" s="297" t="n"/>
      <c r="S493" s="297" t="n"/>
      <c r="T493" s="297" t="n"/>
      <c r="U493" s="297" t="n"/>
    </row>
    <row r="494">
      <c r="A494" s="174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97" t="n"/>
      <c r="P494" s="297" t="n"/>
      <c r="Q494" s="297" t="n"/>
      <c r="R494" s="297" t="n"/>
      <c r="S494" s="297" t="n"/>
      <c r="T494" s="297" t="n"/>
      <c r="U494" s="297" t="n"/>
    </row>
    <row r="495">
      <c r="A495" s="174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97" t="n"/>
      <c r="P495" s="297" t="n"/>
      <c r="Q495" s="297" t="n"/>
      <c r="R495" s="297" t="n"/>
      <c r="S495" s="297" t="n"/>
      <c r="T495" s="297" t="n"/>
      <c r="U495" s="297" t="n"/>
    </row>
    <row r="496">
      <c r="A496" s="174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97" t="n"/>
      <c r="P496" s="297" t="n"/>
      <c r="Q496" s="297" t="n"/>
      <c r="R496" s="297" t="n"/>
      <c r="S496" s="297" t="n"/>
      <c r="T496" s="297" t="n"/>
      <c r="U496" s="297" t="n"/>
    </row>
    <row r="497">
      <c r="A497" s="174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97" t="n"/>
      <c r="P497" s="297" t="n"/>
      <c r="Q497" s="297" t="n"/>
      <c r="R497" s="297" t="n"/>
      <c r="S497" s="297" t="n"/>
      <c r="T497" s="297" t="n"/>
      <c r="U497" s="297" t="n"/>
    </row>
    <row r="498">
      <c r="A498" s="174" t="n"/>
      <c r="B498" s="299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97" t="n"/>
      <c r="P498" s="297" t="n"/>
      <c r="Q498" s="297" t="n"/>
      <c r="R498" s="297" t="n"/>
      <c r="S498" s="297" t="n"/>
      <c r="T498" s="297" t="n"/>
      <c r="U498" s="297" t="n"/>
    </row>
    <row r="499">
      <c r="A499" s="174" t="n"/>
      <c r="B499" s="299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97" t="n"/>
      <c r="P499" s="297" t="n"/>
      <c r="Q499" s="297" t="n"/>
      <c r="R499" s="297" t="n"/>
      <c r="S499" s="297" t="n"/>
      <c r="T499" s="297" t="n"/>
      <c r="U499" s="297" t="n"/>
    </row>
    <row r="500">
      <c r="A500" s="174" t="n"/>
      <c r="B500" s="299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97" t="n"/>
      <c r="P500" s="297" t="n"/>
      <c r="Q500" s="297" t="n"/>
      <c r="R500" s="297" t="n"/>
      <c r="S500" s="297" t="n"/>
      <c r="T500" s="297" t="n"/>
      <c r="U500" s="297" t="n"/>
    </row>
    <row r="501">
      <c r="A501" s="174" t="n"/>
      <c r="B501" s="299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97" t="n"/>
      <c r="P501" s="297" t="n"/>
      <c r="Q501" s="297" t="n"/>
      <c r="R501" s="297" t="n"/>
      <c r="S501" s="297" t="n"/>
      <c r="T501" s="297" t="n"/>
      <c r="U501" s="297" t="n"/>
    </row>
    <row r="502">
      <c r="A502" s="174" t="n"/>
      <c r="B502" s="299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97" t="n"/>
      <c r="P502" s="297" t="n"/>
      <c r="Q502" s="297" t="n"/>
      <c r="R502" s="297" t="n"/>
      <c r="S502" s="297" t="n"/>
      <c r="T502" s="297" t="n"/>
      <c r="U502" s="297" t="n"/>
    </row>
    <row r="503">
      <c r="A503" s="174" t="n"/>
      <c r="B503" s="299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97" t="n"/>
      <c r="P503" s="297" t="n"/>
      <c r="Q503" s="297" t="n"/>
      <c r="R503" s="297" t="n"/>
      <c r="S503" s="297" t="n"/>
      <c r="T503" s="297" t="n"/>
      <c r="U503" s="297" t="n"/>
    </row>
    <row r="504">
      <c r="A504" s="174" t="n"/>
      <c r="B504" s="299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97" t="n"/>
      <c r="P504" s="297" t="n"/>
      <c r="Q504" s="297" t="n"/>
      <c r="R504" s="297" t="n"/>
      <c r="S504" s="297" t="n"/>
      <c r="T504" s="297" t="n"/>
      <c r="U504" s="297" t="n"/>
    </row>
    <row r="505">
      <c r="A505" s="174" t="n"/>
      <c r="B505" s="299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97" t="n"/>
      <c r="P505" s="297" t="n"/>
      <c r="Q505" s="297" t="n"/>
      <c r="R505" s="297" t="n"/>
      <c r="S505" s="297" t="n"/>
      <c r="T505" s="297" t="n"/>
      <c r="U505" s="297" t="n"/>
    </row>
    <row r="506">
      <c r="A506" s="174" t="n"/>
      <c r="B506" s="299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97" t="n"/>
      <c r="P506" s="297" t="n"/>
      <c r="Q506" s="297" t="n"/>
      <c r="R506" s="297" t="n"/>
      <c r="S506" s="297" t="n"/>
      <c r="T506" s="297" t="n"/>
      <c r="U506" s="297" t="n"/>
    </row>
    <row r="507">
      <c r="A507" s="174" t="n"/>
      <c r="B507" s="299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97" t="n"/>
      <c r="P507" s="297" t="n"/>
      <c r="Q507" s="297" t="n"/>
      <c r="R507" s="297" t="n"/>
      <c r="S507" s="297" t="n"/>
      <c r="T507" s="297" t="n"/>
      <c r="U507" s="297" t="n"/>
    </row>
    <row r="508">
      <c r="A508" s="174" t="n"/>
      <c r="B508" s="299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97" t="n"/>
      <c r="P508" s="297" t="n"/>
      <c r="Q508" s="297" t="n"/>
      <c r="R508" s="297" t="n"/>
      <c r="S508" s="297" t="n"/>
      <c r="T508" s="297" t="n"/>
      <c r="U508" s="297" t="n"/>
    </row>
    <row r="509">
      <c r="A509" s="174" t="n"/>
      <c r="B509" s="299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97" t="n"/>
      <c r="P509" s="297" t="n"/>
      <c r="Q509" s="297" t="n"/>
      <c r="R509" s="297" t="n"/>
      <c r="S509" s="297" t="n"/>
      <c r="T509" s="297" t="n"/>
      <c r="U509" s="297" t="n"/>
    </row>
    <row r="510">
      <c r="A510" s="174" t="n"/>
      <c r="B510" s="299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97" t="n"/>
      <c r="P510" s="297" t="n"/>
      <c r="Q510" s="297" t="n"/>
      <c r="R510" s="297" t="n"/>
      <c r="S510" s="297" t="n"/>
      <c r="T510" s="297" t="n"/>
      <c r="U510" s="297" t="n"/>
    </row>
    <row r="511">
      <c r="A511" s="174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97" t="n"/>
      <c r="P511" s="297" t="n"/>
      <c r="Q511" s="297" t="n"/>
      <c r="R511" s="297" t="n"/>
      <c r="S511" s="297" t="n"/>
      <c r="T511" s="297" t="n"/>
      <c r="U511" s="297" t="n"/>
    </row>
    <row r="512">
      <c r="A512" s="174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97" t="n"/>
      <c r="P512" s="297" t="n"/>
      <c r="Q512" s="297" t="n"/>
      <c r="R512" s="297" t="n"/>
      <c r="S512" s="297" t="n"/>
      <c r="T512" s="297" t="n"/>
      <c r="U512" s="297" t="n"/>
    </row>
    <row r="513">
      <c r="A513" s="174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97" t="n"/>
      <c r="P513" s="297" t="n"/>
      <c r="Q513" s="297" t="n"/>
      <c r="R513" s="297" t="n"/>
      <c r="S513" s="297" t="n"/>
      <c r="T513" s="297" t="n"/>
      <c r="U513" s="297" t="n"/>
    </row>
    <row r="514">
      <c r="A514" s="174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97" t="n"/>
      <c r="P514" s="297" t="n"/>
      <c r="Q514" s="297" t="n"/>
      <c r="R514" s="297" t="n"/>
      <c r="S514" s="297" t="n"/>
      <c r="T514" s="297" t="n"/>
      <c r="U514" s="297" t="n"/>
    </row>
    <row r="515">
      <c r="A515" s="174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97" t="n"/>
      <c r="P515" s="297" t="n"/>
      <c r="Q515" s="297" t="n"/>
      <c r="R515" s="297" t="n"/>
      <c r="S515" s="297" t="n"/>
      <c r="T515" s="297" t="n"/>
      <c r="U515" s="297" t="n"/>
    </row>
    <row r="516">
      <c r="A516" s="174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97" t="n"/>
      <c r="P516" s="297" t="n"/>
      <c r="Q516" s="297" t="n"/>
      <c r="R516" s="297" t="n"/>
      <c r="S516" s="297" t="n"/>
      <c r="T516" s="297" t="n"/>
      <c r="U516" s="297" t="n"/>
    </row>
    <row r="517">
      <c r="A517" s="174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97" t="n"/>
      <c r="P517" s="297" t="n"/>
      <c r="Q517" s="297" t="n"/>
      <c r="R517" s="297" t="n"/>
      <c r="S517" s="297" t="n"/>
      <c r="T517" s="297" t="n"/>
      <c r="U517" s="297" t="n"/>
    </row>
    <row r="518">
      <c r="A518" s="174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97" t="n"/>
      <c r="P518" s="297" t="n"/>
      <c r="Q518" s="297" t="n"/>
      <c r="R518" s="297" t="n"/>
      <c r="S518" s="297" t="n"/>
      <c r="T518" s="297" t="n"/>
      <c r="U518" s="297" t="n"/>
    </row>
    <row r="519">
      <c r="A519" s="174" t="n"/>
      <c r="B519" s="299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97" t="n"/>
      <c r="P519" s="297" t="n"/>
      <c r="Q519" s="297" t="n"/>
      <c r="R519" s="297" t="n"/>
      <c r="S519" s="297" t="n"/>
      <c r="T519" s="297" t="n"/>
      <c r="U519" s="297" t="n"/>
    </row>
    <row r="520">
      <c r="A520" s="174" t="n"/>
      <c r="B520" s="299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97" t="n"/>
      <c r="P520" s="297" t="n"/>
      <c r="Q520" s="297" t="n"/>
      <c r="R520" s="297" t="n"/>
      <c r="S520" s="297" t="n"/>
      <c r="T520" s="297" t="n"/>
      <c r="U520" s="297" t="n"/>
    </row>
    <row r="521">
      <c r="A521" s="174" t="n"/>
      <c r="B521" s="299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97" t="n"/>
      <c r="P521" s="297" t="n"/>
      <c r="Q521" s="297" t="n"/>
      <c r="R521" s="297" t="n"/>
      <c r="S521" s="297" t="n"/>
      <c r="T521" s="297" t="n"/>
      <c r="U521" s="297" t="n"/>
    </row>
    <row r="522">
      <c r="A522" s="174" t="n"/>
      <c r="B522" s="299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97" t="n"/>
      <c r="P522" s="297" t="n"/>
      <c r="Q522" s="297" t="n"/>
      <c r="R522" s="297" t="n"/>
      <c r="S522" s="297" t="n"/>
      <c r="T522" s="297" t="n"/>
      <c r="U522" s="297" t="n"/>
    </row>
    <row r="523">
      <c r="A523" s="174" t="n"/>
      <c r="B523" s="299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97" t="n"/>
      <c r="P523" s="297" t="n"/>
      <c r="Q523" s="297" t="n"/>
      <c r="R523" s="297" t="n"/>
      <c r="S523" s="297" t="n"/>
      <c r="T523" s="297" t="n"/>
      <c r="U523" s="297" t="n"/>
    </row>
    <row r="524">
      <c r="A524" s="174" t="n"/>
      <c r="B524" s="299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97" t="n"/>
      <c r="P524" s="297" t="n"/>
      <c r="Q524" s="297" t="n"/>
      <c r="R524" s="297" t="n"/>
      <c r="S524" s="297" t="n"/>
      <c r="T524" s="297" t="n"/>
      <c r="U524" s="297" t="n"/>
    </row>
    <row r="525">
      <c r="A525" s="174" t="n"/>
      <c r="B525" s="299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97" t="n"/>
      <c r="P525" s="297" t="n"/>
      <c r="Q525" s="297" t="n"/>
      <c r="R525" s="297" t="n"/>
      <c r="S525" s="297" t="n"/>
      <c r="T525" s="297" t="n"/>
      <c r="U525" s="297" t="n"/>
    </row>
    <row r="526">
      <c r="A526" s="174" t="n"/>
      <c r="B526" s="299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97" t="n"/>
      <c r="P526" s="297" t="n"/>
      <c r="Q526" s="297" t="n"/>
      <c r="R526" s="297" t="n"/>
      <c r="S526" s="297" t="n"/>
      <c r="T526" s="297" t="n"/>
      <c r="U526" s="297" t="n"/>
    </row>
    <row r="527">
      <c r="A527" s="174" t="n"/>
      <c r="B527" s="299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97" t="n"/>
      <c r="P527" s="297" t="n"/>
      <c r="Q527" s="297" t="n"/>
      <c r="R527" s="297" t="n"/>
      <c r="S527" s="297" t="n"/>
      <c r="T527" s="297" t="n"/>
      <c r="U527" s="297" t="n"/>
    </row>
    <row r="528">
      <c r="A528" s="174" t="n"/>
      <c r="B528" s="299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97" t="n"/>
      <c r="P528" s="297" t="n"/>
      <c r="Q528" s="297" t="n"/>
      <c r="R528" s="297" t="n"/>
      <c r="S528" s="297" t="n"/>
      <c r="T528" s="297" t="n"/>
      <c r="U528" s="297" t="n"/>
    </row>
    <row r="529">
      <c r="A529" s="174" t="n"/>
      <c r="B529" s="299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97" t="n"/>
      <c r="P529" s="297" t="n"/>
      <c r="Q529" s="297" t="n"/>
      <c r="R529" s="297" t="n"/>
      <c r="S529" s="297" t="n"/>
      <c r="T529" s="297" t="n"/>
      <c r="U529" s="297" t="n"/>
    </row>
    <row r="530">
      <c r="A530" s="174" t="n"/>
      <c r="B530" s="299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97" t="n"/>
      <c r="P530" s="297" t="n"/>
      <c r="Q530" s="297" t="n"/>
      <c r="R530" s="297" t="n"/>
      <c r="S530" s="297" t="n"/>
      <c r="T530" s="297" t="n"/>
      <c r="U530" s="297" t="n"/>
    </row>
    <row r="531">
      <c r="A531" s="174" t="n"/>
      <c r="B531" s="300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301" t="n"/>
      <c r="P531" s="301" t="n"/>
      <c r="Q531" s="301" t="n"/>
      <c r="R531" s="301" t="n"/>
      <c r="S531" s="301" t="n"/>
      <c r="T531" s="301" t="n"/>
      <c r="U531" s="301" t="n"/>
    </row>
    <row r="532">
      <c r="A532" s="174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97" t="n"/>
      <c r="P532" s="297" t="n"/>
      <c r="Q532" s="297" t="n"/>
      <c r="R532" s="297" t="n"/>
      <c r="S532" s="297" t="n"/>
      <c r="T532" s="297" t="n"/>
      <c r="U532" s="297" t="n"/>
    </row>
    <row r="533">
      <c r="A533" s="174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97" t="n"/>
      <c r="P533" s="297" t="n"/>
      <c r="Q533" s="297" t="n"/>
      <c r="R533" s="297" t="n"/>
      <c r="S533" s="297" t="n"/>
      <c r="T533" s="297" t="n"/>
      <c r="U533" s="297" t="n"/>
    </row>
    <row r="534">
      <c r="A534" s="174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97" t="n"/>
      <c r="P534" s="297" t="n"/>
      <c r="Q534" s="297" t="n"/>
      <c r="R534" s="297" t="n"/>
      <c r="S534" s="297" t="n"/>
      <c r="T534" s="297" t="n"/>
      <c r="U534" s="297" t="n"/>
    </row>
    <row r="535">
      <c r="A535" s="174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97" t="n"/>
      <c r="P535" s="297" t="n"/>
      <c r="Q535" s="297" t="n"/>
      <c r="R535" s="297" t="n"/>
      <c r="S535" s="297" t="n"/>
      <c r="T535" s="297" t="n"/>
      <c r="U535" s="297" t="n"/>
    </row>
    <row r="536">
      <c r="A536" s="174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97" t="n"/>
      <c r="P536" s="297" t="n"/>
      <c r="Q536" s="297" t="n"/>
      <c r="R536" s="297" t="n"/>
      <c r="S536" s="297" t="n"/>
      <c r="T536" s="297" t="n"/>
      <c r="U536" s="297" t="n"/>
    </row>
    <row r="537">
      <c r="A537" s="174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97" t="n"/>
      <c r="P537" s="297" t="n"/>
      <c r="Q537" s="297" t="n"/>
      <c r="R537" s="297" t="n"/>
      <c r="S537" s="297" t="n"/>
      <c r="T537" s="297" t="n"/>
      <c r="U537" s="297" t="n"/>
    </row>
    <row r="538">
      <c r="A538" s="174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97" t="n"/>
      <c r="P538" s="297" t="n"/>
      <c r="Q538" s="297" t="n"/>
      <c r="R538" s="297" t="n"/>
      <c r="S538" s="297" t="n"/>
      <c r="T538" s="297" t="n"/>
      <c r="U538" s="297" t="n"/>
    </row>
    <row r="539">
      <c r="A539" s="174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97" t="n"/>
      <c r="P539" s="297" t="n"/>
      <c r="Q539" s="297" t="n"/>
      <c r="R539" s="297" t="n"/>
      <c r="S539" s="297" t="n"/>
      <c r="T539" s="297" t="n"/>
      <c r="U539" s="297" t="n"/>
    </row>
    <row r="540">
      <c r="A540" s="174" t="n"/>
      <c r="B540" s="299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97" t="n"/>
      <c r="P540" s="297" t="n"/>
      <c r="Q540" s="297" t="n"/>
      <c r="R540" s="297" t="n"/>
      <c r="S540" s="297" t="n"/>
      <c r="T540" s="297" t="n"/>
      <c r="U540" s="297" t="n"/>
    </row>
    <row r="541">
      <c r="A541" s="174" t="n"/>
      <c r="B541" s="299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97" t="n"/>
      <c r="P541" s="297" t="n"/>
      <c r="Q541" s="297" t="n"/>
      <c r="R541" s="297" t="n"/>
      <c r="S541" s="297" t="n"/>
      <c r="T541" s="297" t="n"/>
      <c r="U541" s="297" t="n"/>
    </row>
    <row r="542">
      <c r="A542" s="174" t="n"/>
      <c r="B542" s="299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97" t="n"/>
      <c r="P542" s="297" t="n"/>
      <c r="Q542" s="297" t="n"/>
      <c r="R542" s="297" t="n"/>
      <c r="S542" s="297" t="n"/>
      <c r="T542" s="297" t="n"/>
      <c r="U542" s="297" t="n"/>
    </row>
    <row r="543">
      <c r="A543" s="174" t="n"/>
      <c r="B543" s="299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97" t="n"/>
      <c r="P543" s="297" t="n"/>
      <c r="Q543" s="297" t="n"/>
      <c r="R543" s="297" t="n"/>
      <c r="S543" s="297" t="n"/>
      <c r="T543" s="297" t="n"/>
      <c r="U543" s="297" t="n"/>
    </row>
    <row r="544">
      <c r="A544" s="174" t="n"/>
      <c r="B544" s="299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97" t="n"/>
      <c r="P544" s="297" t="n"/>
      <c r="Q544" s="297" t="n"/>
      <c r="R544" s="297" t="n"/>
      <c r="S544" s="297" t="n"/>
      <c r="T544" s="297" t="n"/>
      <c r="U544" s="297" t="n"/>
    </row>
    <row r="545">
      <c r="A545" s="174" t="n"/>
      <c r="B545" s="299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97" t="n"/>
      <c r="P545" s="297" t="n"/>
      <c r="Q545" s="297" t="n"/>
      <c r="R545" s="297" t="n"/>
      <c r="S545" s="297" t="n"/>
      <c r="T545" s="297" t="n"/>
      <c r="U545" s="297" t="n"/>
    </row>
    <row r="546">
      <c r="A546" s="174" t="n"/>
      <c r="B546" s="299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97" t="n"/>
      <c r="P546" s="297" t="n"/>
      <c r="Q546" s="297" t="n"/>
      <c r="R546" s="297" t="n"/>
      <c r="S546" s="297" t="n"/>
      <c r="T546" s="297" t="n"/>
      <c r="U546" s="297" t="n"/>
    </row>
    <row r="547">
      <c r="A547" s="174" t="n"/>
      <c r="B547" s="299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97" t="n"/>
      <c r="P547" s="297" t="n"/>
      <c r="Q547" s="297" t="n"/>
      <c r="R547" s="297" t="n"/>
      <c r="S547" s="297" t="n"/>
      <c r="T547" s="297" t="n"/>
      <c r="U547" s="297" t="n"/>
    </row>
    <row r="548">
      <c r="A548" s="174" t="n"/>
      <c r="B548" s="299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97" t="n"/>
      <c r="P548" s="297" t="n"/>
      <c r="Q548" s="297" t="n"/>
      <c r="R548" s="297" t="n"/>
      <c r="S548" s="297" t="n"/>
      <c r="T548" s="297" t="n"/>
      <c r="U548" s="297" t="n"/>
    </row>
    <row r="549">
      <c r="A549" s="174" t="n"/>
      <c r="B549" s="299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97" t="n"/>
      <c r="P549" s="297" t="n"/>
      <c r="Q549" s="297" t="n"/>
      <c r="R549" s="297" t="n"/>
      <c r="S549" s="297" t="n"/>
      <c r="T549" s="297" t="n"/>
      <c r="U549" s="297" t="n"/>
    </row>
    <row r="550">
      <c r="A550" s="174" t="n"/>
      <c r="B550" s="299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97" t="n"/>
      <c r="P550" s="297" t="n"/>
      <c r="Q550" s="297" t="n"/>
      <c r="R550" s="297" t="n"/>
      <c r="S550" s="297" t="n"/>
      <c r="T550" s="297" t="n"/>
      <c r="U550" s="297" t="n"/>
    </row>
    <row r="551">
      <c r="A551" s="174" t="n"/>
      <c r="B551" s="299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97" t="n"/>
      <c r="P551" s="297" t="n"/>
      <c r="Q551" s="297" t="n"/>
      <c r="R551" s="297" t="n"/>
      <c r="S551" s="297" t="n"/>
      <c r="T551" s="297" t="n"/>
      <c r="U551" s="297" t="n"/>
    </row>
    <row r="552">
      <c r="A552" s="174" t="n"/>
      <c r="B552" s="299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97" t="n"/>
      <c r="P552" s="297" t="n"/>
      <c r="Q552" s="297" t="n"/>
      <c r="R552" s="297" t="n"/>
      <c r="S552" s="297" t="n"/>
      <c r="T552" s="297" t="n"/>
      <c r="U552" s="297" t="n"/>
    </row>
    <row r="553">
      <c r="A553" s="174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97" t="n"/>
      <c r="P553" s="297" t="n"/>
      <c r="Q553" s="297" t="n"/>
      <c r="R553" s="297" t="n"/>
      <c r="S553" s="297" t="n"/>
      <c r="T553" s="297" t="n"/>
      <c r="U553" s="297" t="n"/>
    </row>
    <row r="554">
      <c r="A554" s="174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97" t="n"/>
      <c r="P554" s="297" t="n"/>
      <c r="Q554" s="297" t="n"/>
      <c r="R554" s="297" t="n"/>
      <c r="S554" s="297" t="n"/>
      <c r="T554" s="297" t="n"/>
      <c r="U554" s="297" t="n"/>
    </row>
    <row r="555">
      <c r="A555" s="174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97" t="n"/>
      <c r="P555" s="297" t="n"/>
      <c r="Q555" s="297" t="n"/>
      <c r="R555" s="297" t="n"/>
      <c r="S555" s="297" t="n"/>
      <c r="T555" s="297" t="n"/>
      <c r="U555" s="297" t="n"/>
    </row>
    <row r="556">
      <c r="A556" s="174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97" t="n"/>
      <c r="P556" s="297" t="n"/>
      <c r="Q556" s="297" t="n"/>
      <c r="R556" s="297" t="n"/>
      <c r="S556" s="297" t="n"/>
      <c r="T556" s="297" t="n"/>
      <c r="U556" s="297" t="n"/>
    </row>
    <row r="557">
      <c r="A557" s="174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97" t="n"/>
      <c r="P557" s="297" t="n"/>
      <c r="Q557" s="297" t="n"/>
      <c r="R557" s="297" t="n"/>
      <c r="S557" s="297" t="n"/>
      <c r="T557" s="297" t="n"/>
      <c r="U557" s="297" t="n"/>
    </row>
    <row r="558">
      <c r="A558" s="174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97" t="n"/>
      <c r="P558" s="297" t="n"/>
      <c r="Q558" s="297" t="n"/>
      <c r="R558" s="297" t="n"/>
      <c r="S558" s="297" t="n"/>
      <c r="T558" s="297" t="n"/>
      <c r="U558" s="297" t="n"/>
    </row>
    <row r="559">
      <c r="A559" s="174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97" t="n"/>
      <c r="P559" s="297" t="n"/>
      <c r="Q559" s="297" t="n"/>
      <c r="R559" s="297" t="n"/>
      <c r="S559" s="297" t="n"/>
      <c r="T559" s="297" t="n"/>
      <c r="U559" s="297" t="n"/>
    </row>
    <row r="560">
      <c r="A560" s="174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97" t="n"/>
      <c r="P560" s="297" t="n"/>
      <c r="Q560" s="297" t="n"/>
      <c r="R560" s="297" t="n"/>
      <c r="S560" s="297" t="n"/>
      <c r="T560" s="297" t="n"/>
      <c r="U560" s="297" t="n"/>
    </row>
    <row r="561">
      <c r="A561" s="174" t="n"/>
      <c r="B561" s="299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97" t="n"/>
      <c r="P561" s="297" t="n"/>
      <c r="Q561" s="297" t="n"/>
      <c r="R561" s="297" t="n"/>
      <c r="S561" s="297" t="n"/>
      <c r="T561" s="297" t="n"/>
      <c r="U561" s="297" t="n"/>
    </row>
    <row r="562">
      <c r="A562" s="174" t="n"/>
      <c r="B562" s="299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97" t="n"/>
      <c r="P562" s="297" t="n"/>
      <c r="Q562" s="297" t="n"/>
      <c r="R562" s="297" t="n"/>
      <c r="S562" s="297" t="n"/>
      <c r="T562" s="297" t="n"/>
      <c r="U562" s="297" t="n"/>
    </row>
    <row r="563">
      <c r="A563" s="174" t="n"/>
      <c r="B563" s="299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97" t="n"/>
      <c r="P563" s="297" t="n"/>
      <c r="Q563" s="297" t="n"/>
      <c r="R563" s="297" t="n"/>
      <c r="S563" s="297" t="n"/>
      <c r="T563" s="297" t="n"/>
      <c r="U563" s="297" t="n"/>
    </row>
    <row r="564">
      <c r="A564" s="174" t="n"/>
      <c r="B564" s="299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97" t="n"/>
      <c r="P564" s="297" t="n"/>
      <c r="Q564" s="297" t="n"/>
      <c r="R564" s="297" t="n"/>
      <c r="S564" s="297" t="n"/>
      <c r="T564" s="297" t="n"/>
      <c r="U564" s="297" t="n"/>
    </row>
    <row r="565">
      <c r="A565" s="174" t="n"/>
      <c r="B565" s="299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97" t="n"/>
      <c r="P565" s="297" t="n"/>
      <c r="Q565" s="297" t="n"/>
      <c r="R565" s="297" t="n"/>
      <c r="S565" s="297" t="n"/>
      <c r="T565" s="297" t="n"/>
      <c r="U565" s="297" t="n"/>
    </row>
    <row r="566">
      <c r="A566" s="174" t="n"/>
      <c r="B566" s="299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97" t="n"/>
      <c r="P566" s="297" t="n"/>
      <c r="Q566" s="297" t="n"/>
      <c r="R566" s="297" t="n"/>
      <c r="S566" s="297" t="n"/>
      <c r="T566" s="297" t="n"/>
      <c r="U566" s="297" t="n"/>
    </row>
    <row r="567">
      <c r="A567" s="174" t="n"/>
      <c r="B567" s="299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97" t="n"/>
      <c r="P567" s="297" t="n"/>
      <c r="Q567" s="297" t="n"/>
      <c r="R567" s="297" t="n"/>
      <c r="S567" s="297" t="n"/>
      <c r="T567" s="297" t="n"/>
      <c r="U567" s="297" t="n"/>
    </row>
    <row r="568">
      <c r="A568" s="174" t="n"/>
      <c r="B568" s="299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97" t="n"/>
      <c r="P568" s="297" t="n"/>
      <c r="Q568" s="297" t="n"/>
      <c r="R568" s="297" t="n"/>
      <c r="S568" s="297" t="n"/>
      <c r="T568" s="297" t="n"/>
      <c r="U568" s="297" t="n"/>
    </row>
    <row r="569">
      <c r="A569" s="174" t="n"/>
      <c r="B569" s="299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97" t="n"/>
      <c r="P569" s="297" t="n"/>
      <c r="Q569" s="297" t="n"/>
      <c r="R569" s="297" t="n"/>
      <c r="S569" s="297" t="n"/>
      <c r="T569" s="297" t="n"/>
      <c r="U569" s="297" t="n"/>
    </row>
    <row r="570">
      <c r="A570" s="174" t="n"/>
      <c r="B570" s="299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97" t="n"/>
      <c r="P570" s="297" t="n"/>
      <c r="Q570" s="297" t="n"/>
      <c r="R570" s="297" t="n"/>
      <c r="S570" s="297" t="n"/>
      <c r="T570" s="297" t="n"/>
      <c r="U570" s="297" t="n"/>
    </row>
    <row r="571">
      <c r="A571" s="174" t="n"/>
      <c r="B571" s="299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97" t="n"/>
      <c r="P571" s="297" t="n"/>
      <c r="Q571" s="297" t="n"/>
      <c r="R571" s="297" t="n"/>
      <c r="S571" s="297" t="n"/>
      <c r="T571" s="297" t="n"/>
      <c r="U571" s="297" t="n"/>
    </row>
    <row r="572">
      <c r="A572" s="174" t="n"/>
      <c r="B572" s="299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97" t="n"/>
      <c r="P572" s="297" t="n"/>
      <c r="Q572" s="297" t="n"/>
      <c r="R572" s="297" t="n"/>
      <c r="S572" s="297" t="n"/>
      <c r="T572" s="297" t="n"/>
      <c r="U572" s="297" t="n"/>
    </row>
    <row r="573">
      <c r="A573" s="174" t="n"/>
      <c r="B573" s="300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301" t="n"/>
      <c r="P573" s="301" t="n"/>
      <c r="Q573" s="301" t="n"/>
      <c r="R573" s="301" t="n"/>
      <c r="S573" s="301" t="n"/>
      <c r="T573" s="301" t="n"/>
      <c r="U573" s="301" t="n"/>
    </row>
    <row r="574">
      <c r="A574" s="174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97" t="n"/>
      <c r="P574" s="297" t="n"/>
      <c r="Q574" s="297" t="n"/>
      <c r="R574" s="297" t="n"/>
      <c r="S574" s="297" t="n"/>
      <c r="T574" s="297" t="n"/>
      <c r="U574" s="297" t="n"/>
    </row>
    <row r="575">
      <c r="A575" s="174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97" t="n"/>
      <c r="P575" s="297" t="n"/>
      <c r="Q575" s="297" t="n"/>
      <c r="R575" s="297" t="n"/>
      <c r="S575" s="297" t="n"/>
      <c r="T575" s="297" t="n"/>
      <c r="U575" s="297" t="n"/>
    </row>
    <row r="576">
      <c r="A576" s="174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97" t="n"/>
      <c r="P576" s="297" t="n"/>
      <c r="Q576" s="297" t="n"/>
      <c r="R576" s="297" t="n"/>
      <c r="S576" s="297" t="n"/>
      <c r="T576" s="297" t="n"/>
      <c r="U576" s="297" t="n"/>
    </row>
    <row r="577">
      <c r="A577" s="174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97" t="n"/>
      <c r="P577" s="297" t="n"/>
      <c r="Q577" s="297" t="n"/>
      <c r="R577" s="297" t="n"/>
      <c r="S577" s="297" t="n"/>
      <c r="T577" s="297" t="n"/>
      <c r="U577" s="297" t="n"/>
    </row>
    <row r="578">
      <c r="A578" s="174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97" t="n"/>
      <c r="P578" s="297" t="n"/>
      <c r="Q578" s="297" t="n"/>
      <c r="R578" s="297" t="n"/>
      <c r="S578" s="297" t="n"/>
      <c r="T578" s="297" t="n"/>
      <c r="U578" s="297" t="n"/>
    </row>
    <row r="579">
      <c r="A579" s="174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97" t="n"/>
      <c r="P579" s="297" t="n"/>
      <c r="Q579" s="297" t="n"/>
      <c r="R579" s="297" t="n"/>
      <c r="S579" s="297" t="n"/>
      <c r="T579" s="297" t="n"/>
      <c r="U579" s="297" t="n"/>
    </row>
    <row r="580">
      <c r="A580" s="174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97" t="n"/>
      <c r="P580" s="297" t="n"/>
      <c r="Q580" s="297" t="n"/>
      <c r="R580" s="297" t="n"/>
      <c r="S580" s="297" t="n"/>
      <c r="T580" s="297" t="n"/>
      <c r="U580" s="297" t="n"/>
    </row>
    <row r="581">
      <c r="A581" s="174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97" t="n"/>
      <c r="P581" s="297" t="n"/>
      <c r="Q581" s="297" t="n"/>
      <c r="R581" s="297" t="n"/>
      <c r="S581" s="297" t="n"/>
      <c r="T581" s="297" t="n"/>
      <c r="U581" s="297" t="n"/>
    </row>
    <row r="582">
      <c r="A582" s="174" t="n"/>
      <c r="B582" s="299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97" t="n"/>
      <c r="P582" s="297" t="n"/>
      <c r="Q582" s="297" t="n"/>
      <c r="R582" s="297" t="n"/>
      <c r="S582" s="297" t="n"/>
      <c r="T582" s="297" t="n"/>
      <c r="U582" s="297" t="n"/>
    </row>
    <row r="583">
      <c r="A583" s="174" t="n"/>
      <c r="B583" s="299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97" t="n"/>
      <c r="P583" s="297" t="n"/>
      <c r="Q583" s="297" t="n"/>
      <c r="R583" s="297" t="n"/>
      <c r="S583" s="297" t="n"/>
      <c r="T583" s="297" t="n"/>
      <c r="U583" s="297" t="n"/>
    </row>
    <row r="584">
      <c r="A584" s="174" t="n"/>
      <c r="B584" s="299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97" t="n"/>
      <c r="P584" s="297" t="n"/>
      <c r="Q584" s="297" t="n"/>
      <c r="R584" s="297" t="n"/>
      <c r="S584" s="297" t="n"/>
      <c r="T584" s="297" t="n"/>
      <c r="U584" s="297" t="n"/>
    </row>
    <row r="585">
      <c r="A585" s="174" t="n"/>
      <c r="B585" s="299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97" t="n"/>
      <c r="P585" s="297" t="n"/>
      <c r="Q585" s="297" t="n"/>
      <c r="R585" s="297" t="n"/>
      <c r="S585" s="297" t="n"/>
      <c r="T585" s="297" t="n"/>
      <c r="U585" s="297" t="n"/>
    </row>
    <row r="586">
      <c r="A586" s="174" t="n"/>
      <c r="B586" s="299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97" t="n"/>
      <c r="P586" s="297" t="n"/>
      <c r="Q586" s="297" t="n"/>
      <c r="R586" s="297" t="n"/>
      <c r="S586" s="297" t="n"/>
      <c r="T586" s="297" t="n"/>
      <c r="U586" s="297" t="n"/>
    </row>
    <row r="587">
      <c r="A587" s="174" t="n"/>
      <c r="B587" s="299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97" t="n"/>
      <c r="P587" s="297" t="n"/>
      <c r="Q587" s="297" t="n"/>
      <c r="R587" s="297" t="n"/>
      <c r="S587" s="297" t="n"/>
      <c r="T587" s="297" t="n"/>
      <c r="U587" s="297" t="n"/>
    </row>
    <row r="588">
      <c r="A588" s="174" t="n"/>
      <c r="B588" s="299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97" t="n"/>
      <c r="P588" s="297" t="n"/>
      <c r="Q588" s="297" t="n"/>
      <c r="R588" s="297" t="n"/>
      <c r="S588" s="297" t="n"/>
      <c r="T588" s="297" t="n"/>
      <c r="U588" s="297" t="n"/>
    </row>
    <row r="589">
      <c r="A589" s="174" t="n"/>
      <c r="B589" s="299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97" t="n"/>
      <c r="P589" s="297" t="n"/>
      <c r="Q589" s="297" t="n"/>
      <c r="R589" s="297" t="n"/>
      <c r="S589" s="297" t="n"/>
      <c r="T589" s="297" t="n"/>
      <c r="U589" s="297" t="n"/>
    </row>
    <row r="590">
      <c r="A590" s="174" t="n"/>
      <c r="B590" s="299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97" t="n"/>
      <c r="P590" s="297" t="n"/>
      <c r="Q590" s="297" t="n"/>
      <c r="R590" s="297" t="n"/>
      <c r="S590" s="297" t="n"/>
      <c r="T590" s="297" t="n"/>
      <c r="U590" s="297" t="n"/>
    </row>
    <row r="591">
      <c r="A591" s="174" t="n"/>
      <c r="B591" s="299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97" t="n"/>
      <c r="P591" s="297" t="n"/>
      <c r="Q591" s="297" t="n"/>
      <c r="R591" s="297" t="n"/>
      <c r="S591" s="297" t="n"/>
      <c r="T591" s="297" t="n"/>
      <c r="U591" s="297" t="n"/>
    </row>
    <row r="592">
      <c r="A592" s="174" t="n"/>
      <c r="B592" s="299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97" t="n"/>
      <c r="P592" s="297" t="n"/>
      <c r="Q592" s="297" t="n"/>
      <c r="R592" s="297" t="n"/>
      <c r="S592" s="297" t="n"/>
      <c r="T592" s="297" t="n"/>
      <c r="U592" s="297" t="n"/>
    </row>
    <row r="593">
      <c r="A593" s="174" t="n"/>
      <c r="B593" s="299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97" t="n"/>
      <c r="P593" s="297" t="n"/>
      <c r="Q593" s="297" t="n"/>
      <c r="R593" s="297" t="n"/>
      <c r="S593" s="297" t="n"/>
      <c r="T593" s="297" t="n"/>
      <c r="U593" s="297" t="n"/>
    </row>
    <row r="594">
      <c r="A594" s="174" t="n"/>
      <c r="B594" s="299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97" t="n"/>
      <c r="P594" s="297" t="n"/>
      <c r="Q594" s="297" t="n"/>
      <c r="R594" s="297" t="n"/>
      <c r="S594" s="297" t="n"/>
      <c r="T594" s="297" t="n"/>
      <c r="U594" s="297" t="n"/>
    </row>
    <row r="595">
      <c r="A595" s="174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97" t="n"/>
      <c r="P595" s="297" t="n"/>
      <c r="Q595" s="297" t="n"/>
      <c r="R595" s="297" t="n"/>
      <c r="S595" s="297" t="n"/>
      <c r="T595" s="297" t="n"/>
      <c r="U595" s="297" t="n"/>
    </row>
    <row r="596">
      <c r="A596" s="174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97" t="n"/>
      <c r="P596" s="297" t="n"/>
      <c r="Q596" s="297" t="n"/>
      <c r="R596" s="297" t="n"/>
      <c r="S596" s="297" t="n"/>
      <c r="T596" s="297" t="n"/>
      <c r="U596" s="297" t="n"/>
    </row>
    <row r="597">
      <c r="A597" s="174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97" t="n"/>
      <c r="P597" s="297" t="n"/>
      <c r="Q597" s="297" t="n"/>
      <c r="R597" s="297" t="n"/>
      <c r="S597" s="297" t="n"/>
      <c r="T597" s="297" t="n"/>
      <c r="U597" s="297" t="n"/>
    </row>
    <row r="598">
      <c r="A598" s="174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97" t="n"/>
      <c r="P598" s="297" t="n"/>
      <c r="Q598" s="297" t="n"/>
      <c r="R598" s="297" t="n"/>
      <c r="S598" s="297" t="n"/>
      <c r="T598" s="297" t="n"/>
      <c r="U598" s="297" t="n"/>
    </row>
    <row r="599">
      <c r="A599" s="174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97" t="n"/>
      <c r="P599" s="297" t="n"/>
      <c r="Q599" s="297" t="n"/>
      <c r="R599" s="297" t="n"/>
      <c r="S599" s="297" t="n"/>
      <c r="T599" s="297" t="n"/>
      <c r="U599" s="297" t="n"/>
    </row>
    <row r="600">
      <c r="A600" s="174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97" t="n"/>
      <c r="P600" s="297" t="n"/>
      <c r="Q600" s="297" t="n"/>
      <c r="R600" s="297" t="n"/>
      <c r="S600" s="297" t="n"/>
      <c r="T600" s="297" t="n"/>
      <c r="U600" s="297" t="n"/>
    </row>
    <row r="601">
      <c r="A601" s="174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97" t="n"/>
      <c r="P601" s="297" t="n"/>
      <c r="Q601" s="297" t="n"/>
      <c r="R601" s="297" t="n"/>
      <c r="S601" s="297" t="n"/>
      <c r="T601" s="297" t="n"/>
      <c r="U601" s="297" t="n"/>
    </row>
    <row r="602">
      <c r="A602" s="174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97" t="n"/>
      <c r="P602" s="297" t="n"/>
      <c r="Q602" s="297" t="n"/>
      <c r="R602" s="297" t="n"/>
      <c r="S602" s="297" t="n"/>
      <c r="T602" s="297" t="n"/>
      <c r="U602" s="297" t="n"/>
    </row>
    <row r="603">
      <c r="A603" s="174" t="n"/>
      <c r="B603" s="299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97" t="n"/>
      <c r="P603" s="297" t="n"/>
      <c r="Q603" s="297" t="n"/>
      <c r="R603" s="297" t="n"/>
      <c r="S603" s="297" t="n"/>
      <c r="T603" s="297" t="n"/>
      <c r="U603" s="297" t="n"/>
    </row>
    <row r="604">
      <c r="A604" s="174" t="n"/>
      <c r="B604" s="299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97" t="n"/>
      <c r="P604" s="297" t="n"/>
      <c r="Q604" s="297" t="n"/>
      <c r="R604" s="297" t="n"/>
      <c r="S604" s="297" t="n"/>
      <c r="T604" s="297" t="n"/>
      <c r="U604" s="297" t="n"/>
    </row>
    <row r="605">
      <c r="A605" s="174" t="n"/>
      <c r="B605" s="299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97" t="n"/>
      <c r="P605" s="297" t="n"/>
      <c r="Q605" s="297" t="n"/>
      <c r="R605" s="297" t="n"/>
      <c r="S605" s="297" t="n"/>
      <c r="T605" s="297" t="n"/>
      <c r="U605" s="297" t="n"/>
    </row>
    <row r="606">
      <c r="A606" s="174" t="n"/>
      <c r="B606" s="299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97" t="n"/>
      <c r="P606" s="297" t="n"/>
      <c r="Q606" s="297" t="n"/>
      <c r="R606" s="297" t="n"/>
      <c r="S606" s="297" t="n"/>
      <c r="T606" s="297" t="n"/>
      <c r="U606" s="297" t="n"/>
    </row>
    <row r="607">
      <c r="A607" s="174" t="n"/>
      <c r="B607" s="299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97" t="n"/>
      <c r="P607" s="297" t="n"/>
      <c r="Q607" s="297" t="n"/>
      <c r="R607" s="297" t="n"/>
      <c r="S607" s="297" t="n"/>
      <c r="T607" s="297" t="n"/>
      <c r="U607" s="297" t="n"/>
    </row>
    <row r="608">
      <c r="A608" s="174" t="n"/>
      <c r="B608" s="299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97" t="n"/>
      <c r="P608" s="297" t="n"/>
      <c r="Q608" s="297" t="n"/>
      <c r="R608" s="297" t="n"/>
      <c r="S608" s="297" t="n"/>
      <c r="T608" s="297" t="n"/>
      <c r="U608" s="297" t="n"/>
    </row>
    <row r="609">
      <c r="A609" s="174" t="n"/>
      <c r="B609" s="299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97" t="n"/>
      <c r="P609" s="297" t="n"/>
      <c r="Q609" s="297" t="n"/>
      <c r="R609" s="297" t="n"/>
      <c r="S609" s="297" t="n"/>
      <c r="T609" s="297" t="n"/>
      <c r="U609" s="297" t="n"/>
    </row>
    <row r="610">
      <c r="A610" s="174" t="n"/>
      <c r="B610" s="299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97" t="n"/>
      <c r="P610" s="297" t="n"/>
      <c r="Q610" s="297" t="n"/>
      <c r="R610" s="297" t="n"/>
      <c r="S610" s="297" t="n"/>
      <c r="T610" s="297" t="n"/>
      <c r="U610" s="297" t="n"/>
    </row>
    <row r="611">
      <c r="A611" s="174" t="n"/>
      <c r="B611" s="299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97" t="n"/>
      <c r="P611" s="297" t="n"/>
      <c r="Q611" s="297" t="n"/>
      <c r="R611" s="297" t="n"/>
      <c r="S611" s="297" t="n"/>
      <c r="T611" s="297" t="n"/>
      <c r="U611" s="297" t="n"/>
    </row>
    <row r="612">
      <c r="A612" s="174" t="n"/>
      <c r="B612" s="299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97" t="n"/>
      <c r="P612" s="297" t="n"/>
      <c r="Q612" s="297" t="n"/>
      <c r="R612" s="297" t="n"/>
      <c r="S612" s="297" t="n"/>
      <c r="T612" s="297" t="n"/>
      <c r="U612" s="297" t="n"/>
    </row>
    <row r="613">
      <c r="A613" s="174" t="n"/>
      <c r="B613" s="299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97" t="n"/>
      <c r="P613" s="297" t="n"/>
      <c r="Q613" s="297" t="n"/>
      <c r="R613" s="297" t="n"/>
      <c r="S613" s="297" t="n"/>
      <c r="T613" s="297" t="n"/>
      <c r="U613" s="297" t="n"/>
    </row>
    <row r="614">
      <c r="A614" s="174" t="n"/>
      <c r="B614" s="299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97" t="n"/>
      <c r="P614" s="297" t="n"/>
      <c r="Q614" s="297" t="n"/>
      <c r="R614" s="297" t="n"/>
      <c r="S614" s="297" t="n"/>
      <c r="T614" s="297" t="n"/>
      <c r="U614" s="297" t="n"/>
    </row>
    <row r="615">
      <c r="A615" s="174" t="n"/>
      <c r="B615" s="300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301" t="n"/>
      <c r="P615" s="301" t="n"/>
      <c r="Q615" s="301" t="n"/>
      <c r="R615" s="301" t="n"/>
      <c r="S615" s="301" t="n"/>
      <c r="T615" s="301" t="n"/>
      <c r="U615" s="301" t="n"/>
    </row>
    <row r="616">
      <c r="A616" s="174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97" t="n"/>
      <c r="P616" s="297" t="n"/>
      <c r="Q616" s="297" t="n"/>
      <c r="R616" s="297" t="n"/>
      <c r="S616" s="297" t="n"/>
      <c r="T616" s="297" t="n"/>
      <c r="U616" s="297" t="n"/>
    </row>
    <row r="617">
      <c r="A617" s="174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97" t="n"/>
      <c r="P617" s="297" t="n"/>
      <c r="Q617" s="297" t="n"/>
      <c r="R617" s="297" t="n"/>
      <c r="S617" s="297" t="n"/>
      <c r="T617" s="297" t="n"/>
      <c r="U617" s="297" t="n"/>
    </row>
    <row r="618">
      <c r="A618" s="174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97" t="n"/>
      <c r="P618" s="297" t="n"/>
      <c r="Q618" s="297" t="n"/>
      <c r="R618" s="297" t="n"/>
      <c r="S618" s="297" t="n"/>
      <c r="T618" s="297" t="n"/>
      <c r="U618" s="297" t="n"/>
    </row>
    <row r="619">
      <c r="A619" s="174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97" t="n"/>
      <c r="P619" s="297" t="n"/>
      <c r="Q619" s="297" t="n"/>
      <c r="R619" s="297" t="n"/>
      <c r="S619" s="297" t="n"/>
      <c r="T619" s="297" t="n"/>
      <c r="U619" s="297" t="n"/>
    </row>
    <row r="620">
      <c r="A620" s="174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97" t="n"/>
      <c r="P620" s="297" t="n"/>
      <c r="Q620" s="297" t="n"/>
      <c r="R620" s="297" t="n"/>
      <c r="S620" s="297" t="n"/>
      <c r="T620" s="297" t="n"/>
      <c r="U620" s="297" t="n"/>
    </row>
    <row r="621">
      <c r="A621" s="174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97" t="n"/>
      <c r="P621" s="297" t="n"/>
      <c r="Q621" s="297" t="n"/>
      <c r="R621" s="297" t="n"/>
      <c r="S621" s="297" t="n"/>
      <c r="T621" s="297" t="n"/>
      <c r="U621" s="297" t="n"/>
    </row>
    <row r="622">
      <c r="A622" s="174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97" t="n"/>
      <c r="P622" s="297" t="n"/>
      <c r="Q622" s="297" t="n"/>
      <c r="R622" s="297" t="n"/>
      <c r="S622" s="297" t="n"/>
      <c r="T622" s="297" t="n"/>
      <c r="U622" s="297" t="n"/>
    </row>
    <row r="623">
      <c r="A623" s="174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97" t="n"/>
      <c r="P623" s="297" t="n"/>
      <c r="Q623" s="297" t="n"/>
      <c r="R623" s="297" t="n"/>
      <c r="S623" s="297" t="n"/>
      <c r="T623" s="297" t="n"/>
      <c r="U623" s="297" t="n"/>
    </row>
    <row r="624">
      <c r="A624" s="174" t="n"/>
      <c r="B624" s="299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97" t="n"/>
      <c r="P624" s="297" t="n"/>
      <c r="Q624" s="297" t="n"/>
      <c r="R624" s="297" t="n"/>
      <c r="S624" s="297" t="n"/>
      <c r="T624" s="297" t="n"/>
      <c r="U624" s="297" t="n"/>
    </row>
    <row r="625">
      <c r="A625" s="174" t="n"/>
      <c r="B625" s="299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97" t="n"/>
      <c r="P625" s="297" t="n"/>
      <c r="Q625" s="297" t="n"/>
      <c r="R625" s="297" t="n"/>
      <c r="S625" s="297" t="n"/>
      <c r="T625" s="297" t="n"/>
      <c r="U625" s="297" t="n"/>
    </row>
    <row r="626">
      <c r="A626" s="174" t="n"/>
      <c r="B626" s="299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97" t="n"/>
      <c r="P626" s="297" t="n"/>
      <c r="Q626" s="297" t="n"/>
      <c r="R626" s="297" t="n"/>
      <c r="S626" s="297" t="n"/>
      <c r="T626" s="297" t="n"/>
      <c r="U626" s="297" t="n"/>
    </row>
    <row r="627">
      <c r="A627" s="174" t="n"/>
      <c r="B627" s="299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97" t="n"/>
      <c r="P627" s="297" t="n"/>
      <c r="Q627" s="297" t="n"/>
      <c r="R627" s="297" t="n"/>
      <c r="S627" s="297" t="n"/>
      <c r="T627" s="297" t="n"/>
      <c r="U627" s="297" t="n"/>
    </row>
    <row r="628">
      <c r="A628" s="174" t="n"/>
      <c r="B628" s="299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97" t="n"/>
      <c r="P628" s="297" t="n"/>
      <c r="Q628" s="297" t="n"/>
      <c r="R628" s="297" t="n"/>
      <c r="S628" s="297" t="n"/>
      <c r="T628" s="297" t="n"/>
      <c r="U628" s="297" t="n"/>
    </row>
    <row r="629">
      <c r="A629" s="174" t="n"/>
      <c r="B629" s="299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97" t="n"/>
      <c r="P629" s="297" t="n"/>
      <c r="Q629" s="297" t="n"/>
      <c r="R629" s="297" t="n"/>
      <c r="S629" s="297" t="n"/>
      <c r="T629" s="297" t="n"/>
      <c r="U629" s="297" t="n"/>
    </row>
    <row r="630">
      <c r="A630" s="174" t="n"/>
      <c r="B630" s="299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97" t="n"/>
      <c r="P630" s="297" t="n"/>
      <c r="Q630" s="297" t="n"/>
      <c r="R630" s="297" t="n"/>
      <c r="S630" s="297" t="n"/>
      <c r="T630" s="297" t="n"/>
      <c r="U630" s="297" t="n"/>
    </row>
    <row r="631">
      <c r="A631" s="174" t="n"/>
      <c r="B631" s="299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97" t="n"/>
      <c r="P631" s="297" t="n"/>
      <c r="Q631" s="297" t="n"/>
      <c r="R631" s="297" t="n"/>
      <c r="S631" s="297" t="n"/>
      <c r="T631" s="297" t="n"/>
      <c r="U631" s="297" t="n"/>
    </row>
    <row r="632">
      <c r="A632" s="174" t="n"/>
      <c r="B632" s="299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97" t="n"/>
      <c r="P632" s="297" t="n"/>
      <c r="Q632" s="297" t="n"/>
      <c r="R632" s="297" t="n"/>
      <c r="S632" s="297" t="n"/>
      <c r="T632" s="297" t="n"/>
      <c r="U632" s="297" t="n"/>
    </row>
    <row r="633">
      <c r="A633" s="174" t="n"/>
      <c r="B633" s="299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97" t="n"/>
      <c r="P633" s="297" t="n"/>
      <c r="Q633" s="297" t="n"/>
      <c r="R633" s="297" t="n"/>
      <c r="S633" s="297" t="n"/>
      <c r="T633" s="297" t="n"/>
      <c r="U633" s="297" t="n"/>
    </row>
    <row r="634">
      <c r="A634" s="174" t="n"/>
      <c r="B634" s="299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97" t="n"/>
      <c r="P634" s="297" t="n"/>
      <c r="Q634" s="297" t="n"/>
      <c r="R634" s="297" t="n"/>
      <c r="S634" s="297" t="n"/>
      <c r="T634" s="297" t="n"/>
      <c r="U634" s="297" t="n"/>
    </row>
    <row r="635">
      <c r="A635" s="174" t="n"/>
      <c r="B635" s="299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97" t="n"/>
      <c r="P635" s="297" t="n"/>
      <c r="Q635" s="297" t="n"/>
      <c r="R635" s="297" t="n"/>
      <c r="S635" s="297" t="n"/>
      <c r="T635" s="297" t="n"/>
      <c r="U635" s="297" t="n"/>
    </row>
    <row r="636">
      <c r="A636" s="174" t="n"/>
      <c r="B636" s="299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97" t="n"/>
      <c r="P636" s="297" t="n"/>
      <c r="Q636" s="297" t="n"/>
      <c r="R636" s="297" t="n"/>
      <c r="S636" s="297" t="n"/>
      <c r="T636" s="297" t="n"/>
      <c r="U636" s="297" t="n"/>
    </row>
    <row r="637">
      <c r="A637" s="174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97" t="n"/>
      <c r="P637" s="297" t="n"/>
      <c r="Q637" s="297" t="n"/>
      <c r="R637" s="297" t="n"/>
      <c r="S637" s="297" t="n"/>
      <c r="T637" s="297" t="n"/>
      <c r="U637" s="297" t="n"/>
    </row>
    <row r="638">
      <c r="A638" s="174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97" t="n"/>
      <c r="P638" s="297" t="n"/>
      <c r="Q638" s="297" t="n"/>
      <c r="R638" s="297" t="n"/>
      <c r="S638" s="297" t="n"/>
      <c r="T638" s="297" t="n"/>
      <c r="U638" s="297" t="n"/>
    </row>
    <row r="639">
      <c r="A639" s="174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97" t="n"/>
      <c r="P639" s="297" t="n"/>
      <c r="Q639" s="297" t="n"/>
      <c r="R639" s="297" t="n"/>
      <c r="S639" s="297" t="n"/>
      <c r="T639" s="297" t="n"/>
      <c r="U639" s="297" t="n"/>
    </row>
    <row r="640">
      <c r="A640" s="174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97" t="n"/>
      <c r="P640" s="297" t="n"/>
      <c r="Q640" s="297" t="n"/>
      <c r="R640" s="297" t="n"/>
      <c r="S640" s="297" t="n"/>
      <c r="T640" s="297" t="n"/>
      <c r="U640" s="297" t="n"/>
    </row>
    <row r="641">
      <c r="A641" s="174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97" t="n"/>
      <c r="P641" s="297" t="n"/>
      <c r="Q641" s="297" t="n"/>
      <c r="R641" s="297" t="n"/>
      <c r="S641" s="297" t="n"/>
      <c r="T641" s="297" t="n"/>
      <c r="U641" s="297" t="n"/>
    </row>
    <row r="642">
      <c r="A642" s="174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97" t="n"/>
      <c r="P642" s="297" t="n"/>
      <c r="Q642" s="297" t="n"/>
      <c r="R642" s="297" t="n"/>
      <c r="S642" s="297" t="n"/>
      <c r="T642" s="297" t="n"/>
      <c r="U642" s="297" t="n"/>
    </row>
    <row r="643">
      <c r="A643" s="174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97" t="n"/>
      <c r="P643" s="297" t="n"/>
      <c r="Q643" s="297" t="n"/>
      <c r="R643" s="297" t="n"/>
      <c r="S643" s="297" t="n"/>
      <c r="T643" s="297" t="n"/>
      <c r="U643" s="297" t="n"/>
    </row>
    <row r="644">
      <c r="A644" s="174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97" t="n"/>
      <c r="P644" s="297" t="n"/>
      <c r="Q644" s="297" t="n"/>
      <c r="R644" s="297" t="n"/>
      <c r="S644" s="297" t="n"/>
      <c r="T644" s="297" t="n"/>
      <c r="U644" s="297" t="n"/>
    </row>
    <row r="645">
      <c r="A645" s="174" t="n"/>
      <c r="B645" s="299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97" t="n"/>
      <c r="P645" s="297" t="n"/>
      <c r="Q645" s="297" t="n"/>
      <c r="R645" s="297" t="n"/>
      <c r="S645" s="297" t="n"/>
      <c r="T645" s="297" t="n"/>
      <c r="U645" s="297" t="n"/>
    </row>
    <row r="646">
      <c r="A646" s="174" t="n"/>
      <c r="B646" s="299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97" t="n"/>
      <c r="P646" s="297" t="n"/>
      <c r="Q646" s="297" t="n"/>
      <c r="R646" s="297" t="n"/>
      <c r="S646" s="297" t="n"/>
      <c r="T646" s="297" t="n"/>
      <c r="U646" s="297" t="n"/>
    </row>
    <row r="647">
      <c r="A647" s="174" t="n"/>
      <c r="B647" s="299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97" t="n"/>
      <c r="P647" s="297" t="n"/>
      <c r="Q647" s="297" t="n"/>
      <c r="R647" s="297" t="n"/>
      <c r="S647" s="297" t="n"/>
      <c r="T647" s="297" t="n"/>
      <c r="U647" s="297" t="n"/>
    </row>
    <row r="648">
      <c r="A648" s="174" t="n"/>
      <c r="B648" s="299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97" t="n"/>
      <c r="P648" s="297" t="n"/>
      <c r="Q648" s="297" t="n"/>
      <c r="R648" s="297" t="n"/>
      <c r="S648" s="297" t="n"/>
      <c r="T648" s="297" t="n"/>
      <c r="U648" s="297" t="n"/>
    </row>
    <row r="649">
      <c r="A649" s="174" t="n"/>
      <c r="B649" s="299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97" t="n"/>
      <c r="P649" s="297" t="n"/>
      <c r="Q649" s="297" t="n"/>
      <c r="R649" s="297" t="n"/>
      <c r="S649" s="297" t="n"/>
      <c r="T649" s="297" t="n"/>
      <c r="U649" s="297" t="n"/>
    </row>
    <row r="650">
      <c r="A650" s="174" t="n"/>
      <c r="B650" s="299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97" t="n"/>
      <c r="P650" s="297" t="n"/>
      <c r="Q650" s="297" t="n"/>
      <c r="R650" s="297" t="n"/>
      <c r="S650" s="297" t="n"/>
      <c r="T650" s="297" t="n"/>
      <c r="U650" s="297" t="n"/>
    </row>
    <row r="651">
      <c r="A651" s="174" t="n"/>
      <c r="B651" s="299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97" t="n"/>
      <c r="P651" s="297" t="n"/>
      <c r="Q651" s="297" t="n"/>
      <c r="R651" s="297" t="n"/>
      <c r="S651" s="297" t="n"/>
      <c r="T651" s="297" t="n"/>
      <c r="U651" s="297" t="n"/>
    </row>
    <row r="652">
      <c r="A652" s="174" t="n"/>
      <c r="B652" s="299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97" t="n"/>
      <c r="P652" s="297" t="n"/>
      <c r="Q652" s="297" t="n"/>
      <c r="R652" s="297" t="n"/>
      <c r="S652" s="297" t="n"/>
      <c r="T652" s="297" t="n"/>
      <c r="U652" s="297" t="n"/>
    </row>
    <row r="653">
      <c r="A653" s="174" t="n"/>
      <c r="B653" s="299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97" t="n"/>
      <c r="P653" s="297" t="n"/>
      <c r="Q653" s="297" t="n"/>
      <c r="R653" s="297" t="n"/>
      <c r="S653" s="297" t="n"/>
      <c r="T653" s="297" t="n"/>
      <c r="U653" s="297" t="n"/>
    </row>
    <row r="654">
      <c r="A654" s="174" t="n"/>
      <c r="B654" s="299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97" t="n"/>
      <c r="P654" s="297" t="n"/>
      <c r="Q654" s="297" t="n"/>
      <c r="R654" s="297" t="n"/>
      <c r="S654" s="297" t="n"/>
      <c r="T654" s="297" t="n"/>
      <c r="U654" s="297" t="n"/>
    </row>
    <row r="655">
      <c r="A655" s="174" t="n"/>
      <c r="B655" s="299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97" t="n"/>
      <c r="P655" s="297" t="n"/>
      <c r="Q655" s="297" t="n"/>
      <c r="R655" s="297" t="n"/>
      <c r="S655" s="297" t="n"/>
      <c r="T655" s="297" t="n"/>
      <c r="U655" s="297" t="n"/>
    </row>
    <row r="656">
      <c r="A656" s="174" t="n"/>
      <c r="B656" s="299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97" t="n"/>
      <c r="P656" s="297" t="n"/>
      <c r="Q656" s="297" t="n"/>
      <c r="R656" s="297" t="n"/>
      <c r="S656" s="297" t="n"/>
      <c r="T656" s="297" t="n"/>
      <c r="U656" s="297" t="n"/>
    </row>
    <row r="657">
      <c r="A657" s="174" t="n"/>
      <c r="B657" s="300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301" t="n"/>
      <c r="P657" s="301" t="n"/>
      <c r="Q657" s="301" t="n"/>
      <c r="R657" s="301" t="n"/>
      <c r="S657" s="301" t="n"/>
      <c r="T657" s="301" t="n"/>
      <c r="U657" s="301" t="n"/>
    </row>
    <row r="658">
      <c r="A658" s="174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97" t="n"/>
      <c r="P658" s="297" t="n"/>
      <c r="Q658" s="297" t="n"/>
      <c r="R658" s="297" t="n"/>
      <c r="S658" s="297" t="n"/>
      <c r="T658" s="297" t="n"/>
      <c r="U658" s="297" t="n"/>
    </row>
    <row r="659">
      <c r="A659" s="174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97" t="n"/>
      <c r="P659" s="297" t="n"/>
      <c r="Q659" s="297" t="n"/>
      <c r="R659" s="297" t="n"/>
      <c r="S659" s="297" t="n"/>
      <c r="T659" s="297" t="n"/>
      <c r="U659" s="297" t="n"/>
    </row>
    <row r="660">
      <c r="A660" s="174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97" t="n"/>
      <c r="P660" s="297" t="n"/>
      <c r="Q660" s="297" t="n"/>
      <c r="R660" s="297" t="n"/>
      <c r="S660" s="297" t="n"/>
      <c r="T660" s="297" t="n"/>
      <c r="U660" s="297" t="n"/>
    </row>
    <row r="661">
      <c r="A661" s="174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97" t="n"/>
      <c r="P661" s="297" t="n"/>
      <c r="Q661" s="297" t="n"/>
      <c r="R661" s="297" t="n"/>
      <c r="S661" s="297" t="n"/>
      <c r="T661" s="297" t="n"/>
      <c r="U661" s="297" t="n"/>
    </row>
    <row r="662">
      <c r="A662" s="174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97" t="n"/>
      <c r="P662" s="297" t="n"/>
      <c r="Q662" s="297" t="n"/>
      <c r="R662" s="297" t="n"/>
      <c r="S662" s="297" t="n"/>
      <c r="T662" s="297" t="n"/>
      <c r="U662" s="297" t="n"/>
    </row>
    <row r="663">
      <c r="A663" s="174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97" t="n"/>
      <c r="P663" s="297" t="n"/>
      <c r="Q663" s="297" t="n"/>
      <c r="R663" s="297" t="n"/>
      <c r="S663" s="297" t="n"/>
      <c r="T663" s="297" t="n"/>
      <c r="U663" s="297" t="n"/>
    </row>
    <row r="664">
      <c r="A664" s="174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97" t="n"/>
      <c r="P664" s="297" t="n"/>
      <c r="Q664" s="297" t="n"/>
      <c r="R664" s="297" t="n"/>
      <c r="S664" s="297" t="n"/>
      <c r="T664" s="297" t="n"/>
      <c r="U664" s="297" t="n"/>
    </row>
    <row r="665">
      <c r="A665" s="174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97" t="n"/>
      <c r="P665" s="297" t="n"/>
      <c r="Q665" s="297" t="n"/>
      <c r="R665" s="297" t="n"/>
      <c r="S665" s="297" t="n"/>
      <c r="T665" s="297" t="n"/>
      <c r="U665" s="297" t="n"/>
    </row>
    <row r="666">
      <c r="A666" s="174" t="n"/>
      <c r="B666" s="299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97" t="n"/>
      <c r="P666" s="297" t="n"/>
      <c r="Q666" s="297" t="n"/>
      <c r="R666" s="297" t="n"/>
      <c r="S666" s="297" t="n"/>
      <c r="T666" s="297" t="n"/>
      <c r="U666" s="297" t="n"/>
    </row>
    <row r="667">
      <c r="A667" s="174" t="n"/>
      <c r="B667" s="299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97" t="n"/>
      <c r="P667" s="297" t="n"/>
      <c r="Q667" s="297" t="n"/>
      <c r="R667" s="297" t="n"/>
      <c r="S667" s="297" t="n"/>
      <c r="T667" s="297" t="n"/>
      <c r="U667" s="297" t="n"/>
    </row>
    <row r="668">
      <c r="A668" s="174" t="n"/>
      <c r="B668" s="299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97" t="n"/>
      <c r="P668" s="297" t="n"/>
      <c r="Q668" s="297" t="n"/>
      <c r="R668" s="297" t="n"/>
      <c r="S668" s="297" t="n"/>
      <c r="T668" s="297" t="n"/>
      <c r="U668" s="297" t="n"/>
    </row>
    <row r="669">
      <c r="A669" s="174" t="n"/>
      <c r="B669" s="299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97" t="n"/>
      <c r="P669" s="297" t="n"/>
      <c r="Q669" s="297" t="n"/>
      <c r="R669" s="297" t="n"/>
      <c r="S669" s="297" t="n"/>
      <c r="T669" s="297" t="n"/>
      <c r="U669" s="297" t="n"/>
    </row>
    <row r="670">
      <c r="A670" s="174" t="n"/>
      <c r="B670" s="299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97" t="n"/>
      <c r="P670" s="297" t="n"/>
      <c r="Q670" s="297" t="n"/>
      <c r="R670" s="297" t="n"/>
      <c r="S670" s="297" t="n"/>
      <c r="T670" s="297" t="n"/>
      <c r="U670" s="297" t="n"/>
    </row>
    <row r="671">
      <c r="A671" s="174" t="n"/>
      <c r="B671" s="299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97" t="n"/>
      <c r="P671" s="297" t="n"/>
      <c r="Q671" s="297" t="n"/>
      <c r="R671" s="297" t="n"/>
      <c r="S671" s="297" t="n"/>
      <c r="T671" s="297" t="n"/>
      <c r="U671" s="297" t="n"/>
    </row>
    <row r="672">
      <c r="A672" s="174" t="n"/>
      <c r="B672" s="299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97" t="n"/>
      <c r="P672" s="297" t="n"/>
      <c r="Q672" s="297" t="n"/>
      <c r="R672" s="297" t="n"/>
      <c r="S672" s="297" t="n"/>
      <c r="T672" s="297" t="n"/>
      <c r="U672" s="297" t="n"/>
    </row>
    <row r="673">
      <c r="A673" s="174" t="n"/>
      <c r="B673" s="299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97" t="n"/>
      <c r="P673" s="297" t="n"/>
      <c r="Q673" s="297" t="n"/>
      <c r="R673" s="297" t="n"/>
      <c r="S673" s="297" t="n"/>
      <c r="T673" s="297" t="n"/>
      <c r="U673" s="297" t="n"/>
    </row>
    <row r="674">
      <c r="A674" s="174" t="n"/>
      <c r="B674" s="299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97" t="n"/>
      <c r="P674" s="297" t="n"/>
      <c r="Q674" s="297" t="n"/>
      <c r="R674" s="297" t="n"/>
      <c r="S674" s="297" t="n"/>
      <c r="T674" s="297" t="n"/>
      <c r="U674" s="297" t="n"/>
    </row>
    <row r="675">
      <c r="A675" s="174" t="n"/>
      <c r="B675" s="299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97" t="n"/>
      <c r="P675" s="297" t="n"/>
      <c r="Q675" s="297" t="n"/>
      <c r="R675" s="297" t="n"/>
      <c r="S675" s="297" t="n"/>
      <c r="T675" s="297" t="n"/>
      <c r="U675" s="297" t="n"/>
    </row>
    <row r="676">
      <c r="A676" s="174" t="n"/>
      <c r="B676" s="299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97" t="n"/>
      <c r="P676" s="297" t="n"/>
      <c r="Q676" s="297" t="n"/>
      <c r="R676" s="297" t="n"/>
      <c r="S676" s="297" t="n"/>
      <c r="T676" s="297" t="n"/>
      <c r="U676" s="297" t="n"/>
    </row>
    <row r="677">
      <c r="A677" s="174" t="n"/>
      <c r="B677" s="299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97" t="n"/>
      <c r="P677" s="297" t="n"/>
      <c r="Q677" s="297" t="n"/>
      <c r="R677" s="297" t="n"/>
      <c r="S677" s="297" t="n"/>
      <c r="T677" s="297" t="n"/>
      <c r="U677" s="297" t="n"/>
    </row>
    <row r="678">
      <c r="A678" s="174" t="n"/>
      <c r="B678" s="299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97" t="n"/>
      <c r="P678" s="297" t="n"/>
      <c r="Q678" s="297" t="n"/>
      <c r="R678" s="297" t="n"/>
      <c r="S678" s="297" t="n"/>
      <c r="T678" s="297" t="n"/>
      <c r="U678" s="297" t="n"/>
    </row>
    <row r="679">
      <c r="A679" s="174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97" t="n"/>
      <c r="P679" s="297" t="n"/>
      <c r="Q679" s="297" t="n"/>
      <c r="R679" s="297" t="n"/>
      <c r="S679" s="297" t="n"/>
      <c r="T679" s="297" t="n"/>
      <c r="U679" s="297" t="n"/>
    </row>
    <row r="680">
      <c r="A680" s="174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97" t="n"/>
      <c r="P680" s="297" t="n"/>
      <c r="Q680" s="297" t="n"/>
      <c r="R680" s="297" t="n"/>
      <c r="S680" s="297" t="n"/>
      <c r="T680" s="297" t="n"/>
      <c r="U680" s="297" t="n"/>
    </row>
    <row r="681">
      <c r="A681" s="174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97" t="n"/>
      <c r="P681" s="297" t="n"/>
      <c r="Q681" s="297" t="n"/>
      <c r="R681" s="297" t="n"/>
      <c r="S681" s="297" t="n"/>
      <c r="T681" s="297" t="n"/>
      <c r="U681" s="297" t="n"/>
    </row>
    <row r="682">
      <c r="A682" s="174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97" t="n"/>
      <c r="P682" s="297" t="n"/>
      <c r="Q682" s="297" t="n"/>
      <c r="R682" s="297" t="n"/>
      <c r="S682" s="297" t="n"/>
      <c r="T682" s="297" t="n"/>
      <c r="U682" s="297" t="n"/>
    </row>
    <row r="683">
      <c r="A683" s="174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97" t="n"/>
      <c r="P683" s="297" t="n"/>
      <c r="Q683" s="297" t="n"/>
      <c r="R683" s="297" t="n"/>
      <c r="S683" s="297" t="n"/>
      <c r="T683" s="297" t="n"/>
      <c r="U683" s="297" t="n"/>
    </row>
    <row r="684">
      <c r="A684" s="174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97" t="n"/>
      <c r="P684" s="297" t="n"/>
      <c r="Q684" s="297" t="n"/>
      <c r="R684" s="297" t="n"/>
      <c r="S684" s="297" t="n"/>
      <c r="T684" s="297" t="n"/>
      <c r="U684" s="297" t="n"/>
    </row>
    <row r="685">
      <c r="A685" s="174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97" t="n"/>
      <c r="P685" s="297" t="n"/>
      <c r="Q685" s="297" t="n"/>
      <c r="R685" s="297" t="n"/>
      <c r="S685" s="297" t="n"/>
      <c r="T685" s="297" t="n"/>
      <c r="U685" s="297" t="n"/>
    </row>
    <row r="686">
      <c r="A686" s="174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97" t="n"/>
      <c r="P686" s="297" t="n"/>
      <c r="Q686" s="297" t="n"/>
      <c r="R686" s="297" t="n"/>
      <c r="S686" s="297" t="n"/>
      <c r="T686" s="297" t="n"/>
      <c r="U686" s="297" t="n"/>
    </row>
    <row r="687">
      <c r="A687" s="174" t="n"/>
      <c r="B687" s="299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97" t="n"/>
      <c r="P687" s="297" t="n"/>
      <c r="Q687" s="297" t="n"/>
      <c r="R687" s="297" t="n"/>
      <c r="S687" s="297" t="n"/>
      <c r="T687" s="297" t="n"/>
      <c r="U687" s="297" t="n"/>
    </row>
    <row r="688">
      <c r="A688" s="174" t="n"/>
      <c r="B688" s="299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97" t="n"/>
      <c r="P688" s="297" t="n"/>
      <c r="Q688" s="297" t="n"/>
      <c r="R688" s="297" t="n"/>
      <c r="S688" s="297" t="n"/>
      <c r="T688" s="297" t="n"/>
      <c r="U688" s="297" t="n"/>
    </row>
    <row r="689">
      <c r="A689" s="174" t="n"/>
      <c r="B689" s="299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97" t="n"/>
      <c r="P689" s="297" t="n"/>
      <c r="Q689" s="297" t="n"/>
      <c r="R689" s="297" t="n"/>
      <c r="S689" s="297" t="n"/>
      <c r="T689" s="297" t="n"/>
      <c r="U689" s="297" t="n"/>
    </row>
    <row r="690">
      <c r="A690" s="174" t="n"/>
      <c r="B690" s="299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97" t="n"/>
      <c r="P690" s="297" t="n"/>
      <c r="Q690" s="297" t="n"/>
      <c r="R690" s="297" t="n"/>
      <c r="S690" s="297" t="n"/>
      <c r="T690" s="297" t="n"/>
      <c r="U690" s="297" t="n"/>
    </row>
    <row r="691">
      <c r="A691" s="174" t="n"/>
      <c r="B691" s="299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97" t="n"/>
      <c r="P691" s="297" t="n"/>
      <c r="Q691" s="297" t="n"/>
      <c r="R691" s="297" t="n"/>
      <c r="S691" s="297" t="n"/>
      <c r="T691" s="297" t="n"/>
      <c r="U691" s="297" t="n"/>
    </row>
    <row r="692">
      <c r="A692" s="174" t="n"/>
      <c r="B692" s="299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97" t="n"/>
      <c r="P692" s="297" t="n"/>
      <c r="Q692" s="297" t="n"/>
      <c r="R692" s="297" t="n"/>
      <c r="S692" s="297" t="n"/>
      <c r="T692" s="297" t="n"/>
      <c r="U692" s="297" t="n"/>
    </row>
    <row r="693">
      <c r="A693" s="174" t="n"/>
      <c r="B693" s="299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97" t="n"/>
      <c r="P693" s="297" t="n"/>
      <c r="Q693" s="297" t="n"/>
      <c r="R693" s="297" t="n"/>
      <c r="S693" s="297" t="n"/>
      <c r="T693" s="297" t="n"/>
      <c r="U693" s="297" t="n"/>
    </row>
    <row r="694">
      <c r="A694" s="174" t="n"/>
      <c r="B694" s="299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97" t="n"/>
      <c r="P694" s="297" t="n"/>
      <c r="Q694" s="297" t="n"/>
      <c r="R694" s="297" t="n"/>
      <c r="S694" s="297" t="n"/>
      <c r="T694" s="297" t="n"/>
      <c r="U694" s="297" t="n"/>
    </row>
    <row r="695">
      <c r="A695" s="174" t="n"/>
      <c r="B695" s="299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97" t="n"/>
      <c r="P695" s="297" t="n"/>
      <c r="Q695" s="297" t="n"/>
      <c r="R695" s="297" t="n"/>
      <c r="S695" s="297" t="n"/>
      <c r="T695" s="297" t="n"/>
      <c r="U695" s="297" t="n"/>
    </row>
    <row r="696">
      <c r="A696" s="174" t="n"/>
      <c r="B696" s="299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97" t="n"/>
      <c r="P696" s="297" t="n"/>
      <c r="Q696" s="297" t="n"/>
      <c r="R696" s="297" t="n"/>
      <c r="S696" s="297" t="n"/>
      <c r="T696" s="297" t="n"/>
      <c r="U696" s="297" t="n"/>
    </row>
    <row r="697">
      <c r="A697" s="174" t="n"/>
      <c r="B697" s="299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97" t="n"/>
      <c r="P697" s="297" t="n"/>
      <c r="Q697" s="297" t="n"/>
      <c r="R697" s="297" t="n"/>
      <c r="S697" s="297" t="n"/>
      <c r="T697" s="297" t="n"/>
      <c r="U697" s="297" t="n"/>
    </row>
    <row r="698">
      <c r="A698" s="174" t="n"/>
      <c r="B698" s="299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97" t="n"/>
      <c r="P698" s="297" t="n"/>
      <c r="Q698" s="297" t="n"/>
      <c r="R698" s="297" t="n"/>
      <c r="S698" s="297" t="n"/>
      <c r="T698" s="297" t="n"/>
      <c r="U698" s="297" t="n"/>
    </row>
    <row r="699">
      <c r="A699" s="174" t="n"/>
      <c r="B699" s="300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301" t="n"/>
      <c r="P699" s="301" t="n"/>
      <c r="Q699" s="301" t="n"/>
      <c r="R699" s="301" t="n"/>
      <c r="S699" s="301" t="n"/>
      <c r="T699" s="301" t="n"/>
      <c r="U699" s="301" t="n"/>
    </row>
    <row r="700">
      <c r="A700" s="174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97" t="n"/>
      <c r="P700" s="297" t="n"/>
      <c r="Q700" s="297" t="n"/>
      <c r="R700" s="297" t="n"/>
      <c r="S700" s="297" t="n"/>
      <c r="T700" s="297" t="n"/>
      <c r="U700" s="297" t="n"/>
    </row>
    <row r="701">
      <c r="A701" s="174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97" t="n"/>
      <c r="P701" s="297" t="n"/>
      <c r="Q701" s="297" t="n"/>
      <c r="R701" s="297" t="n"/>
      <c r="S701" s="297" t="n"/>
      <c r="T701" s="297" t="n"/>
      <c r="U701" s="297" t="n"/>
    </row>
    <row r="702">
      <c r="A702" s="174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97" t="n"/>
      <c r="P702" s="297" t="n"/>
      <c r="Q702" s="297" t="n"/>
      <c r="R702" s="297" t="n"/>
      <c r="S702" s="297" t="n"/>
      <c r="T702" s="297" t="n"/>
      <c r="U702" s="297" t="n"/>
    </row>
    <row r="703">
      <c r="A703" s="174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97" t="n"/>
      <c r="P703" s="297" t="n"/>
      <c r="Q703" s="297" t="n"/>
      <c r="R703" s="297" t="n"/>
      <c r="S703" s="297" t="n"/>
      <c r="T703" s="297" t="n"/>
      <c r="U703" s="297" t="n"/>
    </row>
    <row r="704">
      <c r="A704" s="174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97" t="n"/>
      <c r="P704" s="297" t="n"/>
      <c r="Q704" s="297" t="n"/>
      <c r="R704" s="297" t="n"/>
      <c r="S704" s="297" t="n"/>
      <c r="T704" s="297" t="n"/>
      <c r="U704" s="297" t="n"/>
    </row>
    <row r="705">
      <c r="A705" s="174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97" t="n"/>
      <c r="P705" s="297" t="n"/>
      <c r="Q705" s="297" t="n"/>
      <c r="R705" s="297" t="n"/>
      <c r="S705" s="297" t="n"/>
      <c r="T705" s="297" t="n"/>
      <c r="U705" s="297" t="n"/>
    </row>
    <row r="706">
      <c r="A706" s="174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97" t="n"/>
      <c r="P706" s="297" t="n"/>
      <c r="Q706" s="297" t="n"/>
      <c r="R706" s="297" t="n"/>
      <c r="S706" s="297" t="n"/>
      <c r="T706" s="297" t="n"/>
      <c r="U706" s="297" t="n"/>
    </row>
    <row r="707">
      <c r="A707" s="174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97" t="n"/>
      <c r="P707" s="297" t="n"/>
      <c r="Q707" s="297" t="n"/>
      <c r="R707" s="297" t="n"/>
      <c r="S707" s="297" t="n"/>
      <c r="T707" s="297" t="n"/>
      <c r="U707" s="297" t="n"/>
    </row>
    <row r="708">
      <c r="A708" s="174" t="n"/>
      <c r="B708" s="299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97" t="n"/>
      <c r="P708" s="297" t="n"/>
      <c r="Q708" s="297" t="n"/>
      <c r="R708" s="297" t="n"/>
      <c r="S708" s="297" t="n"/>
      <c r="T708" s="297" t="n"/>
      <c r="U708" s="297" t="n"/>
    </row>
    <row r="709">
      <c r="A709" s="174" t="n"/>
      <c r="B709" s="299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97" t="n"/>
      <c r="P709" s="297" t="n"/>
      <c r="Q709" s="297" t="n"/>
      <c r="R709" s="297" t="n"/>
      <c r="S709" s="297" t="n"/>
      <c r="T709" s="297" t="n"/>
      <c r="U709" s="297" t="n"/>
    </row>
    <row r="710">
      <c r="A710" s="174" t="n"/>
      <c r="B710" s="299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97" t="n"/>
      <c r="P710" s="297" t="n"/>
      <c r="Q710" s="297" t="n"/>
      <c r="R710" s="297" t="n"/>
      <c r="S710" s="297" t="n"/>
      <c r="T710" s="297" t="n"/>
      <c r="U710" s="297" t="n"/>
    </row>
    <row r="711">
      <c r="A711" s="174" t="n"/>
      <c r="B711" s="299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97" t="n"/>
      <c r="P711" s="297" t="n"/>
      <c r="Q711" s="297" t="n"/>
      <c r="R711" s="297" t="n"/>
      <c r="S711" s="297" t="n"/>
      <c r="T711" s="297" t="n"/>
      <c r="U711" s="297" t="n"/>
    </row>
    <row r="712">
      <c r="A712" s="174" t="n"/>
      <c r="B712" s="299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97" t="n"/>
      <c r="P712" s="297" t="n"/>
      <c r="Q712" s="297" t="n"/>
      <c r="R712" s="297" t="n"/>
      <c r="S712" s="297" t="n"/>
      <c r="T712" s="297" t="n"/>
      <c r="U712" s="297" t="n"/>
    </row>
    <row r="713">
      <c r="A713" s="174" t="n"/>
      <c r="B713" s="299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97" t="n"/>
      <c r="P713" s="297" t="n"/>
      <c r="Q713" s="297" t="n"/>
      <c r="R713" s="297" t="n"/>
      <c r="S713" s="297" t="n"/>
      <c r="T713" s="297" t="n"/>
      <c r="U713" s="297" t="n"/>
    </row>
    <row r="714">
      <c r="A714" s="174" t="n"/>
      <c r="B714" s="299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97" t="n"/>
      <c r="P714" s="297" t="n"/>
      <c r="Q714" s="297" t="n"/>
      <c r="R714" s="297" t="n"/>
      <c r="S714" s="297" t="n"/>
      <c r="T714" s="297" t="n"/>
      <c r="U714" s="297" t="n"/>
    </row>
    <row r="715">
      <c r="A715" s="174" t="n"/>
      <c r="B715" s="299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97" t="n"/>
      <c r="P715" s="297" t="n"/>
      <c r="Q715" s="297" t="n"/>
      <c r="R715" s="297" t="n"/>
      <c r="S715" s="297" t="n"/>
      <c r="T715" s="297" t="n"/>
      <c r="U715" s="297" t="n"/>
    </row>
    <row r="716">
      <c r="A716" s="174" t="n"/>
      <c r="B716" s="299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97" t="n"/>
      <c r="P716" s="297" t="n"/>
      <c r="Q716" s="297" t="n"/>
      <c r="R716" s="297" t="n"/>
      <c r="S716" s="297" t="n"/>
      <c r="T716" s="297" t="n"/>
      <c r="U716" s="297" t="n"/>
    </row>
    <row r="717">
      <c r="A717" s="174" t="n"/>
      <c r="B717" s="299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97" t="n"/>
      <c r="P717" s="297" t="n"/>
      <c r="Q717" s="297" t="n"/>
      <c r="R717" s="297" t="n"/>
      <c r="S717" s="297" t="n"/>
      <c r="T717" s="297" t="n"/>
      <c r="U717" s="297" t="n"/>
    </row>
    <row r="718">
      <c r="A718" s="174" t="n"/>
      <c r="B718" s="299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97" t="n"/>
      <c r="P718" s="297" t="n"/>
      <c r="Q718" s="297" t="n"/>
      <c r="R718" s="297" t="n"/>
      <c r="S718" s="297" t="n"/>
      <c r="T718" s="297" t="n"/>
      <c r="U718" s="297" t="n"/>
    </row>
    <row r="719">
      <c r="A719" s="174" t="n"/>
      <c r="B719" s="299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97" t="n"/>
      <c r="P719" s="297" t="n"/>
      <c r="Q719" s="297" t="n"/>
      <c r="R719" s="297" t="n"/>
      <c r="S719" s="297" t="n"/>
      <c r="T719" s="297" t="n"/>
      <c r="U719" s="297" t="n"/>
    </row>
    <row r="720">
      <c r="A720" s="174" t="n"/>
      <c r="B720" s="299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97" t="n"/>
      <c r="P720" s="297" t="n"/>
      <c r="Q720" s="297" t="n"/>
      <c r="R720" s="297" t="n"/>
      <c r="S720" s="297" t="n"/>
      <c r="T720" s="297" t="n"/>
      <c r="U720" s="297" t="n"/>
    </row>
    <row r="721">
      <c r="A721" s="174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97" t="n"/>
      <c r="P721" s="297" t="n"/>
      <c r="Q721" s="297" t="n"/>
      <c r="R721" s="297" t="n"/>
      <c r="S721" s="297" t="n"/>
      <c r="T721" s="297" t="n"/>
      <c r="U721" s="297" t="n"/>
    </row>
    <row r="722">
      <c r="A722" s="174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97" t="n"/>
      <c r="P722" s="297" t="n"/>
      <c r="Q722" s="297" t="n"/>
      <c r="R722" s="297" t="n"/>
      <c r="S722" s="297" t="n"/>
      <c r="T722" s="297" t="n"/>
      <c r="U722" s="297" t="n"/>
    </row>
    <row r="723">
      <c r="A723" s="174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97" t="n"/>
      <c r="P723" s="297" t="n"/>
      <c r="Q723" s="297" t="n"/>
      <c r="R723" s="297" t="n"/>
      <c r="S723" s="297" t="n"/>
      <c r="T723" s="297" t="n"/>
      <c r="U723" s="297" t="n"/>
    </row>
    <row r="724">
      <c r="A724" s="174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97" t="n"/>
      <c r="P724" s="297" t="n"/>
      <c r="Q724" s="297" t="n"/>
      <c r="R724" s="297" t="n"/>
      <c r="S724" s="297" t="n"/>
      <c r="T724" s="297" t="n"/>
      <c r="U724" s="297" t="n"/>
    </row>
    <row r="725">
      <c r="A725" s="174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97" t="n"/>
      <c r="P725" s="297" t="n"/>
      <c r="Q725" s="297" t="n"/>
      <c r="R725" s="297" t="n"/>
      <c r="S725" s="297" t="n"/>
      <c r="T725" s="297" t="n"/>
      <c r="U725" s="297" t="n"/>
    </row>
    <row r="726">
      <c r="A726" s="174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97" t="n"/>
      <c r="P726" s="297" t="n"/>
      <c r="Q726" s="297" t="n"/>
      <c r="R726" s="297" t="n"/>
      <c r="S726" s="297" t="n"/>
      <c r="T726" s="297" t="n"/>
      <c r="U726" s="297" t="n"/>
    </row>
    <row r="727">
      <c r="A727" s="174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97" t="n"/>
      <c r="P727" s="297" t="n"/>
      <c r="Q727" s="297" t="n"/>
      <c r="R727" s="297" t="n"/>
      <c r="S727" s="297" t="n"/>
      <c r="T727" s="297" t="n"/>
      <c r="U727" s="297" t="n"/>
    </row>
    <row r="728">
      <c r="A728" s="174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97" t="n"/>
      <c r="P728" s="297" t="n"/>
      <c r="Q728" s="297" t="n"/>
      <c r="R728" s="297" t="n"/>
      <c r="S728" s="297" t="n"/>
      <c r="T728" s="297" t="n"/>
      <c r="U728" s="297" t="n"/>
    </row>
    <row r="729">
      <c r="A729" s="174" t="n"/>
      <c r="B729" s="299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97" t="n"/>
      <c r="P729" s="297" t="n"/>
      <c r="Q729" s="297" t="n"/>
      <c r="R729" s="297" t="n"/>
      <c r="S729" s="297" t="n"/>
      <c r="T729" s="297" t="n"/>
      <c r="U729" s="297" t="n"/>
    </row>
    <row r="730">
      <c r="A730" s="174" t="n"/>
      <c r="B730" s="299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97" t="n"/>
      <c r="P730" s="297" t="n"/>
      <c r="Q730" s="297" t="n"/>
      <c r="R730" s="297" t="n"/>
      <c r="S730" s="297" t="n"/>
      <c r="T730" s="297" t="n"/>
      <c r="U730" s="297" t="n"/>
    </row>
    <row r="731">
      <c r="A731" s="174" t="n"/>
      <c r="B731" s="299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97" t="n"/>
      <c r="P731" s="297" t="n"/>
      <c r="Q731" s="297" t="n"/>
      <c r="R731" s="297" t="n"/>
      <c r="S731" s="297" t="n"/>
      <c r="T731" s="297" t="n"/>
      <c r="U731" s="297" t="n"/>
    </row>
    <row r="732">
      <c r="A732" s="174" t="n"/>
      <c r="B732" s="299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97" t="n"/>
      <c r="P732" s="297" t="n"/>
      <c r="Q732" s="297" t="n"/>
      <c r="R732" s="297" t="n"/>
      <c r="S732" s="297" t="n"/>
      <c r="T732" s="297" t="n"/>
      <c r="U732" s="297" t="n"/>
    </row>
    <row r="733">
      <c r="A733" s="174" t="n"/>
      <c r="B733" s="299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97" t="n"/>
      <c r="P733" s="297" t="n"/>
      <c r="Q733" s="297" t="n"/>
      <c r="R733" s="297" t="n"/>
      <c r="S733" s="297" t="n"/>
      <c r="T733" s="297" t="n"/>
      <c r="U733" s="297" t="n"/>
    </row>
    <row r="734">
      <c r="A734" s="174" t="n"/>
      <c r="B734" s="299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97" t="n"/>
      <c r="P734" s="297" t="n"/>
      <c r="Q734" s="297" t="n"/>
      <c r="R734" s="297" t="n"/>
      <c r="S734" s="297" t="n"/>
      <c r="T734" s="297" t="n"/>
      <c r="U734" s="297" t="n"/>
    </row>
    <row r="735">
      <c r="A735" s="174" t="n"/>
      <c r="B735" s="299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97" t="n"/>
      <c r="P735" s="297" t="n"/>
      <c r="Q735" s="297" t="n"/>
      <c r="R735" s="297" t="n"/>
      <c r="S735" s="297" t="n"/>
      <c r="T735" s="297" t="n"/>
      <c r="U735" s="297" t="n"/>
    </row>
    <row r="736">
      <c r="A736" s="174" t="n"/>
      <c r="B736" s="299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97" t="n"/>
      <c r="P736" s="297" t="n"/>
      <c r="Q736" s="297" t="n"/>
      <c r="R736" s="297" t="n"/>
      <c r="S736" s="297" t="n"/>
      <c r="T736" s="297" t="n"/>
      <c r="U736" s="297" t="n"/>
    </row>
    <row r="737">
      <c r="A737" s="174" t="n"/>
      <c r="B737" s="299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97" t="n"/>
      <c r="P737" s="297" t="n"/>
      <c r="Q737" s="297" t="n"/>
      <c r="R737" s="297" t="n"/>
      <c r="S737" s="297" t="n"/>
      <c r="T737" s="297" t="n"/>
      <c r="U737" s="297" t="n"/>
    </row>
    <row r="738">
      <c r="A738" s="174" t="n"/>
      <c r="B738" s="299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97" t="n"/>
      <c r="P738" s="297" t="n"/>
      <c r="Q738" s="297" t="n"/>
      <c r="R738" s="297" t="n"/>
      <c r="S738" s="297" t="n"/>
      <c r="T738" s="297" t="n"/>
      <c r="U738" s="297" t="n"/>
    </row>
    <row r="739">
      <c r="A739" s="174" t="n"/>
      <c r="B739" s="299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97" t="n"/>
      <c r="P739" s="297" t="n"/>
      <c r="Q739" s="297" t="n"/>
      <c r="R739" s="297" t="n"/>
      <c r="S739" s="297" t="n"/>
      <c r="T739" s="297" t="n"/>
      <c r="U739" s="297" t="n"/>
    </row>
    <row r="740">
      <c r="A740" s="174" t="n"/>
      <c r="B740" s="299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97" t="n"/>
      <c r="P740" s="297" t="n"/>
      <c r="Q740" s="297" t="n"/>
      <c r="R740" s="297" t="n"/>
      <c r="S740" s="297" t="n"/>
      <c r="T740" s="297" t="n"/>
      <c r="U740" s="297" t="n"/>
    </row>
    <row r="741">
      <c r="A741" s="174" t="n"/>
      <c r="B741" s="300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301" t="n"/>
      <c r="P741" s="301" t="n"/>
      <c r="Q741" s="301" t="n"/>
      <c r="R741" s="301" t="n"/>
      <c r="S741" s="301" t="n"/>
      <c r="T741" s="301" t="n"/>
      <c r="U741" s="301" t="n"/>
    </row>
    <row r="742">
      <c r="A742" s="174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97" t="n"/>
      <c r="P742" s="297" t="n"/>
      <c r="Q742" s="297" t="n"/>
      <c r="R742" s="297" t="n"/>
      <c r="S742" s="297" t="n"/>
      <c r="T742" s="297" t="n"/>
      <c r="U742" s="297" t="n"/>
    </row>
    <row r="743">
      <c r="A743" s="174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97" t="n"/>
      <c r="P743" s="297" t="n"/>
      <c r="Q743" s="297" t="n"/>
      <c r="R743" s="297" t="n"/>
      <c r="S743" s="297" t="n"/>
      <c r="T743" s="297" t="n"/>
      <c r="U743" s="297" t="n"/>
    </row>
    <row r="744">
      <c r="A744" s="174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97" t="n"/>
      <c r="P744" s="297" t="n"/>
      <c r="Q744" s="297" t="n"/>
      <c r="R744" s="297" t="n"/>
      <c r="S744" s="297" t="n"/>
      <c r="T744" s="297" t="n"/>
      <c r="U744" s="297" t="n"/>
    </row>
    <row r="745">
      <c r="A745" s="174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97" t="n"/>
      <c r="P745" s="297" t="n"/>
      <c r="Q745" s="297" t="n"/>
      <c r="R745" s="297" t="n"/>
      <c r="S745" s="297" t="n"/>
      <c r="T745" s="297" t="n"/>
      <c r="U745" s="297" t="n"/>
    </row>
    <row r="746">
      <c r="A746" s="174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97" t="n"/>
      <c r="P746" s="297" t="n"/>
      <c r="Q746" s="297" t="n"/>
      <c r="R746" s="297" t="n"/>
      <c r="S746" s="297" t="n"/>
      <c r="T746" s="297" t="n"/>
      <c r="U746" s="297" t="n"/>
    </row>
    <row r="747">
      <c r="A747" s="174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97" t="n"/>
      <c r="P747" s="297" t="n"/>
      <c r="Q747" s="297" t="n"/>
      <c r="R747" s="297" t="n"/>
      <c r="S747" s="297" t="n"/>
      <c r="T747" s="297" t="n"/>
      <c r="U747" s="297" t="n"/>
    </row>
    <row r="748">
      <c r="A748" s="174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97" t="n"/>
      <c r="P748" s="297" t="n"/>
      <c r="Q748" s="297" t="n"/>
      <c r="R748" s="297" t="n"/>
      <c r="S748" s="297" t="n"/>
      <c r="T748" s="297" t="n"/>
      <c r="U748" s="297" t="n"/>
    </row>
    <row r="749">
      <c r="A749" s="174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97" t="n"/>
      <c r="P749" s="297" t="n"/>
      <c r="Q749" s="297" t="n"/>
      <c r="R749" s="297" t="n"/>
      <c r="S749" s="297" t="n"/>
      <c r="T749" s="297" t="n"/>
      <c r="U749" s="297" t="n"/>
    </row>
    <row r="750">
      <c r="A750" s="174" t="n"/>
      <c r="B750" s="299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97" t="n"/>
      <c r="P750" s="297" t="n"/>
      <c r="Q750" s="297" t="n"/>
      <c r="R750" s="297" t="n"/>
      <c r="S750" s="297" t="n"/>
      <c r="T750" s="297" t="n"/>
      <c r="U750" s="297" t="n"/>
    </row>
    <row r="751">
      <c r="A751" s="174" t="n"/>
      <c r="B751" s="299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97" t="n"/>
      <c r="P751" s="297" t="n"/>
      <c r="Q751" s="297" t="n"/>
      <c r="R751" s="297" t="n"/>
      <c r="S751" s="297" t="n"/>
      <c r="T751" s="297" t="n"/>
      <c r="U751" s="297" t="n"/>
    </row>
    <row r="752">
      <c r="A752" s="174" t="n"/>
      <c r="B752" s="299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97" t="n"/>
      <c r="P752" s="297" t="n"/>
      <c r="Q752" s="297" t="n"/>
      <c r="R752" s="297" t="n"/>
      <c r="S752" s="297" t="n"/>
      <c r="T752" s="297" t="n"/>
      <c r="U752" s="297" t="n"/>
    </row>
    <row r="753">
      <c r="A753" s="174" t="n"/>
      <c r="B753" s="299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97" t="n"/>
      <c r="P753" s="297" t="n"/>
      <c r="Q753" s="297" t="n"/>
      <c r="R753" s="297" t="n"/>
      <c r="S753" s="297" t="n"/>
      <c r="T753" s="297" t="n"/>
      <c r="U753" s="297" t="n"/>
    </row>
    <row r="754">
      <c r="A754" s="174" t="n"/>
      <c r="B754" s="299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97" t="n"/>
      <c r="P754" s="297" t="n"/>
      <c r="Q754" s="297" t="n"/>
      <c r="R754" s="297" t="n"/>
      <c r="S754" s="297" t="n"/>
      <c r="T754" s="297" t="n"/>
      <c r="U754" s="297" t="n"/>
    </row>
    <row r="755">
      <c r="A755" s="174" t="n"/>
      <c r="B755" s="299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97" t="n"/>
      <c r="P755" s="297" t="n"/>
      <c r="Q755" s="297" t="n"/>
      <c r="R755" s="297" t="n"/>
      <c r="S755" s="297" t="n"/>
      <c r="T755" s="297" t="n"/>
      <c r="U755" s="297" t="n"/>
    </row>
    <row r="756">
      <c r="A756" s="174" t="n"/>
      <c r="B756" s="299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97" t="n"/>
      <c r="P756" s="297" t="n"/>
      <c r="Q756" s="297" t="n"/>
      <c r="R756" s="297" t="n"/>
      <c r="S756" s="297" t="n"/>
      <c r="T756" s="297" t="n"/>
      <c r="U756" s="297" t="n"/>
    </row>
    <row r="757">
      <c r="A757" s="174" t="n"/>
      <c r="B757" s="299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97" t="n"/>
      <c r="P757" s="297" t="n"/>
      <c r="Q757" s="297" t="n"/>
      <c r="R757" s="297" t="n"/>
      <c r="S757" s="297" t="n"/>
      <c r="T757" s="297" t="n"/>
      <c r="U757" s="297" t="n"/>
    </row>
    <row r="758">
      <c r="A758" s="174" t="n"/>
      <c r="B758" s="299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97" t="n"/>
      <c r="P758" s="297" t="n"/>
      <c r="Q758" s="297" t="n"/>
      <c r="R758" s="297" t="n"/>
      <c r="S758" s="297" t="n"/>
      <c r="T758" s="297" t="n"/>
      <c r="U758" s="297" t="n"/>
    </row>
    <row r="759">
      <c r="A759" s="174" t="n"/>
      <c r="B759" s="299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97" t="n"/>
      <c r="P759" s="297" t="n"/>
      <c r="Q759" s="297" t="n"/>
      <c r="R759" s="297" t="n"/>
      <c r="S759" s="297" t="n"/>
      <c r="T759" s="297" t="n"/>
      <c r="U759" s="297" t="n"/>
    </row>
    <row r="760">
      <c r="A760" s="174" t="n"/>
      <c r="B760" s="299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97" t="n"/>
      <c r="P760" s="297" t="n"/>
      <c r="Q760" s="297" t="n"/>
      <c r="R760" s="297" t="n"/>
      <c r="S760" s="297" t="n"/>
      <c r="T760" s="297" t="n"/>
      <c r="U760" s="297" t="n"/>
    </row>
    <row r="761">
      <c r="A761" s="174" t="n"/>
      <c r="B761" s="299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97" t="n"/>
      <c r="P761" s="297" t="n"/>
      <c r="Q761" s="297" t="n"/>
      <c r="R761" s="297" t="n"/>
      <c r="S761" s="297" t="n"/>
      <c r="T761" s="297" t="n"/>
      <c r="U761" s="297" t="n"/>
    </row>
    <row r="762">
      <c r="A762" s="174" t="n"/>
      <c r="B762" s="299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97" t="n"/>
      <c r="P762" s="297" t="n"/>
      <c r="Q762" s="297" t="n"/>
      <c r="R762" s="297" t="n"/>
      <c r="S762" s="297" t="n"/>
      <c r="T762" s="297" t="n"/>
      <c r="U762" s="297" t="n"/>
    </row>
    <row r="763">
      <c r="A763" s="174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97" t="n"/>
      <c r="P763" s="297" t="n"/>
      <c r="Q763" s="297" t="n"/>
      <c r="R763" s="297" t="n"/>
      <c r="S763" s="297" t="n"/>
      <c r="T763" s="297" t="n"/>
      <c r="U763" s="297" t="n"/>
    </row>
    <row r="764">
      <c r="A764" s="174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97" t="n"/>
      <c r="P764" s="297" t="n"/>
      <c r="Q764" s="297" t="n"/>
      <c r="R764" s="297" t="n"/>
      <c r="S764" s="297" t="n"/>
      <c r="T764" s="297" t="n"/>
      <c r="U764" s="297" t="n"/>
    </row>
    <row r="765">
      <c r="A765" s="174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97" t="n"/>
      <c r="P765" s="297" t="n"/>
      <c r="Q765" s="297" t="n"/>
      <c r="R765" s="297" t="n"/>
      <c r="S765" s="297" t="n"/>
      <c r="T765" s="297" t="n"/>
      <c r="U765" s="297" t="n"/>
    </row>
    <row r="766">
      <c r="A766" s="174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97" t="n"/>
      <c r="P766" s="297" t="n"/>
      <c r="Q766" s="297" t="n"/>
      <c r="R766" s="297" t="n"/>
      <c r="S766" s="297" t="n"/>
      <c r="T766" s="297" t="n"/>
      <c r="U766" s="297" t="n"/>
    </row>
    <row r="767">
      <c r="A767" s="174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97" t="n"/>
      <c r="P767" s="297" t="n"/>
      <c r="Q767" s="297" t="n"/>
      <c r="R767" s="297" t="n"/>
      <c r="S767" s="297" t="n"/>
      <c r="T767" s="297" t="n"/>
      <c r="U767" s="297" t="n"/>
    </row>
    <row r="768">
      <c r="A768" s="174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97" t="n"/>
      <c r="P768" s="297" t="n"/>
      <c r="Q768" s="297" t="n"/>
      <c r="R768" s="297" t="n"/>
      <c r="S768" s="297" t="n"/>
      <c r="T768" s="297" t="n"/>
      <c r="U768" s="297" t="n"/>
    </row>
    <row r="769">
      <c r="A769" s="174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97" t="n"/>
      <c r="P769" s="297" t="n"/>
      <c r="Q769" s="297" t="n"/>
      <c r="R769" s="297" t="n"/>
      <c r="S769" s="297" t="n"/>
      <c r="T769" s="297" t="n"/>
      <c r="U769" s="297" t="n"/>
    </row>
    <row r="770">
      <c r="A770" s="174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97" t="n"/>
      <c r="P770" s="297" t="n"/>
      <c r="Q770" s="297" t="n"/>
      <c r="R770" s="297" t="n"/>
      <c r="S770" s="297" t="n"/>
      <c r="T770" s="297" t="n"/>
      <c r="U770" s="297" t="n"/>
    </row>
    <row r="771">
      <c r="A771" s="174" t="n"/>
      <c r="B771" s="299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97" t="n"/>
      <c r="P771" s="297" t="n"/>
      <c r="Q771" s="297" t="n"/>
      <c r="R771" s="297" t="n"/>
      <c r="S771" s="297" t="n"/>
      <c r="T771" s="297" t="n"/>
      <c r="U771" s="297" t="n"/>
    </row>
    <row r="772">
      <c r="A772" s="174" t="n"/>
      <c r="B772" s="299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97" t="n"/>
      <c r="P772" s="297" t="n"/>
      <c r="Q772" s="297" t="n"/>
      <c r="R772" s="297" t="n"/>
      <c r="S772" s="297" t="n"/>
      <c r="T772" s="297" t="n"/>
      <c r="U772" s="297" t="n"/>
    </row>
    <row r="773">
      <c r="A773" s="174" t="n"/>
      <c r="B773" s="299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97" t="n"/>
      <c r="P773" s="297" t="n"/>
      <c r="Q773" s="297" t="n"/>
      <c r="R773" s="297" t="n"/>
      <c r="S773" s="297" t="n"/>
      <c r="T773" s="297" t="n"/>
      <c r="U773" s="297" t="n"/>
    </row>
    <row r="774">
      <c r="A774" s="174" t="n"/>
      <c r="B774" s="299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97" t="n"/>
      <c r="P774" s="297" t="n"/>
      <c r="Q774" s="297" t="n"/>
      <c r="R774" s="297" t="n"/>
      <c r="S774" s="297" t="n"/>
      <c r="T774" s="297" t="n"/>
      <c r="U774" s="297" t="n"/>
    </row>
    <row r="775">
      <c r="A775" s="174" t="n"/>
      <c r="B775" s="299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97" t="n"/>
      <c r="P775" s="297" t="n"/>
      <c r="Q775" s="297" t="n"/>
      <c r="R775" s="297" t="n"/>
      <c r="S775" s="297" t="n"/>
      <c r="T775" s="297" t="n"/>
      <c r="U775" s="297" t="n"/>
    </row>
    <row r="776">
      <c r="A776" s="174" t="n"/>
      <c r="B776" s="299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97" t="n"/>
      <c r="P776" s="297" t="n"/>
      <c r="Q776" s="297" t="n"/>
      <c r="R776" s="297" t="n"/>
      <c r="S776" s="297" t="n"/>
      <c r="T776" s="297" t="n"/>
      <c r="U776" s="297" t="n"/>
    </row>
    <row r="777">
      <c r="A777" s="174" t="n"/>
      <c r="B777" s="299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97" t="n"/>
      <c r="P777" s="297" t="n"/>
      <c r="Q777" s="297" t="n"/>
      <c r="R777" s="297" t="n"/>
      <c r="S777" s="297" t="n"/>
      <c r="T777" s="297" t="n"/>
      <c r="U777" s="297" t="n"/>
    </row>
    <row r="778">
      <c r="A778" s="174" t="n"/>
      <c r="B778" s="299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97" t="n"/>
      <c r="P778" s="297" t="n"/>
      <c r="Q778" s="297" t="n"/>
      <c r="R778" s="297" t="n"/>
      <c r="S778" s="297" t="n"/>
      <c r="T778" s="297" t="n"/>
      <c r="U778" s="297" t="n"/>
    </row>
    <row r="779">
      <c r="A779" s="174" t="n"/>
      <c r="B779" s="299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97" t="n"/>
      <c r="P779" s="297" t="n"/>
      <c r="Q779" s="297" t="n"/>
      <c r="R779" s="297" t="n"/>
      <c r="S779" s="297" t="n"/>
      <c r="T779" s="297" t="n"/>
      <c r="U779" s="297" t="n"/>
    </row>
    <row r="780">
      <c r="A780" s="174" t="n"/>
      <c r="B780" s="299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97" t="n"/>
      <c r="P780" s="297" t="n"/>
      <c r="Q780" s="297" t="n"/>
      <c r="R780" s="297" t="n"/>
      <c r="S780" s="297" t="n"/>
      <c r="T780" s="297" t="n"/>
      <c r="U780" s="297" t="n"/>
    </row>
    <row r="781">
      <c r="A781" s="174" t="n"/>
      <c r="B781" s="299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97" t="n"/>
      <c r="P781" s="297" t="n"/>
      <c r="Q781" s="297" t="n"/>
      <c r="R781" s="297" t="n"/>
      <c r="S781" s="297" t="n"/>
      <c r="T781" s="297" t="n"/>
      <c r="U781" s="297" t="n"/>
    </row>
    <row r="782">
      <c r="A782" s="174" t="n"/>
      <c r="B782" s="299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97" t="n"/>
      <c r="P782" s="297" t="n"/>
      <c r="Q782" s="297" t="n"/>
      <c r="R782" s="297" t="n"/>
      <c r="S782" s="297" t="n"/>
      <c r="T782" s="297" t="n"/>
      <c r="U782" s="297" t="n"/>
    </row>
    <row r="783">
      <c r="A783" s="174" t="n"/>
      <c r="B783" s="300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301" t="n"/>
      <c r="P783" s="301" t="n"/>
      <c r="Q783" s="301" t="n"/>
      <c r="R783" s="301" t="n"/>
      <c r="S783" s="301" t="n"/>
      <c r="T783" s="301" t="n"/>
      <c r="U783" s="301" t="n"/>
    </row>
    <row r="784">
      <c r="A784" s="174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97" t="n"/>
      <c r="P784" s="297" t="n"/>
      <c r="Q784" s="297" t="n"/>
      <c r="R784" s="297" t="n"/>
      <c r="S784" s="297" t="n"/>
      <c r="T784" s="297" t="n"/>
      <c r="U784" s="297" t="n"/>
    </row>
    <row r="785">
      <c r="A785" s="174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97" t="n"/>
      <c r="P785" s="297" t="n"/>
      <c r="Q785" s="297" t="n"/>
      <c r="R785" s="297" t="n"/>
      <c r="S785" s="297" t="n"/>
      <c r="T785" s="297" t="n"/>
      <c r="U785" s="297" t="n"/>
    </row>
    <row r="786">
      <c r="A786" s="174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97" t="n"/>
      <c r="P786" s="297" t="n"/>
      <c r="Q786" s="297" t="n"/>
      <c r="R786" s="297" t="n"/>
      <c r="S786" s="297" t="n"/>
      <c r="T786" s="297" t="n"/>
      <c r="U786" s="297" t="n"/>
    </row>
    <row r="787">
      <c r="A787" s="174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97" t="n"/>
      <c r="P787" s="297" t="n"/>
      <c r="Q787" s="297" t="n"/>
      <c r="R787" s="297" t="n"/>
      <c r="S787" s="297" t="n"/>
      <c r="T787" s="297" t="n"/>
      <c r="U787" s="297" t="n"/>
    </row>
    <row r="788">
      <c r="A788" s="174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97" t="n"/>
      <c r="P788" s="297" t="n"/>
      <c r="Q788" s="297" t="n"/>
      <c r="R788" s="297" t="n"/>
      <c r="S788" s="297" t="n"/>
      <c r="T788" s="297" t="n"/>
      <c r="U788" s="297" t="n"/>
    </row>
    <row r="789">
      <c r="A789" s="174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97" t="n"/>
      <c r="P789" s="297" t="n"/>
      <c r="Q789" s="297" t="n"/>
      <c r="R789" s="297" t="n"/>
      <c r="S789" s="297" t="n"/>
      <c r="T789" s="297" t="n"/>
      <c r="U789" s="297" t="n"/>
    </row>
    <row r="790">
      <c r="A790" s="174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97" t="n"/>
      <c r="P790" s="297" t="n"/>
      <c r="Q790" s="297" t="n"/>
      <c r="R790" s="297" t="n"/>
      <c r="S790" s="297" t="n"/>
      <c r="T790" s="297" t="n"/>
      <c r="U790" s="297" t="n"/>
    </row>
    <row r="791">
      <c r="A791" s="174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97" t="n"/>
      <c r="P791" s="297" t="n"/>
      <c r="Q791" s="297" t="n"/>
      <c r="R791" s="297" t="n"/>
      <c r="S791" s="297" t="n"/>
      <c r="T791" s="297" t="n"/>
      <c r="U791" s="297" t="n"/>
    </row>
    <row r="792">
      <c r="A792" s="174" t="n"/>
      <c r="B792" s="299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97" t="n"/>
      <c r="P792" s="297" t="n"/>
      <c r="Q792" s="297" t="n"/>
      <c r="R792" s="297" t="n"/>
      <c r="S792" s="297" t="n"/>
      <c r="T792" s="297" t="n"/>
      <c r="U792" s="297" t="n"/>
    </row>
    <row r="793">
      <c r="A793" s="174" t="n"/>
      <c r="B793" s="299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97" t="n"/>
      <c r="P793" s="297" t="n"/>
      <c r="Q793" s="297" t="n"/>
      <c r="R793" s="297" t="n"/>
      <c r="S793" s="297" t="n"/>
      <c r="T793" s="297" t="n"/>
      <c r="U793" s="297" t="n"/>
    </row>
    <row r="794">
      <c r="A794" s="174" t="n"/>
      <c r="B794" s="299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97" t="n"/>
      <c r="P794" s="297" t="n"/>
      <c r="Q794" s="297" t="n"/>
      <c r="R794" s="297" t="n"/>
      <c r="S794" s="297" t="n"/>
      <c r="T794" s="297" t="n"/>
      <c r="U794" s="297" t="n"/>
    </row>
    <row r="795">
      <c r="A795" s="174" t="n"/>
      <c r="B795" s="299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97" t="n"/>
      <c r="P795" s="297" t="n"/>
      <c r="Q795" s="297" t="n"/>
      <c r="R795" s="297" t="n"/>
      <c r="S795" s="297" t="n"/>
      <c r="T795" s="297" t="n"/>
      <c r="U795" s="297" t="n"/>
    </row>
    <row r="796">
      <c r="A796" s="174" t="n"/>
      <c r="B796" s="299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97" t="n"/>
      <c r="P796" s="297" t="n"/>
      <c r="Q796" s="297" t="n"/>
      <c r="R796" s="297" t="n"/>
      <c r="S796" s="297" t="n"/>
      <c r="T796" s="297" t="n"/>
      <c r="U796" s="297" t="n"/>
    </row>
    <row r="797">
      <c r="A797" s="174" t="n"/>
      <c r="B797" s="299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97" t="n"/>
      <c r="P797" s="297" t="n"/>
      <c r="Q797" s="297" t="n"/>
      <c r="R797" s="297" t="n"/>
      <c r="S797" s="297" t="n"/>
      <c r="T797" s="297" t="n"/>
      <c r="U797" s="297" t="n"/>
    </row>
    <row r="798">
      <c r="A798" s="174" t="n"/>
      <c r="B798" s="299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97" t="n"/>
      <c r="P798" s="297" t="n"/>
      <c r="Q798" s="297" t="n"/>
      <c r="R798" s="297" t="n"/>
      <c r="S798" s="297" t="n"/>
      <c r="T798" s="297" t="n"/>
      <c r="U798" s="297" t="n"/>
    </row>
    <row r="799">
      <c r="A799" s="174" t="n"/>
      <c r="B799" s="299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97" t="n"/>
      <c r="P799" s="297" t="n"/>
      <c r="Q799" s="297" t="n"/>
      <c r="R799" s="297" t="n"/>
      <c r="S799" s="297" t="n"/>
      <c r="T799" s="297" t="n"/>
      <c r="U799" s="297" t="n"/>
    </row>
    <row r="800">
      <c r="A800" s="174" t="n"/>
      <c r="B800" s="299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97" t="n"/>
      <c r="P800" s="297" t="n"/>
      <c r="Q800" s="297" t="n"/>
      <c r="R800" s="297" t="n"/>
      <c r="S800" s="297" t="n"/>
      <c r="T800" s="297" t="n"/>
      <c r="U800" s="297" t="n"/>
    </row>
    <row r="801">
      <c r="A801" s="174" t="n"/>
      <c r="B801" s="299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97" t="n"/>
      <c r="P801" s="297" t="n"/>
      <c r="Q801" s="297" t="n"/>
      <c r="R801" s="297" t="n"/>
      <c r="S801" s="297" t="n"/>
      <c r="T801" s="297" t="n"/>
      <c r="U801" s="297" t="n"/>
    </row>
    <row r="802">
      <c r="A802" s="174" t="n"/>
      <c r="B802" s="299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97" t="n"/>
      <c r="P802" s="297" t="n"/>
      <c r="Q802" s="297" t="n"/>
      <c r="R802" s="297" t="n"/>
      <c r="S802" s="297" t="n"/>
      <c r="T802" s="297" t="n"/>
      <c r="U802" s="297" t="n"/>
    </row>
    <row r="803">
      <c r="A803" s="174" t="n"/>
      <c r="B803" s="299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97" t="n"/>
      <c r="P803" s="297" t="n"/>
      <c r="Q803" s="297" t="n"/>
      <c r="R803" s="297" t="n"/>
      <c r="S803" s="297" t="n"/>
      <c r="T803" s="297" t="n"/>
      <c r="U803" s="297" t="n"/>
    </row>
    <row r="804">
      <c r="A804" s="174" t="n"/>
      <c r="B804" s="299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97" t="n"/>
      <c r="P804" s="297" t="n"/>
      <c r="Q804" s="297" t="n"/>
      <c r="R804" s="297" t="n"/>
      <c r="S804" s="297" t="n"/>
      <c r="T804" s="297" t="n"/>
      <c r="U804" s="297" t="n"/>
    </row>
    <row r="805">
      <c r="A805" s="174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97" t="n"/>
      <c r="P805" s="297" t="n"/>
      <c r="Q805" s="297" t="n"/>
      <c r="R805" s="297" t="n"/>
      <c r="S805" s="297" t="n"/>
      <c r="T805" s="297" t="n"/>
      <c r="U805" s="297" t="n"/>
    </row>
    <row r="806">
      <c r="A806" s="174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97" t="n"/>
      <c r="P806" s="297" t="n"/>
      <c r="Q806" s="297" t="n"/>
      <c r="R806" s="297" t="n"/>
      <c r="S806" s="297" t="n"/>
      <c r="T806" s="297" t="n"/>
      <c r="U806" s="297" t="n"/>
    </row>
    <row r="807">
      <c r="A807" s="174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97" t="n"/>
      <c r="P807" s="297" t="n"/>
      <c r="Q807" s="297" t="n"/>
      <c r="R807" s="297" t="n"/>
      <c r="S807" s="297" t="n"/>
      <c r="T807" s="297" t="n"/>
      <c r="U807" s="297" t="n"/>
    </row>
    <row r="808">
      <c r="A808" s="174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97" t="n"/>
      <c r="P808" s="297" t="n"/>
      <c r="Q808" s="297" t="n"/>
      <c r="R808" s="297" t="n"/>
      <c r="S808" s="297" t="n"/>
      <c r="T808" s="297" t="n"/>
      <c r="U808" s="297" t="n"/>
    </row>
    <row r="809">
      <c r="A809" s="174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97" t="n"/>
      <c r="P809" s="297" t="n"/>
      <c r="Q809" s="297" t="n"/>
      <c r="R809" s="297" t="n"/>
      <c r="S809" s="297" t="n"/>
      <c r="T809" s="297" t="n"/>
      <c r="U809" s="297" t="n"/>
    </row>
    <row r="810">
      <c r="A810" s="174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97" t="n"/>
      <c r="P810" s="297" t="n"/>
      <c r="Q810" s="297" t="n"/>
      <c r="R810" s="297" t="n"/>
      <c r="S810" s="297" t="n"/>
      <c r="T810" s="297" t="n"/>
      <c r="U810" s="297" t="n"/>
    </row>
    <row r="811">
      <c r="A811" s="174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97" t="n"/>
      <c r="P811" s="297" t="n"/>
      <c r="Q811" s="297" t="n"/>
      <c r="R811" s="297" t="n"/>
      <c r="S811" s="297" t="n"/>
      <c r="T811" s="297" t="n"/>
      <c r="U811" s="297" t="n"/>
    </row>
    <row r="812">
      <c r="A812" s="174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97" t="n"/>
      <c r="P812" s="297" t="n"/>
      <c r="Q812" s="297" t="n"/>
      <c r="R812" s="297" t="n"/>
      <c r="S812" s="297" t="n"/>
      <c r="T812" s="297" t="n"/>
      <c r="U812" s="297" t="n"/>
    </row>
    <row r="813">
      <c r="A813" s="174" t="n"/>
      <c r="B813" s="299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97" t="n"/>
      <c r="P813" s="297" t="n"/>
      <c r="Q813" s="297" t="n"/>
      <c r="R813" s="297" t="n"/>
      <c r="S813" s="297" t="n"/>
      <c r="T813" s="297" t="n"/>
      <c r="U813" s="297" t="n"/>
    </row>
    <row r="814">
      <c r="A814" s="174" t="n"/>
      <c r="B814" s="299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97" t="n"/>
      <c r="P814" s="297" t="n"/>
      <c r="Q814" s="297" t="n"/>
      <c r="R814" s="297" t="n"/>
      <c r="S814" s="297" t="n"/>
      <c r="T814" s="297" t="n"/>
      <c r="U814" s="297" t="n"/>
    </row>
    <row r="815">
      <c r="A815" s="174" t="n"/>
      <c r="B815" s="299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97" t="n"/>
      <c r="P815" s="297" t="n"/>
      <c r="Q815" s="297" t="n"/>
      <c r="R815" s="297" t="n"/>
      <c r="S815" s="297" t="n"/>
      <c r="T815" s="297" t="n"/>
      <c r="U815" s="297" t="n"/>
    </row>
    <row r="816">
      <c r="A816" s="174" t="n"/>
      <c r="B816" s="299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97" t="n"/>
      <c r="P816" s="297" t="n"/>
      <c r="Q816" s="297" t="n"/>
      <c r="R816" s="297" t="n"/>
      <c r="S816" s="297" t="n"/>
      <c r="T816" s="297" t="n"/>
      <c r="U816" s="297" t="n"/>
    </row>
    <row r="817">
      <c r="A817" s="174" t="n"/>
      <c r="B817" s="299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97" t="n"/>
      <c r="P817" s="297" t="n"/>
      <c r="Q817" s="297" t="n"/>
      <c r="R817" s="297" t="n"/>
      <c r="S817" s="297" t="n"/>
      <c r="T817" s="297" t="n"/>
      <c r="U817" s="297" t="n"/>
    </row>
    <row r="818">
      <c r="A818" s="174" t="n"/>
      <c r="B818" s="299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97" t="n"/>
      <c r="P818" s="297" t="n"/>
      <c r="Q818" s="297" t="n"/>
      <c r="R818" s="297" t="n"/>
      <c r="S818" s="297" t="n"/>
      <c r="T818" s="297" t="n"/>
      <c r="U818" s="297" t="n"/>
    </row>
    <row r="819">
      <c r="A819" s="174" t="n"/>
      <c r="B819" s="299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97" t="n"/>
      <c r="P819" s="297" t="n"/>
      <c r="Q819" s="297" t="n"/>
      <c r="R819" s="297" t="n"/>
      <c r="S819" s="297" t="n"/>
      <c r="T819" s="297" t="n"/>
      <c r="U819" s="297" t="n"/>
    </row>
    <row r="820">
      <c r="A820" s="174" t="n"/>
      <c r="B820" s="299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97" t="n"/>
      <c r="P820" s="297" t="n"/>
      <c r="Q820" s="297" t="n"/>
      <c r="R820" s="297" t="n"/>
      <c r="S820" s="297" t="n"/>
      <c r="T820" s="297" t="n"/>
      <c r="U820" s="297" t="n"/>
    </row>
    <row r="821">
      <c r="A821" s="174" t="n"/>
      <c r="B821" s="299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97" t="n"/>
      <c r="P821" s="297" t="n"/>
      <c r="Q821" s="297" t="n"/>
      <c r="R821" s="297" t="n"/>
      <c r="S821" s="297" t="n"/>
      <c r="T821" s="297" t="n"/>
      <c r="U821" s="297" t="n"/>
    </row>
    <row r="822">
      <c r="A822" s="174" t="n"/>
      <c r="B822" s="299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97" t="n"/>
      <c r="P822" s="297" t="n"/>
      <c r="Q822" s="297" t="n"/>
      <c r="R822" s="297" t="n"/>
      <c r="S822" s="297" t="n"/>
      <c r="T822" s="297" t="n"/>
      <c r="U822" s="297" t="n"/>
    </row>
    <row r="823">
      <c r="A823" s="174" t="n"/>
      <c r="B823" s="299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97" t="n"/>
      <c r="P823" s="297" t="n"/>
      <c r="Q823" s="297" t="n"/>
      <c r="R823" s="297" t="n"/>
      <c r="S823" s="297" t="n"/>
      <c r="T823" s="297" t="n"/>
      <c r="U823" s="297" t="n"/>
    </row>
    <row r="824">
      <c r="A824" s="174" t="n"/>
      <c r="B824" s="299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97" t="n"/>
      <c r="P824" s="297" t="n"/>
      <c r="Q824" s="297" t="n"/>
      <c r="R824" s="297" t="n"/>
      <c r="S824" s="297" t="n"/>
      <c r="T824" s="297" t="n"/>
      <c r="U824" s="297" t="n"/>
    </row>
    <row r="825">
      <c r="A825" s="174" t="n"/>
      <c r="B825" s="300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301" t="n"/>
      <c r="P825" s="301" t="n"/>
      <c r="Q825" s="301" t="n"/>
      <c r="R825" s="301" t="n"/>
      <c r="S825" s="301" t="n"/>
      <c r="T825" s="301" t="n"/>
      <c r="U825" s="301" t="n"/>
    </row>
    <row r="826">
      <c r="A826" s="174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97" t="n"/>
      <c r="P826" s="297" t="n"/>
      <c r="Q826" s="297" t="n"/>
      <c r="R826" s="297" t="n"/>
      <c r="S826" s="297" t="n"/>
      <c r="T826" s="297" t="n"/>
      <c r="U826" s="297" t="n"/>
    </row>
    <row r="827">
      <c r="A827" s="174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97" t="n"/>
      <c r="P827" s="297" t="n"/>
      <c r="Q827" s="297" t="n"/>
      <c r="R827" s="297" t="n"/>
      <c r="S827" s="297" t="n"/>
      <c r="T827" s="297" t="n"/>
      <c r="U827" s="297" t="n"/>
    </row>
    <row r="828">
      <c r="A828" s="174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97" t="n"/>
      <c r="P828" s="297" t="n"/>
      <c r="Q828" s="297" t="n"/>
      <c r="R828" s="297" t="n"/>
      <c r="S828" s="297" t="n"/>
      <c r="T828" s="297" t="n"/>
      <c r="U828" s="297" t="n"/>
    </row>
    <row r="829">
      <c r="A829" s="174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97" t="n"/>
      <c r="P829" s="297" t="n"/>
      <c r="Q829" s="297" t="n"/>
      <c r="R829" s="297" t="n"/>
      <c r="S829" s="297" t="n"/>
      <c r="T829" s="297" t="n"/>
      <c r="U829" s="297" t="n"/>
    </row>
    <row r="830">
      <c r="A830" s="174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97" t="n"/>
      <c r="P830" s="297" t="n"/>
      <c r="Q830" s="297" t="n"/>
      <c r="R830" s="297" t="n"/>
      <c r="S830" s="297" t="n"/>
      <c r="T830" s="297" t="n"/>
      <c r="U830" s="297" t="n"/>
    </row>
    <row r="831">
      <c r="A831" s="174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97" t="n"/>
      <c r="P831" s="297" t="n"/>
      <c r="Q831" s="297" t="n"/>
      <c r="R831" s="297" t="n"/>
      <c r="S831" s="297" t="n"/>
      <c r="T831" s="297" t="n"/>
      <c r="U831" s="297" t="n"/>
    </row>
    <row r="832">
      <c r="A832" s="174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97" t="n"/>
      <c r="P832" s="297" t="n"/>
      <c r="Q832" s="297" t="n"/>
      <c r="R832" s="297" t="n"/>
      <c r="S832" s="297" t="n"/>
      <c r="T832" s="297" t="n"/>
      <c r="U832" s="297" t="n"/>
    </row>
    <row r="833">
      <c r="A833" s="174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97" t="n"/>
      <c r="P833" s="297" t="n"/>
      <c r="Q833" s="297" t="n"/>
      <c r="R833" s="297" t="n"/>
      <c r="S833" s="297" t="n"/>
      <c r="T833" s="297" t="n"/>
      <c r="U833" s="297" t="n"/>
    </row>
    <row r="834">
      <c r="A834" s="174" t="n"/>
      <c r="B834" s="299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97" t="n"/>
      <c r="P834" s="297" t="n"/>
      <c r="Q834" s="297" t="n"/>
      <c r="R834" s="297" t="n"/>
      <c r="S834" s="297" t="n"/>
      <c r="T834" s="297" t="n"/>
      <c r="U834" s="297" t="n"/>
    </row>
    <row r="835">
      <c r="A835" s="174" t="n"/>
      <c r="B835" s="299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97" t="n"/>
      <c r="P835" s="297" t="n"/>
      <c r="Q835" s="297" t="n"/>
      <c r="R835" s="297" t="n"/>
      <c r="S835" s="297" t="n"/>
      <c r="T835" s="297" t="n"/>
      <c r="U835" s="297" t="n"/>
    </row>
    <row r="836">
      <c r="A836" s="174" t="n"/>
      <c r="B836" s="299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97" t="n"/>
      <c r="P836" s="297" t="n"/>
      <c r="Q836" s="297" t="n"/>
      <c r="R836" s="297" t="n"/>
      <c r="S836" s="297" t="n"/>
      <c r="T836" s="297" t="n"/>
      <c r="U836" s="297" t="n"/>
    </row>
    <row r="837">
      <c r="A837" s="174" t="n"/>
      <c r="B837" s="299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97" t="n"/>
      <c r="P837" s="297" t="n"/>
      <c r="Q837" s="297" t="n"/>
      <c r="R837" s="297" t="n"/>
      <c r="S837" s="297" t="n"/>
      <c r="T837" s="297" t="n"/>
      <c r="U837" s="297" t="n"/>
    </row>
    <row r="838">
      <c r="A838" s="174" t="n"/>
      <c r="B838" s="299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97" t="n"/>
      <c r="P838" s="297" t="n"/>
      <c r="Q838" s="297" t="n"/>
      <c r="R838" s="297" t="n"/>
      <c r="S838" s="297" t="n"/>
      <c r="T838" s="297" t="n"/>
      <c r="U838" s="297" t="n"/>
    </row>
    <row r="839">
      <c r="A839" s="174" t="n"/>
      <c r="B839" s="299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97" t="n"/>
      <c r="P839" s="297" t="n"/>
      <c r="Q839" s="297" t="n"/>
      <c r="R839" s="297" t="n"/>
      <c r="S839" s="297" t="n"/>
      <c r="T839" s="297" t="n"/>
      <c r="U839" s="297" t="n"/>
    </row>
    <row r="840">
      <c r="A840" s="174" t="n"/>
      <c r="B840" s="299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97" t="n"/>
      <c r="P840" s="297" t="n"/>
      <c r="Q840" s="297" t="n"/>
      <c r="R840" s="297" t="n"/>
      <c r="S840" s="297" t="n"/>
      <c r="T840" s="297" t="n"/>
      <c r="U840" s="297" t="n"/>
    </row>
    <row r="841">
      <c r="A841" s="174" t="n"/>
      <c r="B841" s="299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97" t="n"/>
      <c r="P841" s="297" t="n"/>
      <c r="Q841" s="297" t="n"/>
      <c r="R841" s="297" t="n"/>
      <c r="S841" s="297" t="n"/>
      <c r="T841" s="297" t="n"/>
      <c r="U841" s="297" t="n"/>
    </row>
    <row r="842">
      <c r="A842" s="174" t="n"/>
      <c r="B842" s="299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97" t="n"/>
      <c r="P842" s="297" t="n"/>
      <c r="Q842" s="297" t="n"/>
      <c r="R842" s="297" t="n"/>
      <c r="S842" s="297" t="n"/>
      <c r="T842" s="297" t="n"/>
      <c r="U842" s="297" t="n"/>
    </row>
    <row r="843">
      <c r="A843" s="174" t="n"/>
      <c r="B843" s="299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97" t="n"/>
      <c r="P843" s="297" t="n"/>
      <c r="Q843" s="297" t="n"/>
      <c r="R843" s="297" t="n"/>
      <c r="S843" s="297" t="n"/>
      <c r="T843" s="297" t="n"/>
      <c r="U843" s="297" t="n"/>
    </row>
    <row r="844">
      <c r="A844" s="174" t="n"/>
      <c r="B844" s="299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97" t="n"/>
      <c r="P844" s="297" t="n"/>
      <c r="Q844" s="297" t="n"/>
      <c r="R844" s="297" t="n"/>
      <c r="S844" s="297" t="n"/>
      <c r="T844" s="297" t="n"/>
      <c r="U844" s="297" t="n"/>
    </row>
    <row r="845">
      <c r="A845" s="174" t="n"/>
      <c r="B845" s="299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97" t="n"/>
      <c r="P845" s="297" t="n"/>
      <c r="Q845" s="297" t="n"/>
      <c r="R845" s="297" t="n"/>
      <c r="S845" s="297" t="n"/>
      <c r="T845" s="297" t="n"/>
      <c r="U845" s="297" t="n"/>
    </row>
    <row r="846">
      <c r="A846" s="174" t="n"/>
      <c r="B846" s="299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97" t="n"/>
      <c r="P846" s="297" t="n"/>
      <c r="Q846" s="297" t="n"/>
      <c r="R846" s="297" t="n"/>
      <c r="S846" s="297" t="n"/>
      <c r="T846" s="297" t="n"/>
      <c r="U846" s="297" t="n"/>
    </row>
    <row r="847">
      <c r="A847" s="174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97" t="n"/>
      <c r="P847" s="297" t="n"/>
      <c r="Q847" s="297" t="n"/>
      <c r="R847" s="297" t="n"/>
      <c r="S847" s="297" t="n"/>
      <c r="T847" s="297" t="n"/>
      <c r="U847" s="297" t="n"/>
    </row>
    <row r="848">
      <c r="A848" s="174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97" t="n"/>
      <c r="P848" s="297" t="n"/>
      <c r="Q848" s="297" t="n"/>
      <c r="R848" s="297" t="n"/>
      <c r="S848" s="297" t="n"/>
      <c r="T848" s="297" t="n"/>
      <c r="U848" s="297" t="n"/>
    </row>
    <row r="849">
      <c r="A849" s="174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97" t="n"/>
      <c r="P849" s="297" t="n"/>
      <c r="Q849" s="297" t="n"/>
      <c r="R849" s="297" t="n"/>
      <c r="S849" s="297" t="n"/>
      <c r="T849" s="297" t="n"/>
      <c r="U849" s="297" t="n"/>
    </row>
    <row r="850">
      <c r="A850" s="174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97" t="n"/>
      <c r="P850" s="297" t="n"/>
      <c r="Q850" s="297" t="n"/>
      <c r="R850" s="297" t="n"/>
      <c r="S850" s="297" t="n"/>
      <c r="T850" s="297" t="n"/>
      <c r="U850" s="297" t="n"/>
    </row>
    <row r="851">
      <c r="A851" s="174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97" t="n"/>
      <c r="P851" s="297" t="n"/>
      <c r="Q851" s="297" t="n"/>
      <c r="R851" s="297" t="n"/>
      <c r="S851" s="297" t="n"/>
      <c r="T851" s="297" t="n"/>
      <c r="U851" s="297" t="n"/>
    </row>
    <row r="852">
      <c r="A852" s="174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97" t="n"/>
      <c r="P852" s="297" t="n"/>
      <c r="Q852" s="297" t="n"/>
      <c r="R852" s="297" t="n"/>
      <c r="S852" s="297" t="n"/>
      <c r="T852" s="297" t="n"/>
      <c r="U852" s="297" t="n"/>
    </row>
    <row r="853">
      <c r="A853" s="174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97" t="n"/>
      <c r="P853" s="297" t="n"/>
      <c r="Q853" s="297" t="n"/>
      <c r="R853" s="297" t="n"/>
      <c r="S853" s="297" t="n"/>
      <c r="T853" s="297" t="n"/>
      <c r="U853" s="297" t="n"/>
    </row>
    <row r="854">
      <c r="A854" s="174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97" t="n"/>
      <c r="P854" s="297" t="n"/>
      <c r="Q854" s="297" t="n"/>
      <c r="R854" s="297" t="n"/>
      <c r="S854" s="297" t="n"/>
      <c r="T854" s="297" t="n"/>
      <c r="U854" s="297" t="n"/>
    </row>
    <row r="855">
      <c r="A855" s="174" t="n"/>
      <c r="B855" s="299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97" t="n"/>
      <c r="P855" s="297" t="n"/>
      <c r="Q855" s="297" t="n"/>
      <c r="R855" s="297" t="n"/>
      <c r="S855" s="297" t="n"/>
      <c r="T855" s="297" t="n"/>
      <c r="U855" s="297" t="n"/>
    </row>
    <row r="856">
      <c r="A856" s="174" t="n"/>
      <c r="B856" s="299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97" t="n"/>
      <c r="P856" s="297" t="n"/>
      <c r="Q856" s="297" t="n"/>
      <c r="R856" s="297" t="n"/>
      <c r="S856" s="297" t="n"/>
      <c r="T856" s="297" t="n"/>
      <c r="U856" s="297" t="n"/>
    </row>
    <row r="857">
      <c r="A857" s="174" t="n"/>
      <c r="B857" s="299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97" t="n"/>
      <c r="P857" s="297" t="n"/>
      <c r="Q857" s="297" t="n"/>
      <c r="R857" s="297" t="n"/>
      <c r="S857" s="297" t="n"/>
      <c r="T857" s="297" t="n"/>
      <c r="U857" s="297" t="n"/>
    </row>
    <row r="858">
      <c r="A858" s="174" t="n"/>
      <c r="B858" s="299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97" t="n"/>
      <c r="P858" s="297" t="n"/>
      <c r="Q858" s="297" t="n"/>
      <c r="R858" s="297" t="n"/>
      <c r="S858" s="297" t="n"/>
      <c r="T858" s="297" t="n"/>
      <c r="U858" s="297" t="n"/>
    </row>
    <row r="859">
      <c r="A859" s="174" t="n"/>
      <c r="B859" s="299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97" t="n"/>
      <c r="P859" s="297" t="n"/>
      <c r="Q859" s="297" t="n"/>
      <c r="R859" s="297" t="n"/>
      <c r="S859" s="297" t="n"/>
      <c r="T859" s="297" t="n"/>
      <c r="U859" s="297" t="n"/>
    </row>
    <row r="860">
      <c r="A860" s="174" t="n"/>
      <c r="B860" s="299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97" t="n"/>
      <c r="P860" s="297" t="n"/>
      <c r="Q860" s="297" t="n"/>
      <c r="R860" s="297" t="n"/>
      <c r="S860" s="297" t="n"/>
      <c r="T860" s="297" t="n"/>
      <c r="U860" s="297" t="n"/>
    </row>
    <row r="861">
      <c r="A861" s="174" t="n"/>
      <c r="B861" s="299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97" t="n"/>
      <c r="P861" s="297" t="n"/>
      <c r="Q861" s="297" t="n"/>
      <c r="R861" s="297" t="n"/>
      <c r="S861" s="297" t="n"/>
      <c r="T861" s="297" t="n"/>
      <c r="U861" s="297" t="n"/>
    </row>
    <row r="862">
      <c r="A862" s="174" t="n"/>
      <c r="B862" s="299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97" t="n"/>
      <c r="P862" s="297" t="n"/>
      <c r="Q862" s="297" t="n"/>
      <c r="R862" s="297" t="n"/>
      <c r="S862" s="297" t="n"/>
      <c r="T862" s="297" t="n"/>
      <c r="U862" s="297" t="n"/>
    </row>
    <row r="863">
      <c r="A863" s="174" t="n"/>
      <c r="B863" s="299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97" t="n"/>
      <c r="P863" s="297" t="n"/>
      <c r="Q863" s="297" t="n"/>
      <c r="R863" s="297" t="n"/>
      <c r="S863" s="297" t="n"/>
      <c r="T863" s="297" t="n"/>
      <c r="U863" s="297" t="n"/>
    </row>
    <row r="864">
      <c r="A864" s="174" t="n"/>
      <c r="B864" s="299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97" t="n"/>
      <c r="P864" s="297" t="n"/>
      <c r="Q864" s="297" t="n"/>
      <c r="R864" s="297" t="n"/>
      <c r="S864" s="297" t="n"/>
      <c r="T864" s="297" t="n"/>
      <c r="U864" s="297" t="n"/>
    </row>
    <row r="865">
      <c r="A865" s="174" t="n"/>
      <c r="B865" s="299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97" t="n"/>
      <c r="P865" s="297" t="n"/>
      <c r="Q865" s="297" t="n"/>
      <c r="R865" s="297" t="n"/>
      <c r="S865" s="297" t="n"/>
      <c r="T865" s="297" t="n"/>
      <c r="U865" s="297" t="n"/>
    </row>
    <row r="866">
      <c r="A866" s="174" t="n"/>
      <c r="B866" s="299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97" t="n"/>
      <c r="P866" s="297" t="n"/>
      <c r="Q866" s="297" t="n"/>
      <c r="R866" s="297" t="n"/>
      <c r="S866" s="297" t="n"/>
      <c r="T866" s="297" t="n"/>
      <c r="U866" s="297" t="n"/>
    </row>
    <row r="867">
      <c r="A867" s="174" t="n"/>
      <c r="B867" s="300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301" t="n"/>
      <c r="P867" s="301" t="n"/>
      <c r="Q867" s="301" t="n"/>
      <c r="R867" s="301" t="n"/>
      <c r="S867" s="301" t="n"/>
      <c r="T867" s="301" t="n"/>
      <c r="U867" s="301" t="n"/>
    </row>
    <row r="868">
      <c r="A868" s="174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97" t="n"/>
      <c r="P868" s="297" t="n"/>
      <c r="Q868" s="297" t="n"/>
      <c r="R868" s="297" t="n"/>
      <c r="S868" s="297" t="n"/>
      <c r="T868" s="297" t="n"/>
      <c r="U868" s="297" t="n"/>
    </row>
    <row r="869">
      <c r="A869" s="174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97" t="n"/>
      <c r="P869" s="297" t="n"/>
      <c r="Q869" s="297" t="n"/>
      <c r="R869" s="297" t="n"/>
      <c r="S869" s="297" t="n"/>
      <c r="T869" s="297" t="n"/>
      <c r="U869" s="297" t="n"/>
    </row>
    <row r="870">
      <c r="A870" s="174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97" t="n"/>
      <c r="P870" s="297" t="n"/>
      <c r="Q870" s="297" t="n"/>
      <c r="R870" s="297" t="n"/>
      <c r="S870" s="297" t="n"/>
      <c r="T870" s="297" t="n"/>
      <c r="U870" s="297" t="n"/>
    </row>
    <row r="871">
      <c r="A871" s="174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97" t="n"/>
      <c r="P871" s="297" t="n"/>
      <c r="Q871" s="297" t="n"/>
      <c r="R871" s="297" t="n"/>
      <c r="S871" s="297" t="n"/>
      <c r="T871" s="297" t="n"/>
      <c r="U871" s="297" t="n"/>
    </row>
    <row r="872">
      <c r="A872" s="174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97" t="n"/>
      <c r="P872" s="297" t="n"/>
      <c r="Q872" s="297" t="n"/>
      <c r="R872" s="297" t="n"/>
      <c r="S872" s="297" t="n"/>
      <c r="T872" s="297" t="n"/>
      <c r="U872" s="297" t="n"/>
    </row>
    <row r="873">
      <c r="A873" s="174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97" t="n"/>
      <c r="P873" s="297" t="n"/>
      <c r="Q873" s="297" t="n"/>
      <c r="R873" s="297" t="n"/>
      <c r="S873" s="297" t="n"/>
      <c r="T873" s="297" t="n"/>
      <c r="U873" s="297" t="n"/>
    </row>
    <row r="874">
      <c r="A874" s="174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97" t="n"/>
      <c r="P874" s="297" t="n"/>
      <c r="Q874" s="297" t="n"/>
      <c r="R874" s="297" t="n"/>
      <c r="S874" s="297" t="n"/>
      <c r="T874" s="297" t="n"/>
      <c r="U874" s="297" t="n"/>
    </row>
    <row r="875">
      <c r="A875" s="174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97" t="n"/>
      <c r="P875" s="297" t="n"/>
      <c r="Q875" s="297" t="n"/>
      <c r="R875" s="297" t="n"/>
      <c r="S875" s="297" t="n"/>
      <c r="T875" s="297" t="n"/>
      <c r="U875" s="297" t="n"/>
    </row>
    <row r="876">
      <c r="A876" s="174" t="n"/>
      <c r="B876" s="299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97" t="n"/>
      <c r="P876" s="297" t="n"/>
      <c r="Q876" s="297" t="n"/>
      <c r="R876" s="297" t="n"/>
      <c r="S876" s="297" t="n"/>
      <c r="T876" s="297" t="n"/>
      <c r="U876" s="297" t="n"/>
    </row>
    <row r="877">
      <c r="A877" s="174" t="n"/>
      <c r="B877" s="299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97" t="n"/>
      <c r="P877" s="297" t="n"/>
      <c r="Q877" s="297" t="n"/>
      <c r="R877" s="297" t="n"/>
      <c r="S877" s="297" t="n"/>
      <c r="T877" s="297" t="n"/>
      <c r="U877" s="297" t="n"/>
    </row>
    <row r="878">
      <c r="A878" s="174" t="n"/>
      <c r="B878" s="299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97" t="n"/>
      <c r="P878" s="297" t="n"/>
      <c r="Q878" s="297" t="n"/>
      <c r="R878" s="297" t="n"/>
      <c r="S878" s="297" t="n"/>
      <c r="T878" s="297" t="n"/>
      <c r="U878" s="297" t="n"/>
    </row>
    <row r="879">
      <c r="A879" s="174" t="n"/>
      <c r="B879" s="299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97" t="n"/>
      <c r="P879" s="297" t="n"/>
      <c r="Q879" s="297" t="n"/>
      <c r="R879" s="297" t="n"/>
      <c r="S879" s="297" t="n"/>
      <c r="T879" s="297" t="n"/>
      <c r="U879" s="297" t="n"/>
    </row>
    <row r="880">
      <c r="A880" s="174" t="n"/>
      <c r="B880" s="299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97" t="n"/>
      <c r="P880" s="297" t="n"/>
      <c r="Q880" s="297" t="n"/>
      <c r="R880" s="297" t="n"/>
      <c r="S880" s="297" t="n"/>
      <c r="T880" s="297" t="n"/>
      <c r="U880" s="297" t="n"/>
    </row>
    <row r="881">
      <c r="A881" s="174" t="n"/>
      <c r="B881" s="299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97" t="n"/>
      <c r="P881" s="297" t="n"/>
      <c r="Q881" s="297" t="n"/>
      <c r="R881" s="297" t="n"/>
      <c r="S881" s="297" t="n"/>
      <c r="T881" s="297" t="n"/>
      <c r="U881" s="297" t="n"/>
    </row>
    <row r="882">
      <c r="A882" s="174" t="n"/>
      <c r="B882" s="299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97" t="n"/>
      <c r="P882" s="297" t="n"/>
      <c r="Q882" s="297" t="n"/>
      <c r="R882" s="297" t="n"/>
      <c r="S882" s="297" t="n"/>
      <c r="T882" s="297" t="n"/>
      <c r="U882" s="297" t="n"/>
    </row>
    <row r="883">
      <c r="A883" s="174" t="n"/>
      <c r="B883" s="299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97" t="n"/>
      <c r="P883" s="297" t="n"/>
      <c r="Q883" s="297" t="n"/>
      <c r="R883" s="297" t="n"/>
      <c r="S883" s="297" t="n"/>
      <c r="T883" s="297" t="n"/>
      <c r="U883" s="297" t="n"/>
    </row>
    <row r="884">
      <c r="A884" s="174" t="n"/>
      <c r="B884" s="299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97" t="n"/>
      <c r="P884" s="297" t="n"/>
      <c r="Q884" s="297" t="n"/>
      <c r="R884" s="297" t="n"/>
      <c r="S884" s="297" t="n"/>
      <c r="T884" s="297" t="n"/>
      <c r="U884" s="297" t="n"/>
    </row>
    <row r="885">
      <c r="A885" s="174" t="n"/>
      <c r="B885" s="299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97" t="n"/>
      <c r="P885" s="297" t="n"/>
      <c r="Q885" s="297" t="n"/>
      <c r="R885" s="297" t="n"/>
      <c r="S885" s="297" t="n"/>
      <c r="T885" s="297" t="n"/>
      <c r="U885" s="297" t="n"/>
    </row>
    <row r="886">
      <c r="A886" s="174" t="n"/>
      <c r="B886" s="299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97" t="n"/>
      <c r="P886" s="297" t="n"/>
      <c r="Q886" s="297" t="n"/>
      <c r="R886" s="297" t="n"/>
      <c r="S886" s="297" t="n"/>
      <c r="T886" s="297" t="n"/>
      <c r="U886" s="297" t="n"/>
    </row>
    <row r="887">
      <c r="A887" s="174" t="n"/>
      <c r="B887" s="299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97" t="n"/>
      <c r="P887" s="297" t="n"/>
      <c r="Q887" s="297" t="n"/>
      <c r="R887" s="297" t="n"/>
      <c r="S887" s="297" t="n"/>
      <c r="T887" s="297" t="n"/>
      <c r="U887" s="297" t="n"/>
    </row>
    <row r="888">
      <c r="A888" s="174" t="n"/>
      <c r="B888" s="299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97" t="n"/>
      <c r="P888" s="297" t="n"/>
      <c r="Q888" s="297" t="n"/>
      <c r="R888" s="297" t="n"/>
      <c r="S888" s="297" t="n"/>
      <c r="T888" s="297" t="n"/>
      <c r="U888" s="297" t="n"/>
    </row>
    <row r="889">
      <c r="A889" s="174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97" t="n"/>
      <c r="P889" s="297" t="n"/>
      <c r="Q889" s="297" t="n"/>
      <c r="R889" s="297" t="n"/>
      <c r="S889" s="297" t="n"/>
      <c r="T889" s="297" t="n"/>
      <c r="U889" s="297" t="n"/>
    </row>
    <row r="890">
      <c r="A890" s="174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97" t="n"/>
      <c r="P890" s="297" t="n"/>
      <c r="Q890" s="297" t="n"/>
      <c r="R890" s="297" t="n"/>
      <c r="S890" s="297" t="n"/>
      <c r="T890" s="297" t="n"/>
      <c r="U890" s="297" t="n"/>
    </row>
    <row r="891">
      <c r="A891" s="174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97" t="n"/>
      <c r="P891" s="297" t="n"/>
      <c r="Q891" s="297" t="n"/>
      <c r="R891" s="297" t="n"/>
      <c r="S891" s="297" t="n"/>
      <c r="T891" s="297" t="n"/>
      <c r="U891" s="297" t="n"/>
    </row>
    <row r="892">
      <c r="A892" s="174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97" t="n"/>
      <c r="P892" s="297" t="n"/>
      <c r="Q892" s="297" t="n"/>
      <c r="R892" s="297" t="n"/>
      <c r="S892" s="297" t="n"/>
      <c r="T892" s="297" t="n"/>
      <c r="U892" s="297" t="n"/>
    </row>
    <row r="893">
      <c r="A893" s="174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97" t="n"/>
      <c r="P893" s="297" t="n"/>
      <c r="Q893" s="297" t="n"/>
      <c r="R893" s="297" t="n"/>
      <c r="S893" s="297" t="n"/>
      <c r="T893" s="297" t="n"/>
      <c r="U893" s="297" t="n"/>
    </row>
    <row r="894">
      <c r="A894" s="174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97" t="n"/>
      <c r="P894" s="297" t="n"/>
      <c r="Q894" s="297" t="n"/>
      <c r="R894" s="297" t="n"/>
      <c r="S894" s="297" t="n"/>
      <c r="T894" s="297" t="n"/>
      <c r="U894" s="297" t="n"/>
    </row>
    <row r="895">
      <c r="A895" s="174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97" t="n"/>
      <c r="P895" s="297" t="n"/>
      <c r="Q895" s="297" t="n"/>
      <c r="R895" s="297" t="n"/>
      <c r="S895" s="297" t="n"/>
      <c r="T895" s="297" t="n"/>
      <c r="U895" s="297" t="n"/>
    </row>
    <row r="896">
      <c r="A896" s="174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97" t="n"/>
      <c r="P896" s="297" t="n"/>
      <c r="Q896" s="297" t="n"/>
      <c r="R896" s="297" t="n"/>
      <c r="S896" s="297" t="n"/>
      <c r="T896" s="297" t="n"/>
      <c r="U896" s="297" t="n"/>
    </row>
    <row r="897">
      <c r="A897" s="174" t="n"/>
      <c r="B897" s="299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97" t="n"/>
      <c r="P897" s="297" t="n"/>
      <c r="Q897" s="297" t="n"/>
      <c r="R897" s="297" t="n"/>
      <c r="S897" s="297" t="n"/>
      <c r="T897" s="297" t="n"/>
      <c r="U897" s="297" t="n"/>
    </row>
    <row r="898">
      <c r="A898" s="174" t="n"/>
      <c r="B898" s="299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97" t="n"/>
      <c r="P898" s="297" t="n"/>
      <c r="Q898" s="297" t="n"/>
      <c r="R898" s="297" t="n"/>
      <c r="S898" s="297" t="n"/>
      <c r="T898" s="297" t="n"/>
      <c r="U898" s="297" t="n"/>
    </row>
    <row r="899">
      <c r="A899" s="174" t="n"/>
      <c r="B899" s="299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97" t="n"/>
      <c r="P899" s="297" t="n"/>
      <c r="Q899" s="297" t="n"/>
      <c r="R899" s="297" t="n"/>
      <c r="S899" s="297" t="n"/>
      <c r="T899" s="297" t="n"/>
      <c r="U899" s="297" t="n"/>
    </row>
    <row r="900">
      <c r="A900" s="174" t="n"/>
      <c r="B900" s="299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97" t="n"/>
      <c r="P900" s="297" t="n"/>
      <c r="Q900" s="297" t="n"/>
      <c r="R900" s="297" t="n"/>
      <c r="S900" s="297" t="n"/>
      <c r="T900" s="297" t="n"/>
      <c r="U900" s="297" t="n"/>
    </row>
    <row r="901">
      <c r="A901" s="174" t="n"/>
      <c r="B901" s="299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97" t="n"/>
      <c r="P901" s="297" t="n"/>
      <c r="Q901" s="297" t="n"/>
      <c r="R901" s="297" t="n"/>
      <c r="S901" s="297" t="n"/>
      <c r="T901" s="297" t="n"/>
      <c r="U901" s="297" t="n"/>
    </row>
    <row r="902">
      <c r="A902" s="174" t="n"/>
      <c r="B902" s="299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97" t="n"/>
      <c r="P902" s="297" t="n"/>
      <c r="Q902" s="297" t="n"/>
      <c r="R902" s="297" t="n"/>
      <c r="S902" s="297" t="n"/>
      <c r="T902" s="297" t="n"/>
      <c r="U902" s="297" t="n"/>
    </row>
    <row r="903">
      <c r="A903" s="174" t="n"/>
      <c r="B903" s="299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97" t="n"/>
      <c r="P903" s="297" t="n"/>
      <c r="Q903" s="297" t="n"/>
      <c r="R903" s="297" t="n"/>
      <c r="S903" s="297" t="n"/>
      <c r="T903" s="297" t="n"/>
      <c r="U903" s="297" t="n"/>
    </row>
    <row r="904">
      <c r="A904" s="174" t="n"/>
      <c r="B904" s="299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97" t="n"/>
      <c r="P904" s="297" t="n"/>
      <c r="Q904" s="297" t="n"/>
      <c r="R904" s="297" t="n"/>
      <c r="S904" s="297" t="n"/>
      <c r="T904" s="297" t="n"/>
      <c r="U904" s="297" t="n"/>
    </row>
    <row r="905">
      <c r="A905" s="174" t="n"/>
      <c r="B905" s="299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97" t="n"/>
      <c r="P905" s="297" t="n"/>
      <c r="Q905" s="297" t="n"/>
      <c r="R905" s="297" t="n"/>
      <c r="S905" s="297" t="n"/>
      <c r="T905" s="297" t="n"/>
      <c r="U905" s="297" t="n"/>
    </row>
    <row r="906">
      <c r="A906" s="174" t="n"/>
      <c r="B906" s="299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97" t="n"/>
      <c r="P906" s="297" t="n"/>
      <c r="Q906" s="297" t="n"/>
      <c r="R906" s="297" t="n"/>
      <c r="S906" s="297" t="n"/>
      <c r="T906" s="297" t="n"/>
      <c r="U906" s="297" t="n"/>
    </row>
    <row r="907">
      <c r="A907" s="174" t="n"/>
      <c r="B907" s="299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97" t="n"/>
      <c r="P907" s="297" t="n"/>
      <c r="Q907" s="297" t="n"/>
      <c r="R907" s="297" t="n"/>
      <c r="S907" s="297" t="n"/>
      <c r="T907" s="297" t="n"/>
      <c r="U907" s="297" t="n"/>
    </row>
    <row r="908">
      <c r="A908" s="174" t="n"/>
      <c r="B908" s="299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97" t="n"/>
      <c r="P908" s="297" t="n"/>
      <c r="Q908" s="297" t="n"/>
      <c r="R908" s="297" t="n"/>
      <c r="S908" s="297" t="n"/>
      <c r="T908" s="297" t="n"/>
      <c r="U908" s="297" t="n"/>
    </row>
    <row r="909">
      <c r="A909" s="174" t="n"/>
      <c r="B909" s="300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301" t="n"/>
      <c r="P909" s="301" t="n"/>
      <c r="Q909" s="301" t="n"/>
      <c r="R909" s="301" t="n"/>
      <c r="S909" s="301" t="n"/>
      <c r="T909" s="301" t="n"/>
      <c r="U909" s="301" t="n"/>
    </row>
    <row r="910">
      <c r="A910" s="1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97" t="n"/>
      <c r="P910" s="297" t="n"/>
      <c r="Q910" s="297" t="n"/>
      <c r="R910" s="297" t="n"/>
      <c r="S910" s="297" t="n"/>
      <c r="T910" s="297" t="n"/>
      <c r="U910" s="297" t="n"/>
    </row>
    <row r="911">
      <c r="A911" s="1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97" t="n"/>
      <c r="P911" s="297" t="n"/>
      <c r="Q911" s="297" t="n"/>
      <c r="R911" s="297" t="n"/>
      <c r="S911" s="297" t="n"/>
      <c r="T911" s="297" t="n"/>
      <c r="U911" s="297" t="n"/>
    </row>
    <row r="912">
      <c r="A912" s="1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97" t="n"/>
      <c r="P912" s="297" t="n"/>
      <c r="Q912" s="297" t="n"/>
      <c r="R912" s="297" t="n"/>
      <c r="S912" s="297" t="n"/>
      <c r="T912" s="297" t="n"/>
      <c r="U912" s="297" t="n"/>
    </row>
    <row r="913">
      <c r="A913" s="1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97" t="n"/>
      <c r="P913" s="297" t="n"/>
      <c r="Q913" s="297" t="n"/>
      <c r="R913" s="297" t="n"/>
      <c r="S913" s="297" t="n"/>
      <c r="T913" s="297" t="n"/>
      <c r="U913" s="297" t="n"/>
    </row>
    <row r="914">
      <c r="A914" s="1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97" t="n"/>
      <c r="P914" s="297" t="n"/>
      <c r="Q914" s="297" t="n"/>
      <c r="R914" s="297" t="n"/>
      <c r="S914" s="297" t="n"/>
      <c r="T914" s="297" t="n"/>
      <c r="U914" s="297" t="n"/>
    </row>
    <row r="915">
      <c r="A915" s="1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97" t="n"/>
      <c r="P915" s="297" t="n"/>
      <c r="Q915" s="297" t="n"/>
      <c r="R915" s="297" t="n"/>
      <c r="S915" s="297" t="n"/>
      <c r="T915" s="297" t="n"/>
      <c r="U915" s="297" t="n"/>
    </row>
    <row r="916">
      <c r="A916" s="1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97" t="n"/>
      <c r="P916" s="297" t="n"/>
      <c r="Q916" s="297" t="n"/>
      <c r="R916" s="297" t="n"/>
      <c r="S916" s="297" t="n"/>
      <c r="T916" s="297" t="n"/>
      <c r="U916" s="297" t="n"/>
    </row>
    <row r="917">
      <c r="A917" s="1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97" t="n"/>
      <c r="P917" s="297" t="n"/>
      <c r="Q917" s="297" t="n"/>
      <c r="R917" s="297" t="n"/>
      <c r="S917" s="297" t="n"/>
      <c r="T917" s="297" t="n"/>
      <c r="U917" s="297" t="n"/>
    </row>
    <row r="918">
      <c r="A918" s="195" t="n"/>
      <c r="B918" s="300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97" t="n"/>
      <c r="P918" s="297" t="n"/>
      <c r="Q918" s="297" t="n"/>
      <c r="R918" s="297" t="n"/>
      <c r="S918" s="297" t="n"/>
      <c r="T918" s="297" t="n"/>
      <c r="U918" s="297" t="n"/>
    </row>
    <row r="919">
      <c r="A919" s="195" t="n"/>
      <c r="B919" s="300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97" t="n"/>
      <c r="P919" s="297" t="n"/>
      <c r="Q919" s="297" t="n"/>
      <c r="R919" s="297" t="n"/>
      <c r="S919" s="297" t="n"/>
      <c r="T919" s="297" t="n"/>
      <c r="U919" s="297" t="n"/>
    </row>
    <row r="920">
      <c r="A920" s="195" t="n"/>
      <c r="B920" s="300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97" t="n"/>
      <c r="P920" s="297" t="n"/>
      <c r="Q920" s="297" t="n"/>
      <c r="R920" s="297" t="n"/>
      <c r="S920" s="297" t="n"/>
      <c r="T920" s="297" t="n"/>
      <c r="U920" s="297" t="n"/>
    </row>
    <row r="921">
      <c r="A921" s="195" t="n"/>
      <c r="B921" s="300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97" t="n"/>
      <c r="P921" s="297" t="n"/>
      <c r="Q921" s="297" t="n"/>
      <c r="R921" s="297" t="n"/>
      <c r="S921" s="297" t="n"/>
      <c r="T921" s="297" t="n"/>
      <c r="U921" s="297" t="n"/>
    </row>
    <row r="922">
      <c r="A922" s="195" t="n"/>
      <c r="B922" s="300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97" t="n"/>
      <c r="P922" s="297" t="n"/>
      <c r="Q922" s="297" t="n"/>
      <c r="R922" s="297" t="n"/>
      <c r="S922" s="297" t="n"/>
      <c r="T922" s="297" t="n"/>
      <c r="U922" s="297" t="n"/>
    </row>
    <row r="923">
      <c r="A923" s="195" t="n"/>
      <c r="B923" s="300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97" t="n"/>
      <c r="P923" s="297" t="n"/>
      <c r="Q923" s="297" t="n"/>
      <c r="R923" s="297" t="n"/>
      <c r="S923" s="297" t="n"/>
      <c r="T923" s="297" t="n"/>
      <c r="U923" s="297" t="n"/>
    </row>
    <row r="924">
      <c r="A924" s="195" t="n"/>
      <c r="B924" s="300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97" t="n"/>
      <c r="P924" s="297" t="n"/>
      <c r="Q924" s="297" t="n"/>
      <c r="R924" s="297" t="n"/>
      <c r="S924" s="297" t="n"/>
      <c r="T924" s="297" t="n"/>
      <c r="U924" s="297" t="n"/>
    </row>
    <row r="925">
      <c r="A925" s="195" t="n"/>
      <c r="B925" s="300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97" t="n"/>
      <c r="P925" s="297" t="n"/>
      <c r="Q925" s="297" t="n"/>
      <c r="R925" s="297" t="n"/>
      <c r="S925" s="297" t="n"/>
      <c r="T925" s="297" t="n"/>
      <c r="U925" s="297" t="n"/>
    </row>
    <row r="926">
      <c r="A926" s="195" t="n"/>
      <c r="B926" s="300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97" t="n"/>
      <c r="P926" s="297" t="n"/>
      <c r="Q926" s="297" t="n"/>
      <c r="R926" s="297" t="n"/>
      <c r="S926" s="297" t="n"/>
      <c r="T926" s="297" t="n"/>
      <c r="U926" s="297" t="n"/>
    </row>
    <row r="927">
      <c r="A927" s="195" t="n"/>
      <c r="B927" s="300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97" t="n"/>
      <c r="P927" s="297" t="n"/>
      <c r="Q927" s="297" t="n"/>
      <c r="R927" s="297" t="n"/>
      <c r="S927" s="297" t="n"/>
      <c r="T927" s="297" t="n"/>
      <c r="U927" s="297" t="n"/>
    </row>
    <row r="928">
      <c r="A928" s="195" t="n"/>
      <c r="B928" s="300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97" t="n"/>
      <c r="P928" s="297" t="n"/>
      <c r="Q928" s="297" t="n"/>
      <c r="R928" s="297" t="n"/>
      <c r="S928" s="297" t="n"/>
      <c r="T928" s="297" t="n"/>
      <c r="U928" s="297" t="n"/>
    </row>
    <row r="929">
      <c r="A929" s="195" t="n"/>
      <c r="B929" s="300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97" t="n"/>
      <c r="P929" s="297" t="n"/>
      <c r="Q929" s="297" t="n"/>
      <c r="R929" s="297" t="n"/>
      <c r="S929" s="297" t="n"/>
      <c r="T929" s="297" t="n"/>
      <c r="U929" s="297" t="n"/>
    </row>
    <row r="930">
      <c r="A930" s="196" t="n"/>
      <c r="B930" s="300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301" t="n"/>
      <c r="P930" s="301" t="n"/>
      <c r="Q930" s="301" t="n"/>
      <c r="R930" s="301" t="n"/>
      <c r="S930" s="301" t="n"/>
      <c r="T930" s="301" t="n"/>
      <c r="U930" s="301" t="n"/>
    </row>
    <row r="931">
      <c r="A931" s="1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97" t="n"/>
      <c r="P931" s="297" t="n"/>
      <c r="Q931" s="297" t="n"/>
      <c r="R931" s="297" t="n"/>
      <c r="S931" s="297" t="n"/>
      <c r="T931" s="297" t="n"/>
      <c r="U931" s="297" t="n"/>
    </row>
    <row r="932">
      <c r="A932" s="1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97" t="n"/>
      <c r="P932" s="297" t="n"/>
      <c r="Q932" s="297" t="n"/>
      <c r="R932" s="297" t="n"/>
      <c r="S932" s="297" t="n"/>
      <c r="T932" s="297" t="n"/>
      <c r="U932" s="297" t="n"/>
    </row>
    <row r="933">
      <c r="A933" s="1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97" t="n"/>
      <c r="P933" s="297" t="n"/>
      <c r="Q933" s="297" t="n"/>
      <c r="R933" s="297" t="n"/>
      <c r="S933" s="297" t="n"/>
      <c r="T933" s="297" t="n"/>
      <c r="U933" s="297" t="n"/>
    </row>
    <row r="934">
      <c r="A934" s="1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97" t="n"/>
      <c r="P934" s="297" t="n"/>
      <c r="Q934" s="297" t="n"/>
      <c r="R934" s="297" t="n"/>
      <c r="S934" s="297" t="n"/>
      <c r="T934" s="297" t="n"/>
      <c r="U934" s="297" t="n"/>
    </row>
    <row r="935">
      <c r="A935" s="1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97" t="n"/>
      <c r="P935" s="297" t="n"/>
      <c r="Q935" s="297" t="n"/>
      <c r="R935" s="297" t="n"/>
      <c r="S935" s="297" t="n"/>
      <c r="T935" s="297" t="n"/>
      <c r="U935" s="297" t="n"/>
    </row>
    <row r="936">
      <c r="A936" s="1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97" t="n"/>
      <c r="P936" s="297" t="n"/>
      <c r="Q936" s="297" t="n"/>
      <c r="R936" s="297" t="n"/>
      <c r="S936" s="297" t="n"/>
      <c r="T936" s="297" t="n"/>
      <c r="U936" s="297" t="n"/>
    </row>
    <row r="937">
      <c r="A937" s="1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97" t="n"/>
      <c r="P937" s="297" t="n"/>
      <c r="Q937" s="297" t="n"/>
      <c r="R937" s="297" t="n"/>
      <c r="S937" s="297" t="n"/>
      <c r="T937" s="297" t="n"/>
      <c r="U937" s="297" t="n"/>
    </row>
    <row r="938">
      <c r="A938" s="1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97" t="n"/>
      <c r="P938" s="297" t="n"/>
      <c r="Q938" s="297" t="n"/>
      <c r="R938" s="297" t="n"/>
      <c r="S938" s="297" t="n"/>
      <c r="T938" s="297" t="n"/>
      <c r="U938" s="297" t="n"/>
    </row>
    <row r="939">
      <c r="A939" s="195" t="n"/>
      <c r="B939" s="300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97" t="n"/>
      <c r="P939" s="297" t="n"/>
      <c r="Q939" s="297" t="n"/>
      <c r="R939" s="297" t="n"/>
      <c r="S939" s="297" t="n"/>
      <c r="T939" s="297" t="n"/>
      <c r="U939" s="297" t="n"/>
    </row>
    <row r="940">
      <c r="A940" s="195" t="n"/>
      <c r="B940" s="300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97" t="n"/>
      <c r="P940" s="297" t="n"/>
      <c r="Q940" s="297" t="n"/>
      <c r="R940" s="297" t="n"/>
      <c r="S940" s="297" t="n"/>
      <c r="T940" s="297" t="n"/>
      <c r="U940" s="297" t="n"/>
    </row>
    <row r="941">
      <c r="A941" s="195" t="n"/>
      <c r="B941" s="300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97" t="n"/>
      <c r="P941" s="297" t="n"/>
      <c r="Q941" s="297" t="n"/>
      <c r="R941" s="297" t="n"/>
      <c r="S941" s="297" t="n"/>
      <c r="T941" s="297" t="n"/>
      <c r="U941" s="297" t="n"/>
    </row>
    <row r="942">
      <c r="A942" s="195" t="n"/>
      <c r="B942" s="300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97" t="n"/>
      <c r="P942" s="297" t="n"/>
      <c r="Q942" s="297" t="n"/>
      <c r="R942" s="297" t="n"/>
      <c r="S942" s="297" t="n"/>
      <c r="T942" s="297" t="n"/>
      <c r="U942" s="297" t="n"/>
    </row>
    <row r="943">
      <c r="A943" s="195" t="n"/>
      <c r="B943" s="300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97" t="n"/>
      <c r="P943" s="297" t="n"/>
      <c r="Q943" s="297" t="n"/>
      <c r="R943" s="297" t="n"/>
      <c r="S943" s="297" t="n"/>
      <c r="T943" s="297" t="n"/>
      <c r="U943" s="297" t="n"/>
    </row>
    <row r="944">
      <c r="A944" s="195" t="n"/>
      <c r="B944" s="300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97" t="n"/>
      <c r="P944" s="297" t="n"/>
      <c r="Q944" s="297" t="n"/>
      <c r="R944" s="297" t="n"/>
      <c r="S944" s="297" t="n"/>
      <c r="T944" s="297" t="n"/>
      <c r="U944" s="297" t="n"/>
    </row>
    <row r="945">
      <c r="A945" s="195" t="n"/>
      <c r="B945" s="300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97" t="n"/>
      <c r="P945" s="297" t="n"/>
      <c r="Q945" s="297" t="n"/>
      <c r="R945" s="297" t="n"/>
      <c r="S945" s="297" t="n"/>
      <c r="T945" s="297" t="n"/>
      <c r="U945" s="297" t="n"/>
    </row>
    <row r="946">
      <c r="A946" s="195" t="n"/>
      <c r="B946" s="300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97" t="n"/>
      <c r="P946" s="297" t="n"/>
      <c r="Q946" s="297" t="n"/>
      <c r="R946" s="297" t="n"/>
      <c r="S946" s="297" t="n"/>
      <c r="T946" s="297" t="n"/>
      <c r="U946" s="297" t="n"/>
    </row>
    <row r="947">
      <c r="A947" s="195" t="n"/>
      <c r="B947" s="300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97" t="n"/>
      <c r="P947" s="297" t="n"/>
      <c r="Q947" s="297" t="n"/>
      <c r="R947" s="297" t="n"/>
      <c r="S947" s="297" t="n"/>
      <c r="T947" s="297" t="n"/>
      <c r="U947" s="297" t="n"/>
    </row>
    <row r="948">
      <c r="A948" s="195" t="n"/>
      <c r="B948" s="300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97" t="n"/>
      <c r="P948" s="297" t="n"/>
      <c r="Q948" s="297" t="n"/>
      <c r="R948" s="297" t="n"/>
      <c r="S948" s="297" t="n"/>
      <c r="T948" s="297" t="n"/>
      <c r="U948" s="297" t="n"/>
    </row>
    <row r="949">
      <c r="A949" s="195" t="n"/>
      <c r="B949" s="300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97" t="n"/>
      <c r="P949" s="297" t="n"/>
      <c r="Q949" s="297" t="n"/>
      <c r="R949" s="297" t="n"/>
      <c r="S949" s="297" t="n"/>
      <c r="T949" s="297" t="n"/>
      <c r="U949" s="297" t="n"/>
    </row>
    <row r="950">
      <c r="A950" s="195" t="n"/>
      <c r="B950" s="300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97" t="n"/>
      <c r="P950" s="297" t="n"/>
      <c r="Q950" s="297" t="n"/>
      <c r="R950" s="297" t="n"/>
      <c r="S950" s="297" t="n"/>
      <c r="T950" s="297" t="n"/>
      <c r="U950" s="297" t="n"/>
    </row>
    <row r="951">
      <c r="A951" s="196" t="n"/>
      <c r="B951" s="300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301" t="n"/>
      <c r="P951" s="301" t="n"/>
      <c r="Q951" s="301" t="n"/>
      <c r="R951" s="301" t="n"/>
      <c r="S951" s="301" t="n"/>
      <c r="T951" s="301" t="n"/>
      <c r="U951" s="301" t="n"/>
    </row>
    <row r="952">
      <c r="A952" s="1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97" t="n"/>
      <c r="P952" s="297" t="n"/>
      <c r="Q952" s="297" t="n"/>
      <c r="R952" s="297" t="n"/>
      <c r="S952" s="297" t="n"/>
      <c r="T952" s="297" t="n"/>
      <c r="U952" s="297" t="n"/>
    </row>
    <row r="953">
      <c r="A953" s="1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97" t="n"/>
      <c r="P953" s="297" t="n"/>
      <c r="Q953" s="297" t="n"/>
      <c r="R953" s="297" t="n"/>
      <c r="S953" s="297" t="n"/>
      <c r="T953" s="297" t="n"/>
      <c r="U953" s="297" t="n"/>
    </row>
    <row r="954">
      <c r="A954" s="1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97" t="n"/>
      <c r="P954" s="297" t="n"/>
      <c r="Q954" s="297" t="n"/>
      <c r="R954" s="297" t="n"/>
      <c r="S954" s="297" t="n"/>
      <c r="T954" s="297" t="n"/>
      <c r="U954" s="297" t="n"/>
    </row>
    <row r="955">
      <c r="A955" s="1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97" t="n"/>
      <c r="P955" s="297" t="n"/>
      <c r="Q955" s="297" t="n"/>
      <c r="R955" s="297" t="n"/>
      <c r="S955" s="297" t="n"/>
      <c r="T955" s="297" t="n"/>
      <c r="U955" s="297" t="n"/>
    </row>
    <row r="956">
      <c r="A956" s="1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97" t="n"/>
      <c r="P956" s="297" t="n"/>
      <c r="Q956" s="297" t="n"/>
      <c r="R956" s="297" t="n"/>
      <c r="S956" s="297" t="n"/>
      <c r="T956" s="297" t="n"/>
      <c r="U956" s="297" t="n"/>
    </row>
    <row r="957">
      <c r="A957" s="1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97" t="n"/>
      <c r="P957" s="297" t="n"/>
      <c r="Q957" s="297" t="n"/>
      <c r="R957" s="297" t="n"/>
      <c r="S957" s="297" t="n"/>
      <c r="T957" s="297" t="n"/>
      <c r="U957" s="297" t="n"/>
    </row>
    <row r="958">
      <c r="A958" s="1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97" t="n"/>
      <c r="P958" s="297" t="n"/>
      <c r="Q958" s="297" t="n"/>
      <c r="R958" s="297" t="n"/>
      <c r="S958" s="297" t="n"/>
      <c r="T958" s="297" t="n"/>
      <c r="U958" s="297" t="n"/>
    </row>
    <row r="959">
      <c r="A959" s="1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97" t="n"/>
      <c r="P959" s="297" t="n"/>
      <c r="Q959" s="297" t="n"/>
      <c r="R959" s="297" t="n"/>
      <c r="S959" s="297" t="n"/>
      <c r="T959" s="297" t="n"/>
      <c r="U959" s="297" t="n"/>
    </row>
    <row r="960">
      <c r="A960" s="1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97" t="n"/>
      <c r="P960" s="297" t="n"/>
      <c r="Q960" s="297" t="n"/>
      <c r="R960" s="297" t="n"/>
      <c r="S960" s="297" t="n"/>
      <c r="T960" s="297" t="n"/>
      <c r="U960" s="297" t="n"/>
    </row>
    <row r="961">
      <c r="A961" s="1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97" t="n"/>
      <c r="P961" s="297" t="n"/>
      <c r="Q961" s="297" t="n"/>
      <c r="R961" s="297" t="n"/>
      <c r="S961" s="297" t="n"/>
      <c r="T961" s="297" t="n"/>
      <c r="U961" s="297" t="n"/>
    </row>
    <row r="962">
      <c r="A962" s="1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97" t="n"/>
      <c r="P962" s="297" t="n"/>
      <c r="Q962" s="297" t="n"/>
      <c r="R962" s="297" t="n"/>
      <c r="S962" s="297" t="n"/>
      <c r="T962" s="297" t="n"/>
      <c r="U962" s="297" t="n"/>
    </row>
    <row r="963">
      <c r="A963" s="1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97" t="n"/>
      <c r="P963" s="297" t="n"/>
      <c r="Q963" s="297" t="n"/>
      <c r="R963" s="297" t="n"/>
      <c r="S963" s="297" t="n"/>
      <c r="T963" s="297" t="n"/>
      <c r="U963" s="297" t="n"/>
    </row>
    <row r="964">
      <c r="A964" s="1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97" t="n"/>
      <c r="P964" s="297" t="n"/>
      <c r="Q964" s="297" t="n"/>
      <c r="R964" s="297" t="n"/>
      <c r="S964" s="297" t="n"/>
      <c r="T964" s="297" t="n"/>
      <c r="U964" s="297" t="n"/>
    </row>
    <row r="965">
      <c r="A965" s="1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97" t="n"/>
      <c r="P965" s="297" t="n"/>
      <c r="Q965" s="297" t="n"/>
      <c r="R965" s="297" t="n"/>
      <c r="S965" s="297" t="n"/>
      <c r="T965" s="297" t="n"/>
      <c r="U965" s="297" t="n"/>
    </row>
    <row r="966">
      <c r="A966" s="1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97" t="n"/>
      <c r="P966" s="297" t="n"/>
      <c r="Q966" s="297" t="n"/>
      <c r="R966" s="297" t="n"/>
      <c r="S966" s="297" t="n"/>
      <c r="T966" s="297" t="n"/>
      <c r="U966" s="297" t="n"/>
    </row>
    <row r="967">
      <c r="A967" s="1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97" t="n"/>
      <c r="P967" s="297" t="n"/>
      <c r="Q967" s="297" t="n"/>
      <c r="R967" s="297" t="n"/>
      <c r="S967" s="297" t="n"/>
      <c r="T967" s="297" t="n"/>
      <c r="U967" s="297" t="n"/>
    </row>
    <row r="968">
      <c r="A968" s="1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97" t="n"/>
      <c r="P968" s="297" t="n"/>
      <c r="Q968" s="297" t="n"/>
      <c r="R968" s="297" t="n"/>
      <c r="S968" s="297" t="n"/>
      <c r="T968" s="297" t="n"/>
      <c r="U968" s="297" t="n"/>
    </row>
    <row r="969">
      <c r="A969" s="1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97" t="n"/>
      <c r="P969" s="297" t="n"/>
      <c r="Q969" s="297" t="n"/>
      <c r="R969" s="297" t="n"/>
      <c r="S969" s="297" t="n"/>
      <c r="T969" s="297" t="n"/>
      <c r="U969" s="297" t="n"/>
    </row>
    <row r="970">
      <c r="A970" s="1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97" t="n"/>
      <c r="P970" s="297" t="n"/>
      <c r="Q970" s="297" t="n"/>
      <c r="R970" s="297" t="n"/>
      <c r="S970" s="297" t="n"/>
      <c r="T970" s="297" t="n"/>
      <c r="U970" s="297" t="n"/>
    </row>
    <row r="971">
      <c r="A971" s="1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97" t="n"/>
      <c r="P971" s="297" t="n"/>
      <c r="Q971" s="297" t="n"/>
      <c r="R971" s="297" t="n"/>
      <c r="S971" s="297" t="n"/>
      <c r="T971" s="297" t="n"/>
      <c r="U971" s="297" t="n"/>
    </row>
    <row r="972">
      <c r="A972" s="1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301" t="n"/>
      <c r="P972" s="301" t="n"/>
      <c r="Q972" s="301" t="n"/>
      <c r="R972" s="301" t="n"/>
      <c r="S972" s="301" t="n"/>
      <c r="T972" s="301" t="n"/>
      <c r="U972" s="301" t="n"/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37" min="1" max="1"/>
    <col width="9.140625" customWidth="1" style="237" min="2" max="4"/>
    <col width="8.7109375" customWidth="1" style="237" min="5" max="19"/>
  </cols>
  <sheetData>
    <row r="1" ht="16.5" customHeight="1" s="237">
      <c r="A1" s="82" t="inlineStr">
        <is>
          <t>Destination</t>
        </is>
      </c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33" customHeight="1" s="237">
      <c r="A2" s="95" t="inlineStr">
        <is>
          <t>18311 W. 10 Mile Rd.
Southfield, MI 48075</t>
        </is>
      </c>
    </row>
    <row r="3" ht="33" customHeight="1" s="237">
      <c r="A3" s="95" t="inlineStr">
        <is>
          <t>29877 Telegraph Rd. 
Southfield, MI 48034</t>
        </is>
      </c>
    </row>
    <row r="4" ht="33" customHeight="1" s="237">
      <c r="A4" s="95" t="inlineStr">
        <is>
          <t>14507 Woodward Ave. 
Highland Park, MI 48203</t>
        </is>
      </c>
    </row>
    <row r="5" ht="33" customHeight="1" s="237">
      <c r="A5" s="95" t="inlineStr">
        <is>
          <t>32270 Telegraph Rd. 
Bingham Farms, MI 48025</t>
        </is>
      </c>
    </row>
    <row r="6" ht="33" customHeight="1" s="237">
      <c r="A6" s="95" t="inlineStr">
        <is>
          <t>20905 Greenfield Rd. 
Southfield, MI 48075</t>
        </is>
      </c>
    </row>
    <row r="7" ht="33" customHeight="1" s="237">
      <c r="A7" s="95" t="inlineStr">
        <is>
          <t>3601 W. 13 Mile Rd. 
Royal Oak, MI 48073</t>
        </is>
      </c>
    </row>
    <row r="8" ht="33" customHeight="1" s="237">
      <c r="A8" s="95" t="inlineStr">
        <is>
          <t>17330 Northland Park Dr.
Southfield, MI 48075</t>
        </is>
      </c>
    </row>
    <row r="9" ht="33" customHeight="1" s="237">
      <c r="A9" s="95" t="inlineStr">
        <is>
          <t>20475 W. 10 Mile Rd. 
Southfield, MI 48075</t>
        </is>
      </c>
    </row>
    <row r="10" ht="33" customHeight="1" s="237">
      <c r="A10" s="95" t="inlineStr">
        <is>
          <t>26300 Evergreen Rd. 
Southfield, MI 48076</t>
        </is>
      </c>
    </row>
    <row r="11" ht="33" customHeight="1" s="237">
      <c r="A11" s="95" t="inlineStr">
        <is>
          <t>22000 Greenfield Rd. 
Oak Park, MI 48237</t>
        </is>
      </c>
    </row>
    <row r="12" ht="33" customHeight="1" s="237">
      <c r="A12" s="95" t="inlineStr">
        <is>
          <t>20270 Middlebelt Rd. 
Livonia, MI 48152</t>
        </is>
      </c>
    </row>
    <row r="13" ht="33" customHeight="1" s="237">
      <c r="A13" s="95" t="inlineStr">
        <is>
          <t>11900 E 12 Mile Rd  
Warren, Mi. 48093</t>
        </is>
      </c>
    </row>
    <row r="14" ht="33" customHeight="1" s="237">
      <c r="A14" s="95" t="inlineStr">
        <is>
          <t>907 S. Main St   
Royal Oak, MI. 48067</t>
        </is>
      </c>
    </row>
    <row r="15" ht="33" customHeight="1" s="237">
      <c r="A15" s="95" t="inlineStr">
        <is>
          <t>13530 Michigan Ave  
Dearborn, Mi. 48126</t>
        </is>
      </c>
    </row>
    <row r="16" ht="33" customHeight="1" s="237">
      <c r="A16" s="95" t="inlineStr">
        <is>
          <t>6001 W Outer Dr  
Detroit, Mi. 48235</t>
        </is>
      </c>
    </row>
    <row r="17" ht="33" customHeight="1" s="237">
      <c r="A17" s="95" t="inlineStr">
        <is>
          <t>27200 Lahser Rd  
Southfield, Mi. 48034</t>
        </is>
      </c>
    </row>
    <row r="18" ht="33" customHeight="1" s="237">
      <c r="A18" s="95" t="inlineStr">
        <is>
          <t>31535 Ford Rd.
Garden City, Mi. 48135</t>
        </is>
      </c>
    </row>
    <row r="19" ht="33" customHeight="1" s="237">
      <c r="A19" s="95" t="inlineStr">
        <is>
          <t>5456 Fifteen Mile Rd.
Sterling Hts, Mi. 48310</t>
        </is>
      </c>
    </row>
    <row r="20" ht="33" customHeight="1" s="237">
      <c r="A20" s="95" t="inlineStr">
        <is>
          <t>821 Milwaukee St. 
Detroit, Mi. 48202</t>
        </is>
      </c>
    </row>
    <row r="21" ht="33" customHeight="1" s="237">
      <c r="A21" s="24" t="inlineStr">
        <is>
          <t>4201 Saint Antoine St
Detroit, Mi. 48201</t>
        </is>
      </c>
    </row>
    <row r="22" ht="33" customHeight="1" s="237">
      <c r="A22" s="95" t="inlineStr">
        <is>
          <t>27501 Woodward Ave. 
Berkley, MI 48072</t>
        </is>
      </c>
    </row>
    <row r="23" ht="33" customHeight="1" s="237">
      <c r="A23" s="95" t="inlineStr">
        <is>
          <t>15510 Livernois Ave, 
Detroit, MI 48238</t>
        </is>
      </c>
    </row>
    <row r="24" ht="33" customHeight="1" s="237">
      <c r="A24" s="95" t="inlineStr">
        <is>
          <t>23832 Southfield Rd, 
Southfield, MI 48075</t>
        </is>
      </c>
    </row>
    <row r="25" ht="33" customHeight="1" s="237">
      <c r="A25" s="95" t="inlineStr">
        <is>
          <t>4845 E 14 Mile Rd,
Sterling Hts., MI 48310</t>
        </is>
      </c>
    </row>
    <row r="26" ht="33" customHeight="1" s="237">
      <c r="A26" s="95" t="inlineStr">
        <is>
          <t>13488 E 11 Mile Rd,
Warren, MI 48089</t>
        </is>
      </c>
    </row>
    <row r="27" ht="33" customHeight="1" s="237">
      <c r="A27" s="95" t="inlineStr">
        <is>
          <t>13488 E 11 Mile Rd,
Warren, MI 48089</t>
        </is>
      </c>
    </row>
    <row r="28" ht="33" customHeight="1" s="237">
      <c r="A28" s="95" t="inlineStr">
        <is>
          <t>26261 Evergreen Rd, 
SouthField, MI 48076</t>
        </is>
      </c>
    </row>
    <row r="29" ht="33" customHeight="1" s="237">
      <c r="A29" s="95" t="inlineStr">
        <is>
          <t>30205 Schoenherr Rd, 
Warren, MI 48088</t>
        </is>
      </c>
    </row>
    <row r="30" ht="33" customHeight="1" s="237">
      <c r="A30" s="95" t="inlineStr">
        <is>
          <t>27301 Schoenherr Rd, 
Warren, MI 48088</t>
        </is>
      </c>
    </row>
    <row r="31" ht="33" customHeight="1" s="237">
      <c r="A31" s="95" t="inlineStr">
        <is>
          <t>17515 W 9 Mile Rd, 
Southfield, Mi. 48075</t>
        </is>
      </c>
    </row>
    <row r="32" ht="33" customHeight="1" s="237">
      <c r="A32" s="95" t="inlineStr">
        <is>
          <t>4160 John R. Rd, 
Detroit, Mi. 48201</t>
        </is>
      </c>
    </row>
    <row r="33" ht="33" customHeight="1" s="237">
      <c r="A33" s="95" t="inlineStr">
        <is>
          <t>31720 Gratiot Ave 
Roseville, Mi. 48066</t>
        </is>
      </c>
    </row>
    <row r="34" ht="33" customHeight="1" s="237">
      <c r="A34" s="95" t="inlineStr">
        <is>
          <t>23077 Greeenfield Rd.
Southfield, Mi. 48075</t>
        </is>
      </c>
    </row>
    <row r="35" ht="33" customHeight="1" s="237">
      <c r="A35" s="95" t="inlineStr">
        <is>
          <t>1041 S. Main St.
Royal Oak, MI.48067</t>
        </is>
      </c>
    </row>
    <row r="36" ht="33" customHeight="1" s="237">
      <c r="A36" s="95" t="inlineStr">
        <is>
          <t>5301 McAuley Dr.
Ypsilaanti, Mi. 48197</t>
        </is>
      </c>
    </row>
    <row r="37" ht="33" customHeight="1" s="237">
      <c r="A37" s="95" t="inlineStr">
        <is>
          <t>25130 Southfield Rd.
Southfield, MI. 48075</t>
        </is>
      </c>
    </row>
    <row r="38" ht="33" customHeight="1" s="237">
      <c r="A38" s="95" t="inlineStr">
        <is>
          <t>6071 W Outer Dr  
Detroit, Mi. 48235</t>
        </is>
      </c>
    </row>
    <row r="39" ht="33" customHeight="1" s="237">
      <c r="A39" s="95" t="inlineStr">
        <is>
          <t>735 John R. Rd. 
Troy, Mi. 48083</t>
        </is>
      </c>
    </row>
    <row r="40" ht="33" customHeight="1" s="237">
      <c r="A40" s="95" t="inlineStr">
        <is>
          <t>350 W Big Beaver
Troy, Mi. 48084</t>
        </is>
      </c>
    </row>
    <row r="41" ht="33" customHeight="1" s="237">
      <c r="A41" s="95" t="inlineStr">
        <is>
          <t>18550 Outer Dr.
Dearborn, MI. 48128</t>
        </is>
      </c>
    </row>
    <row r="42" ht="33" customHeight="1" s="237">
      <c r="A42" s="95" t="inlineStr">
        <is>
          <t>17260 W 10 Mile Rd.
Southfield, Mi. 48075</t>
        </is>
      </c>
    </row>
    <row r="43" ht="33" customHeight="1" s="237">
      <c r="A43" s="95" t="inlineStr">
        <is>
          <t>2799 W. Grand Blvd
Detroit, Mi. 48202</t>
        </is>
      </c>
    </row>
    <row r="44" ht="33" customHeight="1" s="237">
      <c r="A44" s="95" t="inlineStr">
        <is>
          <t>7031 Orchard Lake Rd
W. Bloomfield, Mi. 48322</t>
        </is>
      </c>
    </row>
    <row r="45" ht="33" customHeight="1" s="237">
      <c r="A45" s="95" t="inlineStr">
        <is>
          <t>29275 Northwestern Hwy.
Southfield, Mi. 48034</t>
        </is>
      </c>
    </row>
    <row r="46" ht="33" customHeight="1" s="237">
      <c r="A46" s="95" t="inlineStr">
        <is>
          <t>1041 S. Main St.
Royal Oak, MI. 48067</t>
        </is>
      </c>
    </row>
    <row r="47" ht="33" customHeight="1" s="237">
      <c r="A47" s="95" t="inlineStr">
        <is>
          <t>26400 W 12 Mile Rd.
Southfield, MI. 48034</t>
        </is>
      </c>
    </row>
    <row r="48" ht="33" customHeight="1" s="237">
      <c r="A48" s="95" t="inlineStr">
        <is>
          <t>100 W Big Beaver Rd.
Troy, MI. 48084</t>
        </is>
      </c>
    </row>
    <row r="49" ht="33" customHeight="1" s="237">
      <c r="A49" s="95" t="inlineStr">
        <is>
          <t>18312 Middlebelt Rd.
Livonia, Mi. 48152</t>
        </is>
      </c>
    </row>
    <row r="50" ht="33" customHeight="1" s="237">
      <c r="A50" s="95" t="inlineStr">
        <is>
          <t>5111 Auto Club Dr.
Dearborn, Mi. 48126</t>
        </is>
      </c>
    </row>
    <row r="51" ht="33" customHeight="1" s="237">
      <c r="A51" s="95" t="inlineStr">
        <is>
          <t>27159 Greenfield Rd.,
Southfield, MI 48076</t>
        </is>
      </c>
    </row>
    <row r="52" ht="33" customHeight="1" s="237">
      <c r="A52" s="95" t="inlineStr">
        <is>
          <t>18342 Mack Ave
Gross Pointe Farms, Mi. 48236</t>
        </is>
      </c>
    </row>
    <row r="53" ht="33" customHeight="1" s="237">
      <c r="A53" s="95" t="inlineStr">
        <is>
          <t>34815 Michigan Ave.
Wayne, Mi. 48184</t>
        </is>
      </c>
    </row>
    <row r="54" ht="33" customHeight="1" s="237">
      <c r="A54" s="95" t="inlineStr">
        <is>
          <t>21230 Dequindre Rd.
Warren, Mi. 48091</t>
        </is>
      </c>
    </row>
    <row r="55" ht="33" customHeight="1" s="237">
      <c r="A55" s="95" t="inlineStr">
        <is>
          <t>30521 Schoenherr Rd.
Warren, Mi. 48088</t>
        </is>
      </c>
    </row>
    <row r="56" ht="33" customHeight="1" s="237">
      <c r="A56" s="95" t="inlineStr">
        <is>
          <t>50505 Schoenherr Rd.
Shelby Twp, Mi. 48315</t>
        </is>
      </c>
    </row>
    <row r="57" ht="33" customHeight="1" s="237">
      <c r="A57" s="95" t="inlineStr">
        <is>
          <t>17000 Executive Plaza Dr.
Dearborn, Mi. 48126</t>
        </is>
      </c>
    </row>
    <row r="58" ht="33" customHeight="1" s="237">
      <c r="A58" s="95" t="inlineStr">
        <is>
          <t>24108 Greater Mack Ave
St. Claire Shores, MI. 48080</t>
        </is>
      </c>
    </row>
    <row r="59" ht="33" customHeight="1" s="237">
      <c r="A59" s="95" t="inlineStr">
        <is>
          <t>12169 Joseph Campau Ave
Hamtramck, Mi. 48212</t>
        </is>
      </c>
    </row>
    <row r="60" ht="33" customHeight="1" s="237">
      <c r="A60" s="24" t="inlineStr">
        <is>
          <t>4717 Saint Antoine St. 
Detroit, Mi. 48201</t>
        </is>
      </c>
    </row>
    <row r="61" ht="33" customHeight="1" s="237">
      <c r="A61" s="95" t="inlineStr">
        <is>
          <t>261 Mack Ave 
Detroit, Mi. 48201</t>
        </is>
      </c>
    </row>
    <row r="62" ht="33" customHeight="1" s="237">
      <c r="A62" s="95" t="inlineStr">
        <is>
          <t>14500 W Mcnichols Rd. 
Detroit, Mi. 48235</t>
        </is>
      </c>
    </row>
    <row r="63" ht="33" customHeight="1" s="237">
      <c r="A63" s="95" t="inlineStr">
        <is>
          <t>3990 John R. St.
Detroit, Mi. 48201</t>
        </is>
      </c>
    </row>
    <row r="64" ht="33" customHeight="1" s="237">
      <c r="A64" s="95" t="inlineStr">
        <is>
          <t>39555 Orchard Hills Pl.
Novi, Mi. 48375</t>
        </is>
      </c>
    </row>
    <row r="65" ht="33" customHeight="1" s="237">
      <c r="A65" s="95" t="inlineStr">
        <is>
          <t>1350 Kirts Blvd.
Troy, Mi. 48084</t>
        </is>
      </c>
    </row>
    <row r="66" ht="33" customHeight="1" s="237">
      <c r="A66" s="95" t="inlineStr">
        <is>
          <t>30100 Telegraph Rd.
Franklin , Mi. 48025</t>
        </is>
      </c>
    </row>
    <row r="67" ht="33" customHeight="1" s="237">
      <c r="A67" s="95" t="inlineStr">
        <is>
          <t>43475 Dalcoma Dr.
Clinto Twp, Mi. 48038</t>
        </is>
      </c>
    </row>
    <row r="68" ht="33" customHeight="1" s="237">
      <c r="A68" s="95" t="inlineStr">
        <is>
          <t>5333 McAuley Dr.
Ypsilaanti, Mi. 48197</t>
        </is>
      </c>
    </row>
    <row r="69" ht="33" customHeight="1" s="237">
      <c r="A69" s="95" t="inlineStr">
        <is>
          <t>29444 Northwestern Hwy.
Southfield, Mi. 48034</t>
        </is>
      </c>
    </row>
    <row r="70" ht="33" customHeight="1" s="237">
      <c r="A70" s="95" t="inlineStr">
        <is>
          <t>20675 Mack Ave
Grosse Pointe, Mi. 48236</t>
        </is>
      </c>
    </row>
    <row r="71" ht="33" customHeight="1" s="237">
      <c r="A71" s="95" t="inlineStr">
        <is>
          <t>23711 John R. Rd.
Hazel Park, MI. 48030</t>
        </is>
      </c>
    </row>
    <row r="72" ht="33" customHeight="1" s="237">
      <c r="A72" s="95" t="inlineStr">
        <is>
          <t>12150 Thirty Mile Rd.
Washington, MI. 48095</t>
        </is>
      </c>
    </row>
    <row r="73" ht="33" customHeight="1" s="237">
      <c r="A73" s="95" t="inlineStr">
        <is>
          <t>15565 Northland Dr.
Southfield, Mi. 48075</t>
        </is>
      </c>
    </row>
    <row r="74" ht="33" customHeight="1" s="237">
      <c r="A74" s="95" t="inlineStr">
        <is>
          <t>2050 Chesley Dr.
Sterling Heights, MI 48310</t>
        </is>
      </c>
    </row>
    <row r="75" ht="33" customHeight="1" s="237">
      <c r="A75" s="95" t="inlineStr">
        <is>
          <t>29829 Telegraph Rd.
Southfield, MI 48034</t>
        </is>
      </c>
    </row>
    <row r="76" ht="33" customHeight="1" s="237">
      <c r="A76" s="95" t="inlineStr">
        <is>
          <t>36250 Dequindre Rd.
Sterling Hts, Mi. 48310</t>
        </is>
      </c>
    </row>
    <row r="77" ht="33" customHeight="1" s="237">
      <c r="A77" s="95" t="inlineStr">
        <is>
          <t>28935 Southfield Rd.
Lathrup Village, MI. 48076</t>
        </is>
      </c>
    </row>
    <row r="78" ht="33" customHeight="1" s="237">
      <c r="A78" s="95" t="inlineStr">
        <is>
          <t>15370 Levan Rd.
Livonia, MI. 48154</t>
        </is>
      </c>
    </row>
    <row r="79" ht="33" customHeight="1" s="237">
      <c r="A79" s="95" t="inlineStr">
        <is>
          <t>25900 Greenfield Rd.
Oak Park, Mi. 48237</t>
        </is>
      </c>
    </row>
    <row r="80" ht="33" customHeight="1" s="237">
      <c r="A80" s="95" t="inlineStr">
        <is>
          <t>30055 Northwestern Hwy
Farmington, Hills, MI. 48334</t>
        </is>
      </c>
    </row>
    <row r="81" ht="33" customHeight="1" s="237">
      <c r="A81" s="95" t="inlineStr">
        <is>
          <t>1035 Inkster Rd.
Garden City, Mi. 48135</t>
        </is>
      </c>
    </row>
    <row r="82" ht="33" customHeight="1" s="237">
      <c r="A82" s="95" t="inlineStr">
        <is>
          <t>43475 Dalcoma Dr.
Clinton Twp, Mi. 48038</t>
        </is>
      </c>
    </row>
    <row r="83" ht="33" customHeight="1" s="237">
      <c r="A83" s="95" t="inlineStr">
        <is>
          <t>2221 Livernois Rd.
Troy, MI. 48083</t>
        </is>
      </c>
    </row>
    <row r="84" ht="33" customHeight="1" s="237">
      <c r="A84" s="95" t="inlineStr">
        <is>
          <t>5210 Highland Rd.
Waterford, Mi. 48327</t>
        </is>
      </c>
    </row>
    <row r="85" ht="33" customHeight="1" s="237">
      <c r="A85" s="95" t="inlineStr">
        <is>
          <t>311 Mack Ave
Detroit, Mi. 48201</t>
        </is>
      </c>
    </row>
    <row r="86" ht="33" customHeight="1" s="237">
      <c r="A86" s="95" t="inlineStr">
        <is>
          <t>41941 Garfield Rd.
Clinton Twp, Mi. 48038</t>
        </is>
      </c>
    </row>
    <row r="87" ht="33" customHeight="1" s="237">
      <c r="A87" s="95" t="inlineStr">
        <is>
          <t>42450 Hayes Rd
Clinton Twp, MI. 48038</t>
        </is>
      </c>
    </row>
    <row r="88" ht="33" customHeight="1" s="237">
      <c r="A88" s="95" t="inlineStr">
        <is>
          <t>10551 Allen Rd.
Allen Park, MI. 48101</t>
        </is>
      </c>
    </row>
    <row r="89" ht="33" customHeight="1" s="237">
      <c r="A89" s="95" t="inlineStr">
        <is>
          <t>2930 E. Jefferson 
Detroit, MI. 48201</t>
        </is>
      </c>
    </row>
    <row r="90" ht="33" customHeight="1" s="237">
      <c r="A90" s="95" t="inlineStr">
        <is>
          <t>29355 Northwestern Hwy
Southfield, MI. 48034</t>
        </is>
      </c>
    </row>
    <row r="91" ht="33" customHeight="1" s="237">
      <c r="A91" s="95" t="inlineStr">
        <is>
          <t>15105 Northline Rd.
Southgate, Mi. 48195</t>
        </is>
      </c>
    </row>
    <row r="92" ht="33" customHeight="1" s="237">
      <c r="A92" s="95" t="inlineStr">
        <is>
          <t>2221 Livernois Rd.
Troy, MI. 48083</t>
        </is>
      </c>
    </row>
    <row r="93" ht="33" customHeight="1" s="237">
      <c r="A93" s="95" t="inlineStr">
        <is>
          <t>1041 S. Main St.
Royal Oak, Mi. 48067</t>
        </is>
      </c>
    </row>
    <row r="94" ht="33" customHeight="1" s="237">
      <c r="A94" s="95" t="inlineStr">
        <is>
          <t>3535 E 13 Mile Rd.
Royal Oak, Mi. 48073</t>
        </is>
      </c>
    </row>
    <row r="95" ht="33" customHeight="1" s="237">
      <c r="A95" s="95" t="inlineStr">
        <is>
          <t>32255 Northwestern Hwy
Farmigton Hills, Mi. 48334</t>
        </is>
      </c>
    </row>
    <row r="96" ht="33" customHeight="1" s="237">
      <c r="A96" s="95" t="inlineStr">
        <is>
          <t>22819 Michigan Ave
Dearborn, Mi. 48124</t>
        </is>
      </c>
    </row>
    <row r="97" ht="33" customHeight="1" s="237">
      <c r="A97" s="95" t="inlineStr">
        <is>
          <t>3297 Orchard Lake Rd.
Keego Harbor, MI. 48320</t>
        </is>
      </c>
    </row>
    <row r="98" ht="33" customHeight="1" s="237">
      <c r="A98" s="95" t="inlineStr">
        <is>
          <t>2550 S. Telegraph Rd.
Bloomfield Hills, Mi. 48302</t>
        </is>
      </c>
    </row>
    <row r="99" ht="33" customHeight="1" s="237">
      <c r="A99" s="95" t="inlineStr">
        <is>
          <t>10551 Allen Rd.
Allen Park, MI. 48101</t>
        </is>
      </c>
    </row>
    <row r="100" ht="33" customHeight="1" s="237">
      <c r="A100" s="95" t="inlineStr">
        <is>
          <t>2333 Biddle Ave
Wyandotte, Mi. 48192</t>
        </is>
      </c>
    </row>
    <row r="101" ht="33" customHeight="1" s="237">
      <c r="A101" s="95" t="inlineStr">
        <is>
          <t>43050 Ford Rd.
Canton, MI. 48187</t>
        </is>
      </c>
    </row>
    <row r="102" ht="33" customHeight="1" s="237">
      <c r="A102" s="95" t="inlineStr">
        <is>
          <t>2070 Biddle Ave
Wyandotte, Mi. 48192</t>
        </is>
      </c>
    </row>
    <row r="103" ht="33" customHeight="1" s="237">
      <c r="A103" s="95" t="inlineStr">
        <is>
          <t>4660 Hagadorn Rd.
Lansing, Mi. 48223</t>
        </is>
      </c>
    </row>
    <row r="104" ht="33" customHeight="1" s="237">
      <c r="A104" s="95" t="inlineStr">
        <is>
          <t>1000 Joanne Ct.
Bloomfield, Mi. 48302</t>
        </is>
      </c>
    </row>
    <row r="105" ht="33" customHeight="1" s="237">
      <c r="A105" s="95" t="inlineStr">
        <is>
          <t>31000 Telegraph Rd.
Bingham Farms, Mi. 48205</t>
        </is>
      </c>
    </row>
    <row r="106" ht="33" customHeight="1" s="237">
      <c r="A106" s="95" t="inlineStr">
        <is>
          <t>26631 Southfield Rd. 
Southfield, MI. 48076</t>
        </is>
      </c>
    </row>
    <row r="107" ht="33" customHeight="1" s="237">
      <c r="A107" s="95" t="inlineStr">
        <is>
          <t>2770 Biddle Ave
Wyandotte, Mi. 48192</t>
        </is>
      </c>
    </row>
    <row r="108" ht="33" customHeight="1" s="237">
      <c r="A108" s="95" t="inlineStr">
        <is>
          <t>6079 W Maple Rd
West Bloomfield Twp, Mi. 48322</t>
        </is>
      </c>
    </row>
    <row r="109" ht="33" customHeight="1" s="237">
      <c r="A109" s="95" t="inlineStr">
        <is>
          <t>32770 Franklin Rd.
Franklin, MI. 48025</t>
        </is>
      </c>
    </row>
    <row r="110" ht="33" customHeight="1" s="237">
      <c r="A110" s="95" t="inlineStr">
        <is>
          <t>28875 Plymouth Rd.
Livonia, Mi. 48150</t>
        </is>
      </c>
    </row>
    <row r="111" ht="33" customHeight="1" s="237">
      <c r="A111" s="95" t="inlineStr">
        <is>
          <t>26400 Lahser Rd.
Southfield, MI. 48033</t>
        </is>
      </c>
    </row>
    <row r="112" ht="33" customHeight="1" s="237">
      <c r="A112" s="95" t="inlineStr">
        <is>
          <t>17625 Joy Rd.
Detroit, MI. 48228</t>
        </is>
      </c>
    </row>
    <row r="113" ht="33" customHeight="1" s="237">
      <c r="A113" s="95" t="inlineStr">
        <is>
          <t>24420 Ford Rd.
Dearborn Hts. Mi. 48127</t>
        </is>
      </c>
    </row>
    <row r="114" ht="33" customHeight="1" s="237">
      <c r="A114" s="95" t="inlineStr">
        <is>
          <t>624 E. 9 Miles Rd.
Hazel Park, MI. 48030</t>
        </is>
      </c>
    </row>
    <row r="115" ht="33" customHeight="1" s="237">
      <c r="A115" s="95" t="inlineStr">
        <is>
          <t>14855 Galleon Court
Plymouth, Mi. 48170</t>
        </is>
      </c>
    </row>
    <row r="116" ht="33" customHeight="1" s="237">
      <c r="A116" s="95" t="inlineStr">
        <is>
          <t>50154 Schoenherr Rd.
Shelby Twp, MI. 48315</t>
        </is>
      </c>
    </row>
    <row r="117" ht="33" customHeight="1" s="237">
      <c r="A117" s="95" t="inlineStr">
        <is>
          <t>1505 W. Holmes Rd.
Lansing, Mi. 48910</t>
        </is>
      </c>
    </row>
    <row r="118" ht="33" customHeight="1" s="237">
      <c r="A118" s="95" t="inlineStr">
        <is>
          <t>3204 Rochester  Rd.
Royal Oak, Mi. 48073</t>
        </is>
      </c>
    </row>
    <row r="119" ht="33" customHeight="1" s="237">
      <c r="A119" s="95" t="inlineStr">
        <is>
          <t>2243 E. Twelve Mile Rd.
Warren/ Mi. 48092</t>
        </is>
      </c>
    </row>
    <row r="120" ht="33" customHeight="1" s="237">
      <c r="A120" s="95" t="inlineStr">
        <is>
          <t>14855 Galleon Dr.
Plymouth, Mi. 48170</t>
        </is>
      </c>
    </row>
    <row r="121" ht="33" customHeight="1" s="237">
      <c r="A121" s="95" t="inlineStr">
        <is>
          <t>670 Chene St.
Detroit, Mi. 48207</t>
        </is>
      </c>
    </row>
    <row r="122" ht="33" customHeight="1" s="237">
      <c r="A122" s="95" t="inlineStr">
        <is>
          <t>43475 Dalcoma Dr.
Clinton Twp., Mi. 48038</t>
        </is>
      </c>
    </row>
    <row r="123" ht="33" customHeight="1" s="237">
      <c r="A123" s="95" t="inlineStr">
        <is>
          <t>5210 Highland Rd.
Waterford, Mi. 48327</t>
        </is>
      </c>
    </row>
    <row r="124" ht="30.75" customHeight="1" s="237">
      <c r="A124" s="166" t="inlineStr">
        <is>
          <t>44245 Ford Rd.
Canton, Mi. 48187</t>
        </is>
      </c>
    </row>
    <row r="125" ht="33.75" customHeight="1" s="237">
      <c r="A125" s="166" t="inlineStr">
        <is>
          <t>25500 Meadowbrook Rd.
Novi, MI. 48375</t>
        </is>
      </c>
    </row>
    <row r="126" ht="15.75" customHeight="1" s="237"/>
    <row r="127" ht="15.75" customHeight="1" s="237"/>
    <row r="128" ht="15.75" customHeight="1" s="237"/>
    <row r="129" ht="15.75" customHeight="1" s="237"/>
    <row r="130" ht="15.75" customHeight="1" s="237"/>
    <row r="131" ht="15.75" customHeight="1" s="237"/>
    <row r="132" ht="15.75" customHeight="1" s="237"/>
    <row r="133" ht="15.75" customHeight="1" s="237"/>
    <row r="134" ht="15.75" customHeight="1" s="237"/>
    <row r="135" ht="15.75" customHeight="1" s="237"/>
    <row r="136" ht="15.75" customHeight="1" s="237"/>
    <row r="137" ht="15.75" customHeight="1" s="237"/>
    <row r="138" ht="15.75" customHeight="1" s="237"/>
    <row r="139" ht="15.75" customHeight="1" s="237"/>
    <row r="140" ht="15.75" customHeight="1" s="237"/>
    <row r="141" ht="15.75" customHeight="1" s="237"/>
    <row r="142" ht="15.75" customHeight="1" s="237"/>
    <row r="143" ht="15.75" customHeight="1" s="237"/>
    <row r="144" ht="15.75" customHeight="1" s="237"/>
    <row r="145" ht="15.75" customHeight="1" s="237"/>
    <row r="146" ht="15.75" customHeight="1" s="237"/>
    <row r="147" ht="15.75" customHeight="1" s="237"/>
    <row r="148" ht="15.75" customHeight="1" s="237"/>
    <row r="149" ht="15.75" customHeight="1" s="237"/>
    <row r="150" ht="15.75" customHeight="1" s="237"/>
    <row r="151" ht="15.75" customHeight="1" s="237"/>
    <row r="152" ht="15.75" customHeight="1" s="237"/>
    <row r="153" ht="15.75" customHeight="1" s="237"/>
    <row r="154" ht="15.75" customHeight="1" s="237"/>
    <row r="155" ht="15.75" customHeight="1" s="237"/>
    <row r="156" ht="15.75" customHeight="1" s="237"/>
    <row r="157" ht="15.75" customHeight="1" s="237"/>
    <row r="158" ht="15.75" customHeight="1" s="237"/>
    <row r="159" ht="15.75" customHeight="1" s="237"/>
    <row r="160" ht="15.75" customHeight="1" s="237"/>
    <row r="161" ht="15.75" customHeight="1" s="237"/>
    <row r="162" ht="15.75" customHeight="1" s="237"/>
    <row r="163" ht="15.75" customHeight="1" s="237"/>
    <row r="164" ht="15.75" customHeight="1" s="237"/>
    <row r="165" ht="15.75" customHeight="1" s="237"/>
    <row r="166" ht="15.75" customHeight="1" s="237"/>
    <row r="167" ht="15.75" customHeight="1" s="237"/>
    <row r="168" ht="15.75" customHeight="1" s="237"/>
    <row r="169" ht="15.75" customHeight="1" s="237"/>
    <row r="170" ht="15.75" customHeight="1" s="237"/>
    <row r="171" ht="15.75" customHeight="1" s="237"/>
    <row r="172" ht="15.75" customHeight="1" s="237"/>
    <row r="173" ht="15.75" customHeight="1" s="237"/>
    <row r="174" ht="15.75" customHeight="1" s="237"/>
    <row r="175" ht="15.75" customHeight="1" s="237"/>
    <row r="176" ht="15.75" customHeight="1" s="237"/>
    <row r="177" ht="15.75" customHeight="1" s="237"/>
    <row r="178" ht="15.75" customHeight="1" s="237"/>
    <row r="179" ht="15.75" customHeight="1" s="237"/>
    <row r="180" ht="15.75" customHeight="1" s="237"/>
    <row r="181" ht="15.75" customHeight="1" s="237"/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</sheetData>
  <conditionalFormatting sqref="A21">
    <cfRule type="expression" priority="1" dxfId="17">
      <formula>$U21="Billed"</formula>
    </cfRule>
  </conditionalFormatting>
  <conditionalFormatting sqref="A60">
    <cfRule type="expression" priority="2" dxfId="17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37" min="1" max="1"/>
    <col width="37.5703125" bestFit="1" customWidth="1" style="237" min="2" max="2"/>
    <col width="19.42578125" customWidth="1" style="237" min="3" max="3"/>
    <col width="15.7109375" customWidth="1" style="237" min="4" max="5"/>
    <col width="17.5703125" customWidth="1" style="165" min="6" max="6"/>
    <col width="26.85546875" customWidth="1" style="237" min="7" max="7"/>
    <col width="8.7109375" customWidth="1" style="237" min="8" max="24"/>
  </cols>
  <sheetData>
    <row r="1" ht="16.5" customHeight="1" s="237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16.5" customHeight="1" s="237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161" t="n">
        <v>8883214622</v>
      </c>
      <c r="G2" s="280" t="inlineStr">
        <is>
          <t>N/A</t>
        </is>
      </c>
      <c r="H2" s="6" t="n"/>
      <c r="I2" s="6" t="n"/>
      <c r="J2" s="6" t="n"/>
      <c r="K2" s="6" t="n"/>
      <c r="L2" s="6" t="n"/>
      <c r="M2" s="6" t="n"/>
      <c r="N2" s="6" t="n"/>
      <c r="O2" s="6" t="n"/>
      <c r="P2" s="6" t="n"/>
      <c r="Q2" s="6" t="n"/>
      <c r="R2" s="6" t="n"/>
      <c r="S2" s="6" t="n"/>
      <c r="T2" s="6" t="n"/>
      <c r="U2" s="6" t="n"/>
      <c r="V2" s="6" t="n"/>
      <c r="W2" s="6" t="n"/>
      <c r="X2" s="6" t="n"/>
    </row>
    <row r="3" ht="16.5" customHeight="1" s="237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162" t="n">
        <v>6083737383</v>
      </c>
      <c r="G3" s="280" t="n">
        <v>8662800402</v>
      </c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  <c r="S3" s="6" t="n"/>
      <c r="T3" s="6" t="n"/>
      <c r="U3" s="6" t="n"/>
      <c r="V3" s="6" t="n"/>
      <c r="W3" s="6" t="n"/>
      <c r="X3" s="6" t="n"/>
    </row>
    <row r="4" ht="16.5" customHeight="1" s="237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162" t="n"/>
      <c r="G4" s="280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  <c r="S4" s="6" t="n"/>
      <c r="T4" s="6" t="n"/>
      <c r="U4" s="6" t="n"/>
      <c r="V4" s="6" t="n"/>
      <c r="W4" s="6" t="n"/>
      <c r="X4" s="6" t="n"/>
    </row>
    <row r="5" ht="16.5" customHeight="1" s="237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162" t="n">
        <v>8888751531</v>
      </c>
      <c r="G5" s="280" t="inlineStr">
        <is>
          <t>N/A</t>
        </is>
      </c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  <c r="S5" s="6" t="n"/>
      <c r="T5" s="6" t="n"/>
      <c r="U5" s="6" t="n"/>
      <c r="V5" s="6" t="n"/>
      <c r="W5" s="6" t="n"/>
      <c r="X5" s="6" t="n"/>
    </row>
    <row r="6" ht="16.5" customHeight="1" s="237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162" t="n">
        <v>9043638098</v>
      </c>
      <c r="G6" s="280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</row>
    <row r="7" ht="16.5" customHeight="1" s="237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162" t="n">
        <v>4805792476</v>
      </c>
      <c r="G7" s="280" t="inlineStr">
        <is>
          <t>N/A</t>
        </is>
      </c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</row>
    <row r="8" ht="16.5" customHeight="1" s="237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162" t="n">
        <v>8007367026</v>
      </c>
      <c r="G8" s="280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  <c r="S8" s="6" t="n"/>
      <c r="T8" s="6" t="n"/>
      <c r="U8" s="6" t="n"/>
      <c r="V8" s="6" t="n"/>
      <c r="W8" s="6" t="n"/>
      <c r="X8" s="6" t="n"/>
    </row>
    <row r="9" ht="16.5" customHeight="1" s="237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161" t="n">
        <v>8884810545</v>
      </c>
      <c r="G9" s="280" t="n">
        <v>8666655009</v>
      </c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  <c r="S9" s="6" t="n"/>
      <c r="T9" s="6" t="n"/>
      <c r="U9" s="6" t="n"/>
      <c r="V9" s="6" t="n"/>
      <c r="W9" s="6" t="n"/>
      <c r="X9" s="6" t="n"/>
    </row>
    <row r="10" ht="16.5" customHeight="1" s="237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162" t="n">
        <v>8569102501</v>
      </c>
      <c r="G10" s="280" t="inlineStr">
        <is>
          <t>N/A</t>
        </is>
      </c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</row>
    <row r="11" ht="16.5" customHeight="1" s="237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162" t="n"/>
      <c r="G11" s="280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</row>
    <row r="12" ht="16.5" customHeight="1" s="237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162" t="n">
        <v>6082996680</v>
      </c>
      <c r="G12" s="280" t="n">
        <v>5173236724</v>
      </c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</row>
    <row r="13" ht="16.5" customHeight="1" s="237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162" t="n">
        <v>8004357764</v>
      </c>
      <c r="G13" s="280" t="inlineStr">
        <is>
          <t>N/A</t>
        </is>
      </c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</row>
    <row r="14" ht="16.5" customHeight="1" s="237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162" t="n">
        <v>4182389189</v>
      </c>
      <c r="G14" s="280" t="inlineStr">
        <is>
          <t>N/A</t>
        </is>
      </c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</row>
    <row r="15" ht="16.5" customHeight="1" s="237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162" t="n">
        <v>8883218020</v>
      </c>
      <c r="G15" s="280" t="inlineStr">
        <is>
          <t>N/A</t>
        </is>
      </c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</row>
    <row r="16" ht="16.5" customHeight="1" s="237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162" t="inlineStr">
        <is>
          <t>(508)-326-5660</t>
        </is>
      </c>
      <c r="G16" s="280" t="inlineStr">
        <is>
          <t>N/A</t>
        </is>
      </c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</row>
    <row r="17" ht="16.5" customHeight="1" s="237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162" t="n">
        <v>8882688840</v>
      </c>
      <c r="G17" s="280" t="inlineStr">
        <is>
          <t>N/A</t>
        </is>
      </c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</row>
    <row r="18" ht="16.5" customHeight="1" s="237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162" t="n">
        <v>2483057055</v>
      </c>
      <c r="G18" s="280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</row>
    <row r="19" ht="16.5" customHeight="1" s="237">
      <c r="A19" s="98" t="inlineStr">
        <is>
          <t>MACP</t>
        </is>
      </c>
      <c r="B19" s="98" t="n"/>
      <c r="C19" s="96" t="n"/>
      <c r="D19" s="99" t="n"/>
      <c r="E19" s="99" t="n"/>
      <c r="F19" s="162" t="n"/>
      <c r="G19" s="280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</row>
    <row r="20" ht="16.5" customHeight="1" s="237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162" t="inlineStr">
        <is>
          <t>N/A</t>
        </is>
      </c>
      <c r="G20" s="280" t="inlineStr">
        <is>
          <t>N/A</t>
        </is>
      </c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</row>
    <row r="21" ht="16.5" customHeight="1" s="237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162" t="n">
        <v>8662589369</v>
      </c>
      <c r="G21" s="280" t="inlineStr">
        <is>
          <t>N/A</t>
        </is>
      </c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</row>
    <row r="22" ht="16.5" customHeight="1" s="237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162" t="n">
        <v>8772137258</v>
      </c>
      <c r="G22" s="280" t="n">
        <v>8886226658</v>
      </c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</row>
    <row r="23" ht="16.5" customHeight="1" s="237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162" t="n">
        <v>8009217683</v>
      </c>
      <c r="G23" s="280" t="inlineStr">
        <is>
          <t>N/A</t>
        </is>
      </c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</row>
    <row r="24" ht="16.5" customHeight="1" s="237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162" t="n">
        <v>8442181140</v>
      </c>
      <c r="G24" s="280" t="inlineStr">
        <is>
          <t>N/A</t>
        </is>
      </c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</row>
    <row r="25" ht="16.5" customHeight="1" s="237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162" t="n">
        <v>8668099795</v>
      </c>
      <c r="G25" s="280" t="inlineStr">
        <is>
          <t>N/A</t>
        </is>
      </c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</row>
    <row r="26" ht="16.5" customHeight="1" s="237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162" t="n">
        <v>8775908188</v>
      </c>
      <c r="G26" s="280" t="n">
        <v>8004213535</v>
      </c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</row>
    <row r="27" ht="16.5" customHeight="1" s="237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162" t="inlineStr">
        <is>
          <t>N/A</t>
        </is>
      </c>
      <c r="G27" s="280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</row>
    <row r="28" ht="16.5" customHeight="1" s="237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162" t="n"/>
      <c r="G28" s="280" t="inlineStr">
        <is>
          <t>N/A</t>
        </is>
      </c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</row>
    <row r="29" ht="15" customHeight="1" s="237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161" t="n">
        <v>8882721255</v>
      </c>
      <c r="G29" s="280" t="n">
        <v>8666733443</v>
      </c>
    </row>
    <row r="30" ht="16.5" customHeight="1" s="237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163" t="n">
        <v>8665208766</v>
      </c>
      <c r="G30" s="286" t="n">
        <v>8663703258</v>
      </c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</row>
    <row r="31" ht="16.5" customHeight="1" s="237">
      <c r="A31" s="6" t="n"/>
      <c r="B31" s="6" t="n"/>
      <c r="C31" s="12" t="n"/>
      <c r="D31" s="10" t="n"/>
      <c r="E31" s="10" t="n"/>
      <c r="F31" s="164" t="n"/>
      <c r="G31" s="288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</row>
    <row r="33" ht="16.5" customHeight="1" s="237">
      <c r="A33" s="6" t="n"/>
      <c r="B33" s="6" t="n"/>
      <c r="C33" s="12" t="n"/>
      <c r="D33" s="10" t="n"/>
      <c r="E33" s="10" t="n"/>
      <c r="F33" s="164" t="n"/>
      <c r="G33" s="288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</row>
    <row r="34" ht="16.5" customHeight="1" s="237">
      <c r="A34" s="6" t="n"/>
      <c r="B34" s="6" t="n"/>
      <c r="C34" s="12" t="n"/>
      <c r="D34" s="10" t="n"/>
      <c r="E34" s="10" t="n"/>
      <c r="F34" s="164" t="n"/>
      <c r="G34" s="288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</row>
    <row r="35" ht="16.5" customHeight="1" s="237">
      <c r="A35" s="6" t="n"/>
      <c r="B35" s="6" t="n"/>
      <c r="C35" s="12" t="n"/>
      <c r="D35" s="10" t="n"/>
      <c r="E35" s="10" t="n"/>
      <c r="F35" s="164" t="n"/>
      <c r="G35" s="288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</row>
    <row r="36" ht="16.5" customHeight="1" s="237">
      <c r="A36" s="6" t="n"/>
      <c r="B36" s="6" t="n"/>
      <c r="C36" s="12" t="n"/>
      <c r="D36" s="10" t="n"/>
      <c r="E36" s="10" t="n"/>
      <c r="F36" s="164" t="n"/>
      <c r="G36" s="288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</row>
    <row r="37" ht="16.5" customHeight="1" s="237">
      <c r="A37" s="6" t="n"/>
      <c r="B37" s="6" t="n"/>
      <c r="C37" s="12" t="n"/>
      <c r="D37" s="10" t="n"/>
      <c r="E37" s="10" t="n"/>
      <c r="F37" s="164" t="n"/>
      <c r="G37" s="288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</row>
    <row r="38" ht="16.5" customHeight="1" s="237">
      <c r="A38" s="6" t="n"/>
      <c r="B38" s="6" t="n"/>
      <c r="C38" s="12" t="n"/>
      <c r="D38" s="10" t="n"/>
      <c r="E38" s="10" t="n"/>
      <c r="F38" s="164" t="n"/>
      <c r="G38" s="288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</row>
    <row r="39" ht="16.5" customHeight="1" s="237">
      <c r="A39" s="6" t="n"/>
      <c r="B39" s="6" t="n"/>
      <c r="C39" s="12" t="n"/>
      <c r="D39" s="10" t="n"/>
      <c r="E39" s="10" t="n"/>
      <c r="F39" s="164" t="n"/>
      <c r="G39" s="288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  <c r="Q39" s="6" t="n"/>
      <c r="R39" s="6" t="n"/>
      <c r="S39" s="6" t="n"/>
      <c r="T39" s="6" t="n"/>
      <c r="U39" s="6" t="n"/>
      <c r="V39" s="6" t="n"/>
      <c r="W39" s="6" t="n"/>
      <c r="X39" s="6" t="n"/>
    </row>
    <row r="40" ht="16.5" customHeight="1" s="237">
      <c r="A40" s="6" t="n"/>
      <c r="B40" s="6" t="n"/>
      <c r="C40" s="12" t="n"/>
      <c r="D40" s="10" t="n"/>
      <c r="E40" s="10" t="n"/>
      <c r="F40" s="164" t="n"/>
      <c r="G40" s="288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  <c r="Q40" s="6" t="n"/>
      <c r="R40" s="6" t="n"/>
      <c r="S40" s="6" t="n"/>
      <c r="T40" s="6" t="n"/>
      <c r="U40" s="6" t="n"/>
      <c r="V40" s="6" t="n"/>
      <c r="W40" s="6" t="n"/>
      <c r="X40" s="6" t="n"/>
    </row>
    <row r="41" ht="16.5" customHeight="1" s="237">
      <c r="A41" s="6" t="n"/>
      <c r="B41" s="6" t="n"/>
      <c r="C41" s="12" t="n"/>
      <c r="D41" s="10" t="n"/>
      <c r="E41" s="10" t="n"/>
      <c r="F41" s="164" t="n"/>
      <c r="G41" s="288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  <c r="Q41" s="6" t="n"/>
      <c r="R41" s="6" t="n"/>
      <c r="S41" s="6" t="n"/>
      <c r="T41" s="6" t="n"/>
      <c r="U41" s="6" t="n"/>
      <c r="V41" s="6" t="n"/>
      <c r="W41" s="6" t="n"/>
      <c r="X41" s="6" t="n"/>
    </row>
    <row r="42" ht="16.5" customHeight="1" s="237">
      <c r="A42" s="6" t="n"/>
      <c r="B42" s="6" t="n"/>
      <c r="C42" s="12" t="n"/>
      <c r="D42" s="10" t="n"/>
      <c r="E42" s="10" t="n"/>
      <c r="F42" s="164" t="n"/>
      <c r="G42" s="288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  <c r="Q42" s="6" t="n"/>
      <c r="R42" s="6" t="n"/>
      <c r="S42" s="6" t="n"/>
      <c r="T42" s="6" t="n"/>
      <c r="U42" s="6" t="n"/>
      <c r="V42" s="6" t="n"/>
      <c r="W42" s="6" t="n"/>
      <c r="X42" s="6" t="n"/>
    </row>
    <row r="43" ht="16.5" customHeight="1" s="237">
      <c r="A43" s="6" t="n"/>
      <c r="B43" s="6" t="n"/>
      <c r="C43" s="12" t="n"/>
      <c r="D43" s="10" t="n"/>
      <c r="E43" s="10" t="n"/>
      <c r="F43" s="164" t="n"/>
      <c r="G43" s="288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</row>
    <row r="44" ht="16.5" customHeight="1" s="237">
      <c r="A44" s="6" t="n"/>
      <c r="B44" s="6" t="n"/>
      <c r="C44" s="12" t="n"/>
      <c r="D44" s="10" t="n"/>
      <c r="E44" s="10" t="n"/>
      <c r="F44" s="164" t="n"/>
      <c r="G44" s="288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</row>
    <row r="45" ht="16.5" customHeight="1" s="237">
      <c r="A45" s="6" t="n"/>
      <c r="B45" s="6" t="n"/>
      <c r="C45" s="12" t="n"/>
      <c r="D45" s="10" t="n"/>
      <c r="E45" s="10" t="n"/>
      <c r="F45" s="164" t="n"/>
      <c r="G45" s="288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</row>
    <row r="46" ht="16.5" customHeight="1" s="237">
      <c r="A46" s="6" t="n"/>
      <c r="B46" s="6" t="n"/>
      <c r="C46" s="12" t="n"/>
      <c r="D46" s="10" t="n"/>
      <c r="E46" s="10" t="n"/>
      <c r="F46" s="164" t="n"/>
      <c r="G46" s="288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</row>
    <row r="47" ht="16.5" customHeight="1" s="237">
      <c r="A47" s="6" t="n"/>
      <c r="B47" s="6" t="n"/>
      <c r="C47" s="12" t="n"/>
      <c r="D47" s="10" t="n"/>
      <c r="E47" s="10" t="n"/>
      <c r="F47" s="164" t="n"/>
      <c r="G47" s="288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</row>
    <row r="48" ht="16.5" customHeight="1" s="237">
      <c r="A48" s="6" t="n"/>
      <c r="B48" s="6" t="n"/>
      <c r="C48" s="12" t="n"/>
      <c r="D48" s="10" t="n"/>
      <c r="E48" s="10" t="n"/>
      <c r="F48" s="164" t="n"/>
      <c r="G48" s="288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</row>
    <row r="49" ht="16.5" customHeight="1" s="237">
      <c r="A49" s="6" t="n"/>
      <c r="B49" s="6" t="n"/>
      <c r="C49" s="12" t="n"/>
      <c r="D49" s="10" t="n"/>
      <c r="E49" s="10" t="n"/>
      <c r="F49" s="164" t="n"/>
      <c r="G49" s="288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</row>
    <row r="50" ht="16.5" customHeight="1" s="237">
      <c r="A50" s="6" t="n"/>
      <c r="B50" s="6" t="n"/>
      <c r="C50" s="12" t="n"/>
      <c r="D50" s="10" t="n"/>
      <c r="E50" s="10" t="n"/>
      <c r="F50" s="164" t="n"/>
      <c r="G50" s="288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</row>
    <row r="51" ht="16.5" customHeight="1" s="237">
      <c r="A51" s="6" t="n"/>
      <c r="B51" s="6" t="n"/>
      <c r="C51" s="12" t="n"/>
      <c r="D51" s="10" t="n"/>
      <c r="E51" s="10" t="n"/>
      <c r="F51" s="164" t="n"/>
      <c r="G51" s="288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</row>
    <row r="52" ht="16.5" customHeight="1" s="237">
      <c r="A52" s="6" t="n"/>
      <c r="B52" s="6" t="n"/>
      <c r="C52" s="12" t="n"/>
      <c r="D52" s="10" t="n"/>
      <c r="E52" s="10" t="n"/>
      <c r="F52" s="164" t="n"/>
      <c r="G52" s="288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</row>
    <row r="53" ht="16.5" customHeight="1" s="237">
      <c r="A53" s="6" t="n"/>
      <c r="B53" s="6" t="n"/>
      <c r="C53" s="12" t="n"/>
      <c r="D53" s="10" t="n"/>
      <c r="E53" s="10" t="n"/>
      <c r="F53" s="164" t="n"/>
      <c r="G53" s="288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</row>
    <row r="54" ht="16.5" customHeight="1" s="237">
      <c r="A54" s="6" t="n"/>
      <c r="B54" s="6" t="n"/>
      <c r="C54" s="12" t="n"/>
      <c r="D54" s="10" t="n"/>
      <c r="E54" s="10" t="n"/>
      <c r="F54" s="164" t="n"/>
      <c r="G54" s="288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</row>
    <row r="55" ht="16.5" customHeight="1" s="237">
      <c r="A55" s="6" t="n"/>
      <c r="B55" s="6" t="n"/>
      <c r="C55" s="12" t="n"/>
      <c r="D55" s="10" t="n"/>
      <c r="E55" s="10" t="n"/>
      <c r="F55" s="164" t="n"/>
      <c r="G55" s="288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</row>
    <row r="56" ht="16.5" customHeight="1" s="237">
      <c r="A56" s="6" t="n"/>
      <c r="B56" s="6" t="n"/>
      <c r="C56" s="12" t="n"/>
      <c r="D56" s="10" t="n"/>
      <c r="E56" s="10" t="n"/>
      <c r="F56" s="164" t="n"/>
      <c r="G56" s="288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</row>
    <row r="57" ht="16.5" customHeight="1" s="237">
      <c r="A57" s="6" t="n"/>
      <c r="B57" s="6" t="n"/>
      <c r="C57" s="12" t="n"/>
      <c r="D57" s="10" t="n"/>
      <c r="E57" s="10" t="n"/>
      <c r="F57" s="164" t="n"/>
      <c r="G57" s="288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</row>
    <row r="58" ht="16.5" customHeight="1" s="237">
      <c r="A58" s="6" t="n"/>
      <c r="B58" s="6" t="n"/>
      <c r="C58" s="12" t="n"/>
      <c r="D58" s="10" t="n"/>
      <c r="E58" s="10" t="n"/>
      <c r="F58" s="164" t="n"/>
      <c r="G58" s="288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</row>
    <row r="59" ht="16.5" customHeight="1" s="237">
      <c r="A59" s="6" t="n"/>
      <c r="B59" s="6" t="n"/>
      <c r="C59" s="12" t="n"/>
      <c r="D59" s="10" t="n"/>
      <c r="E59" s="10" t="n"/>
      <c r="F59" s="164" t="n"/>
      <c r="G59" s="288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</row>
    <row r="60" ht="16.5" customHeight="1" s="237">
      <c r="A60" s="6" t="n"/>
      <c r="B60" s="6" t="n"/>
      <c r="C60" s="12" t="n"/>
      <c r="D60" s="10" t="n"/>
      <c r="E60" s="10" t="n"/>
      <c r="F60" s="164" t="n"/>
      <c r="G60" s="288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</row>
    <row r="61" ht="16.5" customHeight="1" s="237">
      <c r="A61" s="6" t="n"/>
      <c r="B61" s="6" t="n"/>
      <c r="C61" s="12" t="n"/>
      <c r="D61" s="10" t="n"/>
      <c r="E61" s="10" t="n"/>
      <c r="F61" s="164" t="n"/>
      <c r="G61" s="288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</row>
    <row r="62" ht="16.5" customHeight="1" s="237">
      <c r="A62" s="6" t="n"/>
      <c r="B62" s="6" t="n"/>
      <c r="C62" s="12" t="n"/>
      <c r="D62" s="10" t="n"/>
      <c r="E62" s="10" t="n"/>
      <c r="F62" s="164" t="n"/>
      <c r="G62" s="288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</row>
    <row r="63" ht="16.5" customHeight="1" s="237">
      <c r="A63" s="6" t="n"/>
      <c r="B63" s="6" t="n"/>
      <c r="C63" s="12" t="n"/>
      <c r="D63" s="10" t="n"/>
      <c r="E63" s="10" t="n"/>
      <c r="F63" s="164" t="n"/>
      <c r="G63" s="288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</row>
    <row r="64" ht="16.5" customHeight="1" s="237">
      <c r="A64" s="6" t="n"/>
      <c r="B64" s="6" t="n"/>
      <c r="C64" s="12" t="n"/>
      <c r="D64" s="10" t="n"/>
      <c r="E64" s="10" t="n"/>
      <c r="F64" s="164" t="n"/>
      <c r="G64" s="288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</row>
    <row r="65" ht="16.5" customHeight="1" s="237">
      <c r="A65" s="6" t="n"/>
      <c r="B65" s="6" t="n"/>
      <c r="C65" s="12" t="n"/>
      <c r="D65" s="10" t="n"/>
      <c r="E65" s="10" t="n"/>
      <c r="F65" s="164" t="n"/>
      <c r="G65" s="288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</row>
    <row r="66" ht="16.5" customHeight="1" s="237">
      <c r="A66" s="6" t="n"/>
      <c r="B66" s="6" t="n"/>
      <c r="C66" s="12" t="n"/>
      <c r="D66" s="10" t="n"/>
      <c r="E66" s="10" t="n"/>
      <c r="F66" s="164" t="n"/>
      <c r="G66" s="288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</row>
    <row r="67" ht="16.5" customHeight="1" s="237">
      <c r="A67" s="6" t="n"/>
      <c r="B67" s="6" t="n"/>
      <c r="C67" s="12" t="n"/>
      <c r="D67" s="10" t="n"/>
      <c r="E67" s="10" t="n"/>
      <c r="F67" s="164" t="n"/>
      <c r="G67" s="288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</row>
    <row r="68" ht="16.5" customHeight="1" s="237">
      <c r="A68" s="6" t="n"/>
      <c r="B68" s="6" t="n"/>
      <c r="C68" s="12" t="n"/>
      <c r="D68" s="10" t="n"/>
      <c r="E68" s="10" t="n"/>
      <c r="F68" s="164" t="n"/>
      <c r="G68" s="288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</row>
    <row r="69" ht="16.5" customHeight="1" s="237">
      <c r="A69" s="6" t="n"/>
      <c r="B69" s="6" t="n"/>
      <c r="C69" s="12" t="n"/>
      <c r="D69" s="10" t="n"/>
      <c r="E69" s="10" t="n"/>
      <c r="F69" s="164" t="n"/>
      <c r="G69" s="288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</row>
    <row r="70" ht="16.5" customHeight="1" s="237">
      <c r="A70" s="6" t="n"/>
      <c r="B70" s="6" t="n"/>
      <c r="C70" s="12" t="n"/>
      <c r="D70" s="10" t="n"/>
      <c r="E70" s="10" t="n"/>
      <c r="F70" s="164" t="n"/>
      <c r="G70" s="288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</row>
    <row r="71" ht="16.5" customHeight="1" s="237">
      <c r="A71" s="6" t="n"/>
      <c r="B71" s="6" t="n"/>
      <c r="C71" s="12" t="n"/>
      <c r="D71" s="10" t="n"/>
      <c r="E71" s="10" t="n"/>
      <c r="F71" s="164" t="n"/>
      <c r="G71" s="288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</row>
    <row r="72" ht="16.5" customHeight="1" s="237">
      <c r="A72" s="6" t="n"/>
      <c r="B72" s="6" t="n"/>
      <c r="C72" s="12" t="n"/>
      <c r="D72" s="10" t="n"/>
      <c r="E72" s="10" t="n"/>
      <c r="F72" s="164" t="n"/>
      <c r="G72" s="288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</row>
    <row r="73" ht="16.5" customHeight="1" s="237">
      <c r="A73" s="6" t="n"/>
      <c r="B73" s="6" t="n"/>
      <c r="C73" s="12" t="n"/>
      <c r="D73" s="10" t="n"/>
      <c r="E73" s="10" t="n"/>
      <c r="F73" s="164" t="n"/>
      <c r="G73" s="288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</row>
    <row r="74" ht="16.5" customHeight="1" s="237">
      <c r="A74" s="6" t="n"/>
      <c r="B74" s="6" t="n"/>
      <c r="C74" s="12" t="n"/>
      <c r="D74" s="10" t="n"/>
      <c r="E74" s="10" t="n"/>
      <c r="F74" s="164" t="n"/>
      <c r="G74" s="288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</row>
    <row r="75" ht="16.5" customHeight="1" s="237">
      <c r="A75" s="6" t="n"/>
      <c r="B75" s="6" t="n"/>
      <c r="C75" s="12" t="n"/>
      <c r="D75" s="10" t="n"/>
      <c r="E75" s="10" t="n"/>
      <c r="F75" s="164" t="n"/>
      <c r="G75" s="288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</row>
    <row r="76" ht="16.5" customHeight="1" s="237">
      <c r="A76" s="6" t="n"/>
      <c r="B76" s="6" t="n"/>
      <c r="C76" s="12" t="n"/>
      <c r="D76" s="10" t="n"/>
      <c r="E76" s="10" t="n"/>
      <c r="F76" s="164" t="n"/>
      <c r="G76" s="288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</row>
    <row r="77" ht="16.5" customHeight="1" s="237">
      <c r="A77" s="6" t="n"/>
      <c r="B77" s="6" t="n"/>
      <c r="C77" s="12" t="n"/>
      <c r="D77" s="10" t="n"/>
      <c r="E77" s="10" t="n"/>
      <c r="F77" s="164" t="n"/>
      <c r="G77" s="288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</row>
    <row r="78" ht="16.5" customHeight="1" s="237">
      <c r="A78" s="6" t="n"/>
      <c r="B78" s="6" t="n"/>
      <c r="C78" s="12" t="n"/>
      <c r="D78" s="10" t="n"/>
      <c r="E78" s="10" t="n"/>
      <c r="F78" s="164" t="n"/>
      <c r="G78" s="288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</row>
    <row r="79" ht="16.5" customHeight="1" s="237">
      <c r="A79" s="6" t="n"/>
      <c r="B79" s="6" t="n"/>
      <c r="C79" s="12" t="n"/>
      <c r="D79" s="10" t="n"/>
      <c r="E79" s="10" t="n"/>
      <c r="F79" s="164" t="n"/>
      <c r="G79" s="288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</row>
    <row r="80" ht="16.5" customHeight="1" s="237">
      <c r="A80" s="6" t="n"/>
      <c r="B80" s="6" t="n"/>
      <c r="C80" s="12" t="n"/>
      <c r="D80" s="10" t="n"/>
      <c r="E80" s="10" t="n"/>
      <c r="F80" s="164" t="n"/>
      <c r="G80" s="288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</row>
    <row r="81" ht="16.5" customHeight="1" s="237">
      <c r="A81" s="6" t="n"/>
      <c r="B81" s="6" t="n"/>
      <c r="C81" s="12" t="n"/>
      <c r="D81" s="10" t="n"/>
      <c r="E81" s="10" t="n"/>
      <c r="F81" s="164" t="n"/>
      <c r="G81" s="288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</row>
    <row r="82" ht="16.5" customHeight="1" s="237">
      <c r="A82" s="6" t="n"/>
      <c r="B82" s="6" t="n"/>
      <c r="C82" s="12" t="n"/>
      <c r="D82" s="10" t="n"/>
      <c r="E82" s="10" t="n"/>
      <c r="F82" s="164" t="n"/>
      <c r="G82" s="288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</row>
    <row r="83" ht="16.5" customHeight="1" s="237">
      <c r="A83" s="6" t="n"/>
      <c r="B83" s="6" t="n"/>
      <c r="C83" s="12" t="n"/>
      <c r="D83" s="10" t="n"/>
      <c r="E83" s="10" t="n"/>
      <c r="F83" s="164" t="n"/>
      <c r="G83" s="288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</row>
    <row r="84" ht="16.5" customHeight="1" s="237">
      <c r="A84" s="6" t="n"/>
      <c r="B84" s="6" t="n"/>
      <c r="C84" s="12" t="n"/>
      <c r="D84" s="10" t="n"/>
      <c r="E84" s="10" t="n"/>
      <c r="F84" s="164" t="n"/>
      <c r="G84" s="288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</row>
    <row r="85" ht="16.5" customHeight="1" s="237">
      <c r="A85" s="6" t="n"/>
      <c r="B85" s="6" t="n"/>
      <c r="C85" s="12" t="n"/>
      <c r="D85" s="10" t="n"/>
      <c r="E85" s="10" t="n"/>
      <c r="F85" s="164" t="n"/>
      <c r="G85" s="288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</row>
    <row r="86" ht="16.5" customHeight="1" s="237">
      <c r="A86" s="6" t="n"/>
      <c r="B86" s="6" t="n"/>
      <c r="C86" s="12" t="n"/>
      <c r="D86" s="10" t="n"/>
      <c r="E86" s="10" t="n"/>
      <c r="F86" s="164" t="n"/>
      <c r="G86" s="288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</row>
    <row r="87" ht="16.5" customHeight="1" s="237">
      <c r="A87" s="6" t="n"/>
      <c r="B87" s="6" t="n"/>
      <c r="C87" s="12" t="n"/>
      <c r="D87" s="10" t="n"/>
      <c r="E87" s="10" t="n"/>
      <c r="F87" s="164" t="n"/>
      <c r="G87" s="288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</row>
    <row r="88" ht="16.5" customHeight="1" s="237">
      <c r="A88" s="6" t="n"/>
      <c r="B88" s="6" t="n"/>
      <c r="C88" s="12" t="n"/>
      <c r="D88" s="10" t="n"/>
      <c r="E88" s="10" t="n"/>
      <c r="F88" s="164" t="n"/>
      <c r="G88" s="288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</row>
    <row r="89" ht="16.5" customHeight="1" s="237">
      <c r="A89" s="6" t="n"/>
      <c r="B89" s="6" t="n"/>
      <c r="C89" s="12" t="n"/>
      <c r="D89" s="10" t="n"/>
      <c r="E89" s="10" t="n"/>
      <c r="F89" s="164" t="n"/>
      <c r="G89" s="288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</row>
    <row r="90" ht="16.5" customHeight="1" s="237">
      <c r="A90" s="6" t="n"/>
      <c r="B90" s="6" t="n"/>
      <c r="C90" s="12" t="n"/>
      <c r="D90" s="10" t="n"/>
      <c r="E90" s="10" t="n"/>
      <c r="F90" s="164" t="n"/>
      <c r="G90" s="288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</row>
    <row r="91" ht="16.5" customHeight="1" s="237">
      <c r="A91" s="6" t="n"/>
      <c r="B91" s="6" t="n"/>
      <c r="C91" s="12" t="n"/>
      <c r="D91" s="10" t="n"/>
      <c r="E91" s="10" t="n"/>
      <c r="F91" s="164" t="n"/>
      <c r="G91" s="288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</row>
    <row r="92" ht="16.5" customHeight="1" s="237">
      <c r="A92" s="6" t="n"/>
      <c r="B92" s="6" t="n"/>
      <c r="C92" s="12" t="n"/>
      <c r="D92" s="10" t="n"/>
      <c r="E92" s="10" t="n"/>
      <c r="F92" s="164" t="n"/>
      <c r="G92" s="288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</row>
    <row r="93" ht="16.5" customHeight="1" s="237">
      <c r="A93" s="6" t="n"/>
      <c r="B93" s="6" t="n"/>
      <c r="C93" s="12" t="n"/>
      <c r="D93" s="10" t="n"/>
      <c r="E93" s="10" t="n"/>
      <c r="F93" s="164" t="n"/>
      <c r="G93" s="288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</row>
    <row r="94" ht="16.5" customHeight="1" s="237">
      <c r="A94" s="6" t="n"/>
      <c r="B94" s="6" t="n"/>
      <c r="C94" s="12" t="n"/>
      <c r="D94" s="10" t="n"/>
      <c r="E94" s="10" t="n"/>
      <c r="F94" s="164" t="n"/>
      <c r="G94" s="288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</row>
    <row r="95" ht="16.5" customHeight="1" s="237">
      <c r="A95" s="6" t="n"/>
      <c r="B95" s="6" t="n"/>
      <c r="C95" s="12" t="n"/>
      <c r="D95" s="10" t="n"/>
      <c r="E95" s="10" t="n"/>
      <c r="F95" s="164" t="n"/>
      <c r="G95" s="288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</row>
    <row r="96" ht="16.5" customHeight="1" s="237">
      <c r="A96" s="6" t="n"/>
      <c r="B96" s="6" t="n"/>
      <c r="C96" s="12" t="n"/>
      <c r="D96" s="10" t="n"/>
      <c r="E96" s="10" t="n"/>
      <c r="F96" s="164" t="n"/>
      <c r="G96" s="288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</row>
    <row r="97" ht="16.5" customHeight="1" s="237">
      <c r="A97" s="6" t="n"/>
      <c r="B97" s="6" t="n"/>
      <c r="C97" s="12" t="n"/>
      <c r="D97" s="10" t="n"/>
      <c r="E97" s="10" t="n"/>
      <c r="F97" s="164" t="n"/>
      <c r="G97" s="288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</row>
    <row r="98" ht="16.5" customHeight="1" s="237">
      <c r="A98" s="6" t="n"/>
      <c r="B98" s="6" t="n"/>
      <c r="C98" s="12" t="n"/>
      <c r="D98" s="10" t="n"/>
      <c r="E98" s="10" t="n"/>
      <c r="F98" s="164" t="n"/>
      <c r="G98" s="288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</row>
    <row r="99" ht="16.5" customHeight="1" s="237">
      <c r="A99" s="6" t="n"/>
      <c r="B99" s="6" t="n"/>
      <c r="C99" s="12" t="n"/>
      <c r="D99" s="10" t="n"/>
      <c r="E99" s="10" t="n"/>
      <c r="F99" s="164" t="n"/>
      <c r="G99" s="288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</row>
    <row r="100" ht="16.5" customHeight="1" s="237">
      <c r="A100" s="6" t="n"/>
      <c r="B100" s="6" t="n"/>
      <c r="C100" s="12" t="n"/>
      <c r="D100" s="10" t="n"/>
      <c r="E100" s="10" t="n"/>
      <c r="F100" s="164" t="n"/>
      <c r="G100" s="288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</row>
    <row r="101" ht="16.5" customHeight="1" s="237">
      <c r="A101" s="6" t="n"/>
      <c r="B101" s="6" t="n"/>
      <c r="C101" s="12" t="n"/>
      <c r="D101" s="10" t="n"/>
      <c r="E101" s="10" t="n"/>
      <c r="F101" s="164" t="n"/>
      <c r="G101" s="288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</row>
    <row r="102" ht="16.5" customHeight="1" s="237">
      <c r="A102" s="6" t="n"/>
      <c r="B102" s="6" t="n"/>
      <c r="C102" s="12" t="n"/>
      <c r="D102" s="10" t="n"/>
      <c r="E102" s="10" t="n"/>
      <c r="F102" s="164" t="n"/>
      <c r="G102" s="288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</row>
    <row r="103" ht="16.5" customHeight="1" s="237">
      <c r="A103" s="6" t="n"/>
      <c r="B103" s="6" t="n"/>
      <c r="C103" s="12" t="n"/>
      <c r="D103" s="10" t="n"/>
      <c r="E103" s="10" t="n"/>
      <c r="F103" s="164" t="n"/>
      <c r="G103" s="288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</row>
    <row r="104" ht="16.5" customHeight="1" s="237">
      <c r="A104" s="6" t="n"/>
      <c r="B104" s="6" t="n"/>
      <c r="C104" s="12" t="n"/>
      <c r="D104" s="10" t="n"/>
      <c r="E104" s="10" t="n"/>
      <c r="F104" s="164" t="n"/>
      <c r="G104" s="288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</row>
    <row r="105" ht="16.5" customHeight="1" s="237">
      <c r="A105" s="6" t="n"/>
      <c r="B105" s="6" t="n"/>
      <c r="C105" s="12" t="n"/>
      <c r="D105" s="10" t="n"/>
      <c r="E105" s="10" t="n"/>
      <c r="F105" s="164" t="n"/>
      <c r="G105" s="288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</row>
    <row r="106" ht="16.5" customHeight="1" s="237">
      <c r="A106" s="6" t="n"/>
      <c r="B106" s="6" t="n"/>
      <c r="C106" s="12" t="n"/>
      <c r="D106" s="10" t="n"/>
      <c r="E106" s="10" t="n"/>
      <c r="F106" s="164" t="n"/>
      <c r="G106" s="288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</row>
    <row r="107" ht="16.5" customHeight="1" s="237">
      <c r="A107" s="6" t="n"/>
      <c r="B107" s="6" t="n"/>
      <c r="C107" s="12" t="n"/>
      <c r="D107" s="10" t="n"/>
      <c r="E107" s="10" t="n"/>
      <c r="F107" s="164" t="n"/>
      <c r="G107" s="288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</row>
    <row r="108" ht="16.5" customHeight="1" s="237">
      <c r="A108" s="6" t="n"/>
      <c r="B108" s="6" t="n"/>
      <c r="C108" s="12" t="n"/>
      <c r="D108" s="10" t="n"/>
      <c r="E108" s="10" t="n"/>
      <c r="F108" s="164" t="n"/>
      <c r="G108" s="288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</row>
    <row r="109" ht="16.5" customHeight="1" s="237">
      <c r="A109" s="6" t="n"/>
      <c r="B109" s="6" t="n"/>
      <c r="C109" s="12" t="n"/>
      <c r="D109" s="10" t="n"/>
      <c r="E109" s="10" t="n"/>
      <c r="F109" s="164" t="n"/>
      <c r="G109" s="288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</row>
    <row r="110" ht="16.5" customHeight="1" s="237">
      <c r="A110" s="6" t="n"/>
      <c r="B110" s="6" t="n"/>
      <c r="C110" s="12" t="n"/>
      <c r="D110" s="10" t="n"/>
      <c r="E110" s="10" t="n"/>
      <c r="F110" s="164" t="n"/>
      <c r="G110" s="288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</row>
    <row r="111" ht="16.5" customHeight="1" s="237">
      <c r="A111" s="6" t="n"/>
      <c r="B111" s="6" t="n"/>
      <c r="C111" s="12" t="n"/>
      <c r="D111" s="10" t="n"/>
      <c r="E111" s="10" t="n"/>
      <c r="F111" s="164" t="n"/>
      <c r="G111" s="288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</row>
    <row r="112" ht="16.5" customHeight="1" s="237">
      <c r="A112" s="6" t="n"/>
      <c r="B112" s="6" t="n"/>
      <c r="C112" s="12" t="n"/>
      <c r="D112" s="10" t="n"/>
      <c r="E112" s="10" t="n"/>
      <c r="F112" s="164" t="n"/>
      <c r="G112" s="288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</row>
    <row r="113" ht="16.5" customHeight="1" s="237">
      <c r="A113" s="6" t="n"/>
      <c r="B113" s="6" t="n"/>
      <c r="C113" s="12" t="n"/>
      <c r="D113" s="10" t="n"/>
      <c r="E113" s="10" t="n"/>
      <c r="F113" s="164" t="n"/>
      <c r="G113" s="288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</row>
    <row r="114" ht="16.5" customHeight="1" s="237">
      <c r="A114" s="6" t="n"/>
      <c r="B114" s="6" t="n"/>
      <c r="C114" s="12" t="n"/>
      <c r="D114" s="10" t="n"/>
      <c r="E114" s="10" t="n"/>
      <c r="F114" s="164" t="n"/>
      <c r="G114" s="288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</row>
    <row r="115" ht="16.5" customHeight="1" s="237">
      <c r="A115" s="6" t="n"/>
      <c r="B115" s="6" t="n"/>
      <c r="C115" s="12" t="n"/>
      <c r="D115" s="10" t="n"/>
      <c r="E115" s="10" t="n"/>
      <c r="F115" s="164" t="n"/>
      <c r="G115" s="288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</row>
    <row r="116" ht="16.5" customHeight="1" s="237">
      <c r="A116" s="6" t="n"/>
      <c r="B116" s="6" t="n"/>
      <c r="C116" s="12" t="n"/>
      <c r="D116" s="10" t="n"/>
      <c r="E116" s="10" t="n"/>
      <c r="F116" s="164" t="n"/>
      <c r="G116" s="288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</row>
    <row r="117" ht="16.5" customHeight="1" s="237">
      <c r="A117" s="6" t="n"/>
      <c r="B117" s="6" t="n"/>
      <c r="C117" s="12" t="n"/>
      <c r="D117" s="10" t="n"/>
      <c r="E117" s="10" t="n"/>
      <c r="F117" s="164" t="n"/>
      <c r="G117" s="288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</row>
    <row r="118" ht="16.5" customHeight="1" s="237">
      <c r="A118" s="6" t="n"/>
      <c r="B118" s="6" t="n"/>
      <c r="C118" s="12" t="n"/>
      <c r="D118" s="10" t="n"/>
      <c r="E118" s="10" t="n"/>
      <c r="F118" s="164" t="n"/>
      <c r="G118" s="288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</row>
    <row r="119" ht="16.5" customHeight="1" s="237">
      <c r="A119" s="6" t="n"/>
      <c r="B119" s="6" t="n"/>
      <c r="C119" s="12" t="n"/>
      <c r="D119" s="10" t="n"/>
      <c r="E119" s="10" t="n"/>
      <c r="F119" s="164" t="n"/>
      <c r="G119" s="288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</row>
    <row r="120" ht="16.5" customHeight="1" s="237">
      <c r="A120" s="6" t="n"/>
      <c r="B120" s="6" t="n"/>
      <c r="C120" s="12" t="n"/>
      <c r="D120" s="10" t="n"/>
      <c r="E120" s="10" t="n"/>
      <c r="F120" s="164" t="n"/>
      <c r="G120" s="288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</row>
    <row r="121" ht="16.5" customHeight="1" s="237">
      <c r="A121" s="6" t="n"/>
      <c r="B121" s="6" t="n"/>
      <c r="C121" s="12" t="n"/>
      <c r="D121" s="10" t="n"/>
      <c r="E121" s="10" t="n"/>
      <c r="F121" s="164" t="n"/>
      <c r="G121" s="288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</row>
    <row r="122" ht="16.5" customHeight="1" s="237">
      <c r="A122" s="6" t="n"/>
      <c r="B122" s="6" t="n"/>
      <c r="C122" s="12" t="n"/>
      <c r="D122" s="10" t="n"/>
      <c r="E122" s="10" t="n"/>
      <c r="F122" s="164" t="n"/>
      <c r="G122" s="288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</row>
    <row r="123" ht="16.5" customHeight="1" s="237">
      <c r="A123" s="6" t="n"/>
      <c r="B123" s="6" t="n"/>
      <c r="C123" s="12" t="n"/>
      <c r="D123" s="10" t="n"/>
      <c r="E123" s="10" t="n"/>
      <c r="F123" s="164" t="n"/>
      <c r="G123" s="288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</row>
    <row r="124" ht="16.5" customHeight="1" s="237">
      <c r="A124" s="6" t="n"/>
      <c r="B124" s="6" t="n"/>
      <c r="C124" s="12" t="n"/>
      <c r="D124" s="10" t="n"/>
      <c r="E124" s="10" t="n"/>
      <c r="F124" s="164" t="n"/>
      <c r="G124" s="288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</row>
    <row r="125" ht="16.5" customHeight="1" s="237">
      <c r="A125" s="6" t="n"/>
      <c r="B125" s="6" t="n"/>
      <c r="C125" s="12" t="n"/>
      <c r="D125" s="10" t="n"/>
      <c r="E125" s="10" t="n"/>
      <c r="F125" s="164" t="n"/>
      <c r="G125" s="288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</row>
    <row r="126" ht="16.5" customHeight="1" s="237">
      <c r="A126" s="6" t="n"/>
      <c r="B126" s="6" t="n"/>
      <c r="C126" s="12" t="n"/>
      <c r="D126" s="10" t="n"/>
      <c r="E126" s="10" t="n"/>
      <c r="F126" s="164" t="n"/>
      <c r="G126" s="288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</row>
    <row r="127" ht="16.5" customHeight="1" s="237">
      <c r="A127" s="6" t="n"/>
      <c r="B127" s="6" t="n"/>
      <c r="C127" s="12" t="n"/>
      <c r="D127" s="10" t="n"/>
      <c r="E127" s="10" t="n"/>
      <c r="F127" s="164" t="n"/>
      <c r="G127" s="288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</row>
    <row r="128" ht="16.5" customHeight="1" s="237">
      <c r="A128" s="6" t="n"/>
      <c r="B128" s="6" t="n"/>
      <c r="C128" s="12" t="n"/>
      <c r="D128" s="10" t="n"/>
      <c r="E128" s="10" t="n"/>
      <c r="F128" s="164" t="n"/>
      <c r="G128" s="288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</row>
    <row r="129" ht="16.5" customHeight="1" s="237">
      <c r="A129" s="6" t="n"/>
      <c r="B129" s="6" t="n"/>
      <c r="C129" s="12" t="n"/>
      <c r="D129" s="10" t="n"/>
      <c r="E129" s="10" t="n"/>
      <c r="F129" s="164" t="n"/>
      <c r="G129" s="288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</row>
    <row r="130" ht="16.5" customHeight="1" s="237">
      <c r="A130" s="6" t="n"/>
      <c r="B130" s="6" t="n"/>
      <c r="C130" s="12" t="n"/>
      <c r="D130" s="10" t="n"/>
      <c r="E130" s="10" t="n"/>
      <c r="F130" s="164" t="n"/>
      <c r="G130" s="288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</row>
    <row r="131" ht="16.5" customHeight="1" s="237">
      <c r="A131" s="6" t="n"/>
      <c r="B131" s="6" t="n"/>
      <c r="C131" s="12" t="n"/>
      <c r="D131" s="10" t="n"/>
      <c r="E131" s="10" t="n"/>
      <c r="F131" s="164" t="n"/>
      <c r="G131" s="288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</row>
    <row r="132" ht="16.5" customHeight="1" s="237">
      <c r="A132" s="6" t="n"/>
      <c r="B132" s="6" t="n"/>
      <c r="C132" s="12" t="n"/>
      <c r="D132" s="10" t="n"/>
      <c r="E132" s="10" t="n"/>
      <c r="F132" s="164" t="n"/>
      <c r="G132" s="288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</row>
    <row r="133" ht="16.5" customHeight="1" s="237">
      <c r="A133" s="6" t="n"/>
      <c r="B133" s="6" t="n"/>
      <c r="C133" s="12" t="n"/>
      <c r="D133" s="10" t="n"/>
      <c r="E133" s="10" t="n"/>
      <c r="F133" s="164" t="n"/>
      <c r="G133" s="288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</row>
    <row r="134" ht="16.5" customHeight="1" s="237">
      <c r="A134" s="6" t="n"/>
      <c r="B134" s="6" t="n"/>
      <c r="C134" s="12" t="n"/>
      <c r="D134" s="10" t="n"/>
      <c r="E134" s="10" t="n"/>
      <c r="F134" s="164" t="n"/>
      <c r="G134" s="288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</row>
    <row r="135" ht="16.5" customHeight="1" s="237">
      <c r="A135" s="6" t="n"/>
      <c r="B135" s="6" t="n"/>
      <c r="C135" s="12" t="n"/>
      <c r="D135" s="10" t="n"/>
      <c r="E135" s="10" t="n"/>
      <c r="F135" s="164" t="n"/>
      <c r="G135" s="288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</row>
    <row r="136" ht="16.5" customHeight="1" s="237">
      <c r="A136" s="6" t="n"/>
      <c r="B136" s="6" t="n"/>
      <c r="C136" s="12" t="n"/>
      <c r="D136" s="10" t="n"/>
      <c r="E136" s="10" t="n"/>
      <c r="F136" s="164" t="n"/>
      <c r="G136" s="288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</row>
    <row r="137" ht="16.5" customHeight="1" s="237">
      <c r="A137" s="6" t="n"/>
      <c r="B137" s="6" t="n"/>
      <c r="C137" s="12" t="n"/>
      <c r="D137" s="10" t="n"/>
      <c r="E137" s="10" t="n"/>
      <c r="F137" s="164" t="n"/>
      <c r="G137" s="288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</row>
    <row r="138" ht="16.5" customHeight="1" s="237">
      <c r="A138" s="6" t="n"/>
      <c r="B138" s="6" t="n"/>
      <c r="C138" s="12" t="n"/>
      <c r="D138" s="10" t="n"/>
      <c r="E138" s="10" t="n"/>
      <c r="F138" s="164" t="n"/>
      <c r="G138" s="288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</row>
    <row r="139" ht="16.5" customHeight="1" s="237">
      <c r="A139" s="6" t="n"/>
      <c r="B139" s="6" t="n"/>
      <c r="C139" s="12" t="n"/>
      <c r="D139" s="10" t="n"/>
      <c r="E139" s="10" t="n"/>
      <c r="F139" s="164" t="n"/>
      <c r="G139" s="288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</row>
    <row r="140" ht="16.5" customHeight="1" s="237">
      <c r="A140" s="6" t="n"/>
      <c r="B140" s="6" t="n"/>
      <c r="C140" s="12" t="n"/>
      <c r="D140" s="10" t="n"/>
      <c r="E140" s="10" t="n"/>
      <c r="F140" s="164" t="n"/>
      <c r="G140" s="288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</row>
    <row r="141" ht="16.5" customHeight="1" s="237">
      <c r="A141" s="6" t="n"/>
      <c r="B141" s="6" t="n"/>
      <c r="C141" s="12" t="n"/>
      <c r="D141" s="10" t="n"/>
      <c r="E141" s="10" t="n"/>
      <c r="F141" s="164" t="n"/>
      <c r="G141" s="288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</row>
    <row r="142" ht="16.5" customHeight="1" s="237">
      <c r="A142" s="6" t="n"/>
      <c r="B142" s="6" t="n"/>
      <c r="C142" s="12" t="n"/>
      <c r="D142" s="10" t="n"/>
      <c r="E142" s="10" t="n"/>
      <c r="F142" s="164" t="n"/>
      <c r="G142" s="288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</row>
    <row r="143" ht="16.5" customHeight="1" s="237">
      <c r="A143" s="6" t="n"/>
      <c r="B143" s="6" t="n"/>
      <c r="C143" s="12" t="n"/>
      <c r="D143" s="10" t="n"/>
      <c r="E143" s="10" t="n"/>
      <c r="F143" s="164" t="n"/>
      <c r="G143" s="288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</row>
    <row r="144" ht="16.5" customHeight="1" s="237">
      <c r="A144" s="6" t="n"/>
      <c r="B144" s="6" t="n"/>
      <c r="C144" s="12" t="n"/>
      <c r="D144" s="10" t="n"/>
      <c r="E144" s="10" t="n"/>
      <c r="F144" s="164" t="n"/>
      <c r="G144" s="288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</row>
    <row r="145" ht="16.5" customHeight="1" s="237">
      <c r="A145" s="6" t="n"/>
      <c r="B145" s="6" t="n"/>
      <c r="C145" s="12" t="n"/>
      <c r="D145" s="10" t="n"/>
      <c r="E145" s="10" t="n"/>
      <c r="F145" s="164" t="n"/>
      <c r="G145" s="288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</row>
    <row r="146" ht="16.5" customHeight="1" s="237">
      <c r="A146" s="6" t="n"/>
      <c r="B146" s="6" t="n"/>
      <c r="C146" s="12" t="n"/>
      <c r="D146" s="10" t="n"/>
      <c r="E146" s="10" t="n"/>
      <c r="F146" s="164" t="n"/>
      <c r="G146" s="288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</row>
    <row r="147" ht="16.5" customHeight="1" s="237">
      <c r="A147" s="6" t="n"/>
      <c r="B147" s="6" t="n"/>
      <c r="C147" s="12" t="n"/>
      <c r="D147" s="10" t="n"/>
      <c r="E147" s="10" t="n"/>
      <c r="F147" s="164" t="n"/>
      <c r="G147" s="288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</row>
    <row r="148" ht="16.5" customHeight="1" s="237">
      <c r="A148" s="6" t="n"/>
      <c r="B148" s="6" t="n"/>
      <c r="C148" s="12" t="n"/>
      <c r="D148" s="10" t="n"/>
      <c r="E148" s="10" t="n"/>
      <c r="F148" s="164" t="n"/>
      <c r="G148" s="288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</row>
    <row r="149" ht="16.5" customHeight="1" s="237">
      <c r="A149" s="6" t="n"/>
      <c r="B149" s="6" t="n"/>
      <c r="C149" s="12" t="n"/>
      <c r="D149" s="10" t="n"/>
      <c r="E149" s="10" t="n"/>
      <c r="F149" s="164" t="n"/>
      <c r="G149" s="288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  <c r="Q149" s="6" t="n"/>
      <c r="R149" s="6" t="n"/>
      <c r="S149" s="6" t="n"/>
      <c r="T149" s="6" t="n"/>
      <c r="U149" s="6" t="n"/>
      <c r="V149" s="6" t="n"/>
      <c r="W149" s="6" t="n"/>
      <c r="X149" s="6" t="n"/>
    </row>
    <row r="150" ht="16.5" customHeight="1" s="237">
      <c r="A150" s="6" t="n"/>
      <c r="B150" s="6" t="n"/>
      <c r="C150" s="12" t="n"/>
      <c r="D150" s="10" t="n"/>
      <c r="E150" s="10" t="n"/>
      <c r="F150" s="164" t="n"/>
      <c r="G150" s="288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  <c r="Q150" s="6" t="n"/>
      <c r="R150" s="6" t="n"/>
      <c r="S150" s="6" t="n"/>
      <c r="T150" s="6" t="n"/>
      <c r="U150" s="6" t="n"/>
      <c r="V150" s="6" t="n"/>
      <c r="W150" s="6" t="n"/>
      <c r="X150" s="6" t="n"/>
    </row>
    <row r="151" ht="16.5" customHeight="1" s="237">
      <c r="A151" s="6" t="n"/>
      <c r="B151" s="6" t="n"/>
      <c r="C151" s="12" t="n"/>
      <c r="D151" s="10" t="n"/>
      <c r="E151" s="10" t="n"/>
      <c r="F151" s="164" t="n"/>
      <c r="G151" s="288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  <c r="Q151" s="6" t="n"/>
      <c r="R151" s="6" t="n"/>
      <c r="S151" s="6" t="n"/>
      <c r="T151" s="6" t="n"/>
      <c r="U151" s="6" t="n"/>
      <c r="V151" s="6" t="n"/>
      <c r="W151" s="6" t="n"/>
      <c r="X151" s="6" t="n"/>
    </row>
    <row r="152" ht="16.5" customHeight="1" s="237">
      <c r="A152" s="6" t="n"/>
      <c r="B152" s="6" t="n"/>
      <c r="C152" s="12" t="n"/>
      <c r="D152" s="10" t="n"/>
      <c r="E152" s="10" t="n"/>
      <c r="F152" s="164" t="n"/>
      <c r="G152" s="288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  <c r="Q152" s="6" t="n"/>
      <c r="R152" s="6" t="n"/>
      <c r="S152" s="6" t="n"/>
      <c r="T152" s="6" t="n"/>
      <c r="U152" s="6" t="n"/>
      <c r="V152" s="6" t="n"/>
      <c r="W152" s="6" t="n"/>
      <c r="X152" s="6" t="n"/>
    </row>
    <row r="153" ht="16.5" customHeight="1" s="237">
      <c r="A153" s="6" t="n"/>
      <c r="B153" s="6" t="n"/>
      <c r="C153" s="12" t="n"/>
      <c r="D153" s="10" t="n"/>
      <c r="E153" s="10" t="n"/>
      <c r="F153" s="164" t="n"/>
      <c r="G153" s="288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  <c r="Q153" s="6" t="n"/>
      <c r="R153" s="6" t="n"/>
      <c r="S153" s="6" t="n"/>
      <c r="T153" s="6" t="n"/>
      <c r="U153" s="6" t="n"/>
      <c r="V153" s="6" t="n"/>
      <c r="W153" s="6" t="n"/>
      <c r="X153" s="6" t="n"/>
    </row>
    <row r="154" ht="16.5" customHeight="1" s="237">
      <c r="A154" s="6" t="n"/>
      <c r="B154" s="6" t="n"/>
      <c r="C154" s="12" t="n"/>
      <c r="D154" s="10" t="n"/>
      <c r="E154" s="10" t="n"/>
      <c r="F154" s="164" t="n"/>
      <c r="G154" s="288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  <c r="Q154" s="6" t="n"/>
      <c r="R154" s="6" t="n"/>
      <c r="S154" s="6" t="n"/>
      <c r="T154" s="6" t="n"/>
      <c r="U154" s="6" t="n"/>
      <c r="V154" s="6" t="n"/>
      <c r="W154" s="6" t="n"/>
      <c r="X154" s="6" t="n"/>
    </row>
    <row r="155" ht="16.5" customHeight="1" s="237">
      <c r="A155" s="6" t="n"/>
      <c r="B155" s="6" t="n"/>
      <c r="C155" s="12" t="n"/>
      <c r="D155" s="10" t="n"/>
      <c r="E155" s="10" t="n"/>
      <c r="F155" s="164" t="n"/>
      <c r="G155" s="288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  <c r="Q155" s="6" t="n"/>
      <c r="R155" s="6" t="n"/>
      <c r="S155" s="6" t="n"/>
      <c r="T155" s="6" t="n"/>
      <c r="U155" s="6" t="n"/>
      <c r="V155" s="6" t="n"/>
      <c r="W155" s="6" t="n"/>
      <c r="X155" s="6" t="n"/>
    </row>
    <row r="156" ht="16.5" customHeight="1" s="237">
      <c r="A156" s="6" t="n"/>
      <c r="B156" s="6" t="n"/>
      <c r="C156" s="12" t="n"/>
      <c r="D156" s="10" t="n"/>
      <c r="E156" s="10" t="n"/>
      <c r="F156" s="164" t="n"/>
      <c r="G156" s="288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  <c r="Q156" s="6" t="n"/>
      <c r="R156" s="6" t="n"/>
      <c r="S156" s="6" t="n"/>
      <c r="T156" s="6" t="n"/>
      <c r="U156" s="6" t="n"/>
      <c r="V156" s="6" t="n"/>
      <c r="W156" s="6" t="n"/>
      <c r="X156" s="6" t="n"/>
    </row>
    <row r="157" ht="16.5" customHeight="1" s="237">
      <c r="A157" s="6" t="n"/>
      <c r="B157" s="6" t="n"/>
      <c r="C157" s="12" t="n"/>
      <c r="D157" s="10" t="n"/>
      <c r="E157" s="10" t="n"/>
      <c r="F157" s="164" t="n"/>
      <c r="G157" s="288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  <c r="Q157" s="6" t="n"/>
      <c r="R157" s="6" t="n"/>
      <c r="S157" s="6" t="n"/>
      <c r="T157" s="6" t="n"/>
      <c r="U157" s="6" t="n"/>
      <c r="V157" s="6" t="n"/>
      <c r="W157" s="6" t="n"/>
      <c r="X157" s="6" t="n"/>
    </row>
    <row r="158" ht="16.5" customHeight="1" s="237">
      <c r="A158" s="6" t="n"/>
      <c r="B158" s="6" t="n"/>
      <c r="C158" s="12" t="n"/>
      <c r="D158" s="10" t="n"/>
      <c r="E158" s="10" t="n"/>
      <c r="F158" s="164" t="n"/>
      <c r="G158" s="288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  <c r="Q158" s="6" t="n"/>
      <c r="R158" s="6" t="n"/>
      <c r="S158" s="6" t="n"/>
      <c r="T158" s="6" t="n"/>
      <c r="U158" s="6" t="n"/>
      <c r="V158" s="6" t="n"/>
      <c r="W158" s="6" t="n"/>
      <c r="X158" s="6" t="n"/>
    </row>
    <row r="159" ht="16.5" customHeight="1" s="237">
      <c r="A159" s="6" t="n"/>
      <c r="B159" s="6" t="n"/>
      <c r="C159" s="12" t="n"/>
      <c r="D159" s="10" t="n"/>
      <c r="E159" s="10" t="n"/>
      <c r="F159" s="164" t="n"/>
      <c r="G159" s="288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  <c r="Q159" s="6" t="n"/>
      <c r="R159" s="6" t="n"/>
      <c r="S159" s="6" t="n"/>
      <c r="T159" s="6" t="n"/>
      <c r="U159" s="6" t="n"/>
      <c r="V159" s="6" t="n"/>
      <c r="W159" s="6" t="n"/>
      <c r="X159" s="6" t="n"/>
    </row>
    <row r="160" ht="16.5" customHeight="1" s="237">
      <c r="A160" s="6" t="n"/>
      <c r="B160" s="6" t="n"/>
      <c r="C160" s="12" t="n"/>
      <c r="D160" s="10" t="n"/>
      <c r="E160" s="10" t="n"/>
      <c r="F160" s="164" t="n"/>
      <c r="G160" s="288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  <c r="Q160" s="6" t="n"/>
      <c r="R160" s="6" t="n"/>
      <c r="S160" s="6" t="n"/>
      <c r="T160" s="6" t="n"/>
      <c r="U160" s="6" t="n"/>
      <c r="V160" s="6" t="n"/>
      <c r="W160" s="6" t="n"/>
      <c r="X160" s="6" t="n"/>
    </row>
    <row r="161" ht="16.5" customHeight="1" s="237">
      <c r="A161" s="6" t="n"/>
      <c r="B161" s="6" t="n"/>
      <c r="C161" s="12" t="n"/>
      <c r="D161" s="10" t="n"/>
      <c r="E161" s="10" t="n"/>
      <c r="F161" s="164" t="n"/>
      <c r="G161" s="288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  <c r="Q161" s="6" t="n"/>
      <c r="R161" s="6" t="n"/>
      <c r="S161" s="6" t="n"/>
      <c r="T161" s="6" t="n"/>
      <c r="U161" s="6" t="n"/>
      <c r="V161" s="6" t="n"/>
      <c r="W161" s="6" t="n"/>
      <c r="X161" s="6" t="n"/>
    </row>
    <row r="162" ht="16.5" customHeight="1" s="237">
      <c r="A162" s="6" t="n"/>
      <c r="B162" s="6" t="n"/>
      <c r="C162" s="12" t="n"/>
      <c r="D162" s="10" t="n"/>
      <c r="E162" s="10" t="n"/>
      <c r="F162" s="164" t="n"/>
      <c r="G162" s="288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  <c r="Q162" s="6" t="n"/>
      <c r="R162" s="6" t="n"/>
      <c r="S162" s="6" t="n"/>
      <c r="T162" s="6" t="n"/>
      <c r="U162" s="6" t="n"/>
      <c r="V162" s="6" t="n"/>
      <c r="W162" s="6" t="n"/>
      <c r="X162" s="6" t="n"/>
    </row>
    <row r="163" ht="16.5" customHeight="1" s="237">
      <c r="A163" s="6" t="n"/>
      <c r="B163" s="6" t="n"/>
      <c r="C163" s="12" t="n"/>
      <c r="D163" s="10" t="n"/>
      <c r="E163" s="10" t="n"/>
      <c r="F163" s="164" t="n"/>
      <c r="G163" s="288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  <c r="Q163" s="6" t="n"/>
      <c r="R163" s="6" t="n"/>
      <c r="S163" s="6" t="n"/>
      <c r="T163" s="6" t="n"/>
      <c r="U163" s="6" t="n"/>
      <c r="V163" s="6" t="n"/>
      <c r="W163" s="6" t="n"/>
      <c r="X163" s="6" t="n"/>
    </row>
    <row r="164" ht="16.5" customHeight="1" s="237">
      <c r="A164" s="6" t="n"/>
      <c r="B164" s="6" t="n"/>
      <c r="C164" s="12" t="n"/>
      <c r="D164" s="10" t="n"/>
      <c r="E164" s="10" t="n"/>
      <c r="F164" s="164" t="n"/>
      <c r="G164" s="288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  <c r="Q164" s="6" t="n"/>
      <c r="R164" s="6" t="n"/>
      <c r="S164" s="6" t="n"/>
      <c r="T164" s="6" t="n"/>
      <c r="U164" s="6" t="n"/>
      <c r="V164" s="6" t="n"/>
      <c r="W164" s="6" t="n"/>
      <c r="X164" s="6" t="n"/>
    </row>
    <row r="165" ht="16.5" customHeight="1" s="237">
      <c r="A165" s="6" t="n"/>
      <c r="B165" s="6" t="n"/>
      <c r="C165" s="12" t="n"/>
      <c r="D165" s="10" t="n"/>
      <c r="E165" s="10" t="n"/>
      <c r="F165" s="164" t="n"/>
      <c r="G165" s="288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  <c r="Q165" s="6" t="n"/>
      <c r="R165" s="6" t="n"/>
      <c r="S165" s="6" t="n"/>
      <c r="T165" s="6" t="n"/>
      <c r="U165" s="6" t="n"/>
      <c r="V165" s="6" t="n"/>
      <c r="W165" s="6" t="n"/>
      <c r="X165" s="6" t="n"/>
    </row>
    <row r="166" ht="16.5" customHeight="1" s="237">
      <c r="A166" s="6" t="n"/>
      <c r="B166" s="6" t="n"/>
      <c r="C166" s="12" t="n"/>
      <c r="D166" s="10" t="n"/>
      <c r="E166" s="10" t="n"/>
      <c r="F166" s="164" t="n"/>
      <c r="G166" s="288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  <c r="Q166" s="6" t="n"/>
      <c r="R166" s="6" t="n"/>
      <c r="S166" s="6" t="n"/>
      <c r="T166" s="6" t="n"/>
      <c r="U166" s="6" t="n"/>
      <c r="V166" s="6" t="n"/>
      <c r="W166" s="6" t="n"/>
      <c r="X166" s="6" t="n"/>
    </row>
    <row r="167" ht="16.5" customHeight="1" s="237">
      <c r="A167" s="6" t="n"/>
      <c r="B167" s="6" t="n"/>
      <c r="C167" s="12" t="n"/>
      <c r="D167" s="10" t="n"/>
      <c r="E167" s="10" t="n"/>
      <c r="F167" s="164" t="n"/>
      <c r="G167" s="288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  <c r="Q167" s="6" t="n"/>
      <c r="R167" s="6" t="n"/>
      <c r="S167" s="6" t="n"/>
      <c r="T167" s="6" t="n"/>
      <c r="U167" s="6" t="n"/>
      <c r="V167" s="6" t="n"/>
      <c r="W167" s="6" t="n"/>
      <c r="X167" s="6" t="n"/>
    </row>
    <row r="168" ht="16.5" customHeight="1" s="237">
      <c r="A168" s="6" t="n"/>
      <c r="B168" s="6" t="n"/>
      <c r="C168" s="12" t="n"/>
      <c r="D168" s="10" t="n"/>
      <c r="E168" s="10" t="n"/>
      <c r="F168" s="164" t="n"/>
      <c r="G168" s="288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  <c r="Q168" s="6" t="n"/>
      <c r="R168" s="6" t="n"/>
      <c r="S168" s="6" t="n"/>
      <c r="T168" s="6" t="n"/>
      <c r="U168" s="6" t="n"/>
      <c r="V168" s="6" t="n"/>
      <c r="W168" s="6" t="n"/>
      <c r="X168" s="6" t="n"/>
    </row>
    <row r="169" ht="16.5" customHeight="1" s="237">
      <c r="A169" s="6" t="n"/>
      <c r="B169" s="6" t="n"/>
      <c r="C169" s="12" t="n"/>
      <c r="D169" s="10" t="n"/>
      <c r="E169" s="10" t="n"/>
      <c r="F169" s="164" t="n"/>
      <c r="G169" s="288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  <c r="Q169" s="6" t="n"/>
      <c r="R169" s="6" t="n"/>
      <c r="S169" s="6" t="n"/>
      <c r="T169" s="6" t="n"/>
      <c r="U169" s="6" t="n"/>
      <c r="V169" s="6" t="n"/>
      <c r="W169" s="6" t="n"/>
      <c r="X169" s="6" t="n"/>
    </row>
    <row r="170" ht="16.5" customHeight="1" s="237">
      <c r="A170" s="6" t="n"/>
      <c r="B170" s="6" t="n"/>
      <c r="C170" s="12" t="n"/>
      <c r="D170" s="10" t="n"/>
      <c r="E170" s="10" t="n"/>
      <c r="F170" s="164" t="n"/>
      <c r="G170" s="288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  <c r="Q170" s="6" t="n"/>
      <c r="R170" s="6" t="n"/>
      <c r="S170" s="6" t="n"/>
      <c r="T170" s="6" t="n"/>
      <c r="U170" s="6" t="n"/>
      <c r="V170" s="6" t="n"/>
      <c r="W170" s="6" t="n"/>
      <c r="X170" s="6" t="n"/>
    </row>
    <row r="171" ht="16.5" customHeight="1" s="237">
      <c r="A171" s="6" t="n"/>
      <c r="B171" s="6" t="n"/>
      <c r="C171" s="12" t="n"/>
      <c r="D171" s="10" t="n"/>
      <c r="E171" s="10" t="n"/>
      <c r="F171" s="164" t="n"/>
      <c r="G171" s="288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  <c r="Q171" s="6" t="n"/>
      <c r="R171" s="6" t="n"/>
      <c r="S171" s="6" t="n"/>
      <c r="T171" s="6" t="n"/>
      <c r="U171" s="6" t="n"/>
      <c r="V171" s="6" t="n"/>
      <c r="W171" s="6" t="n"/>
      <c r="X171" s="6" t="n"/>
    </row>
    <row r="172" ht="16.5" customHeight="1" s="237">
      <c r="A172" s="6" t="n"/>
      <c r="B172" s="6" t="n"/>
      <c r="C172" s="12" t="n"/>
      <c r="D172" s="10" t="n"/>
      <c r="E172" s="10" t="n"/>
      <c r="F172" s="164" t="n"/>
      <c r="G172" s="288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  <c r="Q172" s="6" t="n"/>
      <c r="R172" s="6" t="n"/>
      <c r="S172" s="6" t="n"/>
      <c r="T172" s="6" t="n"/>
      <c r="U172" s="6" t="n"/>
      <c r="V172" s="6" t="n"/>
      <c r="W172" s="6" t="n"/>
      <c r="X172" s="6" t="n"/>
    </row>
    <row r="173" ht="16.5" customHeight="1" s="237">
      <c r="A173" s="6" t="n"/>
      <c r="B173" s="6" t="n"/>
      <c r="C173" s="12" t="n"/>
      <c r="D173" s="10" t="n"/>
      <c r="E173" s="10" t="n"/>
      <c r="F173" s="164" t="n"/>
      <c r="G173" s="288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  <c r="Q173" s="6" t="n"/>
      <c r="R173" s="6" t="n"/>
      <c r="S173" s="6" t="n"/>
      <c r="T173" s="6" t="n"/>
      <c r="U173" s="6" t="n"/>
      <c r="V173" s="6" t="n"/>
      <c r="W173" s="6" t="n"/>
      <c r="X173" s="6" t="n"/>
    </row>
    <row r="174" ht="16.5" customHeight="1" s="237">
      <c r="A174" s="6" t="n"/>
      <c r="B174" s="6" t="n"/>
      <c r="C174" s="12" t="n"/>
      <c r="D174" s="10" t="n"/>
      <c r="E174" s="10" t="n"/>
      <c r="F174" s="164" t="n"/>
      <c r="G174" s="288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  <c r="Q174" s="6" t="n"/>
      <c r="R174" s="6" t="n"/>
      <c r="S174" s="6" t="n"/>
      <c r="T174" s="6" t="n"/>
      <c r="U174" s="6" t="n"/>
      <c r="V174" s="6" t="n"/>
      <c r="W174" s="6" t="n"/>
      <c r="X174" s="6" t="n"/>
    </row>
    <row r="175" ht="16.5" customHeight="1" s="237">
      <c r="A175" s="6" t="n"/>
      <c r="B175" s="6" t="n"/>
      <c r="C175" s="12" t="n"/>
      <c r="D175" s="10" t="n"/>
      <c r="E175" s="10" t="n"/>
      <c r="F175" s="164" t="n"/>
      <c r="G175" s="288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  <c r="Q175" s="6" t="n"/>
      <c r="R175" s="6" t="n"/>
      <c r="S175" s="6" t="n"/>
      <c r="T175" s="6" t="n"/>
      <c r="U175" s="6" t="n"/>
      <c r="V175" s="6" t="n"/>
      <c r="W175" s="6" t="n"/>
      <c r="X175" s="6" t="n"/>
    </row>
    <row r="176" ht="16.5" customHeight="1" s="237">
      <c r="A176" s="6" t="n"/>
      <c r="B176" s="6" t="n"/>
      <c r="C176" s="12" t="n"/>
      <c r="D176" s="10" t="n"/>
      <c r="E176" s="10" t="n"/>
      <c r="F176" s="164" t="n"/>
      <c r="G176" s="288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  <c r="Q176" s="6" t="n"/>
      <c r="R176" s="6" t="n"/>
      <c r="S176" s="6" t="n"/>
      <c r="T176" s="6" t="n"/>
      <c r="U176" s="6" t="n"/>
      <c r="V176" s="6" t="n"/>
      <c r="W176" s="6" t="n"/>
      <c r="X176" s="6" t="n"/>
    </row>
    <row r="177" ht="16.5" customHeight="1" s="237">
      <c r="A177" s="6" t="n"/>
      <c r="B177" s="6" t="n"/>
      <c r="C177" s="12" t="n"/>
      <c r="D177" s="10" t="n"/>
      <c r="E177" s="10" t="n"/>
      <c r="F177" s="164" t="n"/>
      <c r="G177" s="288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  <c r="Q177" s="6" t="n"/>
      <c r="R177" s="6" t="n"/>
      <c r="S177" s="6" t="n"/>
      <c r="T177" s="6" t="n"/>
      <c r="U177" s="6" t="n"/>
      <c r="V177" s="6" t="n"/>
      <c r="W177" s="6" t="n"/>
      <c r="X177" s="6" t="n"/>
    </row>
    <row r="178" ht="16.5" customHeight="1" s="237">
      <c r="A178" s="6" t="n"/>
      <c r="B178" s="6" t="n"/>
      <c r="C178" s="12" t="n"/>
      <c r="D178" s="10" t="n"/>
      <c r="E178" s="10" t="n"/>
      <c r="F178" s="164" t="n"/>
      <c r="G178" s="288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  <c r="Q178" s="6" t="n"/>
      <c r="R178" s="6" t="n"/>
      <c r="S178" s="6" t="n"/>
      <c r="T178" s="6" t="n"/>
      <c r="U178" s="6" t="n"/>
      <c r="V178" s="6" t="n"/>
      <c r="W178" s="6" t="n"/>
      <c r="X178" s="6" t="n"/>
    </row>
    <row r="179" ht="16.5" customHeight="1" s="237">
      <c r="A179" s="6" t="n"/>
      <c r="B179" s="6" t="n"/>
      <c r="C179" s="12" t="n"/>
      <c r="D179" s="10" t="n"/>
      <c r="E179" s="10" t="n"/>
      <c r="F179" s="164" t="n"/>
      <c r="G179" s="288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  <c r="Q179" s="6" t="n"/>
      <c r="R179" s="6" t="n"/>
      <c r="S179" s="6" t="n"/>
      <c r="T179" s="6" t="n"/>
      <c r="U179" s="6" t="n"/>
      <c r="V179" s="6" t="n"/>
      <c r="W179" s="6" t="n"/>
      <c r="X179" s="6" t="n"/>
    </row>
    <row r="180" ht="16.5" customHeight="1" s="237">
      <c r="A180" s="6" t="n"/>
      <c r="B180" s="6" t="n"/>
      <c r="C180" s="12" t="n"/>
      <c r="D180" s="10" t="n"/>
      <c r="E180" s="10" t="n"/>
      <c r="F180" s="164" t="n"/>
      <c r="G180" s="288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  <c r="Q180" s="6" t="n"/>
      <c r="R180" s="6" t="n"/>
      <c r="S180" s="6" t="n"/>
      <c r="T180" s="6" t="n"/>
      <c r="U180" s="6" t="n"/>
      <c r="V180" s="6" t="n"/>
      <c r="W180" s="6" t="n"/>
      <c r="X180" s="6" t="n"/>
    </row>
    <row r="181" ht="16.5" customHeight="1" s="237">
      <c r="A181" s="6" t="n"/>
      <c r="B181" s="6" t="n"/>
      <c r="C181" s="12" t="n"/>
      <c r="D181" s="10" t="n"/>
      <c r="E181" s="10" t="n"/>
      <c r="F181" s="164" t="n"/>
      <c r="G181" s="288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  <c r="Q181" s="6" t="n"/>
      <c r="R181" s="6" t="n"/>
      <c r="S181" s="6" t="n"/>
      <c r="T181" s="6" t="n"/>
      <c r="U181" s="6" t="n"/>
      <c r="V181" s="6" t="n"/>
      <c r="W181" s="6" t="n"/>
      <c r="X181" s="6" t="n"/>
    </row>
    <row r="182" ht="16.5" customHeight="1" s="237">
      <c r="A182" s="6" t="n"/>
      <c r="B182" s="6" t="n"/>
      <c r="C182" s="12" t="n"/>
      <c r="D182" s="10" t="n"/>
      <c r="E182" s="10" t="n"/>
      <c r="F182" s="164" t="n"/>
      <c r="G182" s="288" t="n"/>
      <c r="H182" s="6" t="n"/>
      <c r="I182" s="6" t="n"/>
      <c r="J182" s="6" t="n"/>
      <c r="K182" s="6" t="n"/>
      <c r="L182" s="6" t="n"/>
      <c r="M182" s="6" t="n"/>
      <c r="N182" s="6" t="n"/>
      <c r="O182" s="6" t="n"/>
      <c r="P182" s="6" t="n"/>
      <c r="Q182" s="6" t="n"/>
      <c r="R182" s="6" t="n"/>
      <c r="S182" s="6" t="n"/>
      <c r="T182" s="6" t="n"/>
      <c r="U182" s="6" t="n"/>
      <c r="V182" s="6" t="n"/>
      <c r="W182" s="6" t="n"/>
      <c r="X182" s="6" t="n"/>
    </row>
    <row r="183" ht="16.5" customHeight="1" s="237">
      <c r="A183" s="6" t="n"/>
      <c r="B183" s="6" t="n"/>
      <c r="C183" s="12" t="n"/>
      <c r="D183" s="10" t="n"/>
      <c r="E183" s="10" t="n"/>
      <c r="F183" s="164" t="n"/>
      <c r="G183" s="288" t="n"/>
      <c r="H183" s="6" t="n"/>
      <c r="I183" s="6" t="n"/>
      <c r="J183" s="6" t="n"/>
      <c r="K183" s="6" t="n"/>
      <c r="L183" s="6" t="n"/>
      <c r="M183" s="6" t="n"/>
      <c r="N183" s="6" t="n"/>
      <c r="O183" s="6" t="n"/>
      <c r="P183" s="6" t="n"/>
      <c r="Q183" s="6" t="n"/>
      <c r="R183" s="6" t="n"/>
      <c r="S183" s="6" t="n"/>
      <c r="T183" s="6" t="n"/>
      <c r="U183" s="6" t="n"/>
      <c r="V183" s="6" t="n"/>
      <c r="W183" s="6" t="n"/>
      <c r="X183" s="6" t="n"/>
    </row>
    <row r="184" ht="16.5" customHeight="1" s="237">
      <c r="A184" s="6" t="n"/>
      <c r="B184" s="6" t="n"/>
      <c r="C184" s="12" t="n"/>
      <c r="D184" s="10" t="n"/>
      <c r="E184" s="10" t="n"/>
      <c r="F184" s="164" t="n"/>
      <c r="G184" s="288" t="n"/>
      <c r="H184" s="6" t="n"/>
      <c r="I184" s="6" t="n"/>
      <c r="J184" s="6" t="n"/>
      <c r="K184" s="6" t="n"/>
      <c r="L184" s="6" t="n"/>
      <c r="M184" s="6" t="n"/>
      <c r="N184" s="6" t="n"/>
      <c r="O184" s="6" t="n"/>
      <c r="P184" s="6" t="n"/>
      <c r="Q184" s="6" t="n"/>
      <c r="R184" s="6" t="n"/>
      <c r="S184" s="6" t="n"/>
      <c r="T184" s="6" t="n"/>
      <c r="U184" s="6" t="n"/>
      <c r="V184" s="6" t="n"/>
      <c r="W184" s="6" t="n"/>
      <c r="X184" s="6" t="n"/>
    </row>
    <row r="185" ht="16.5" customHeight="1" s="237">
      <c r="A185" s="6" t="n"/>
      <c r="B185" s="6" t="n"/>
      <c r="C185" s="12" t="n"/>
      <c r="D185" s="10" t="n"/>
      <c r="E185" s="10" t="n"/>
      <c r="F185" s="164" t="n"/>
      <c r="G185" s="288" t="n"/>
      <c r="H185" s="6" t="n"/>
      <c r="I185" s="6" t="n"/>
      <c r="J185" s="6" t="n"/>
      <c r="K185" s="6" t="n"/>
      <c r="L185" s="6" t="n"/>
      <c r="M185" s="6" t="n"/>
      <c r="N185" s="6" t="n"/>
      <c r="O185" s="6" t="n"/>
      <c r="P185" s="6" t="n"/>
      <c r="Q185" s="6" t="n"/>
      <c r="R185" s="6" t="n"/>
      <c r="S185" s="6" t="n"/>
      <c r="T185" s="6" t="n"/>
      <c r="U185" s="6" t="n"/>
      <c r="V185" s="6" t="n"/>
      <c r="W185" s="6" t="n"/>
      <c r="X185" s="6" t="n"/>
    </row>
    <row r="186" ht="16.5" customHeight="1" s="237">
      <c r="A186" s="6" t="n"/>
      <c r="B186" s="6" t="n"/>
      <c r="C186" s="12" t="n"/>
      <c r="D186" s="10" t="n"/>
      <c r="E186" s="10" t="n"/>
      <c r="F186" s="164" t="n"/>
      <c r="G186" s="288" t="n"/>
      <c r="H186" s="6" t="n"/>
      <c r="I186" s="6" t="n"/>
      <c r="J186" s="6" t="n"/>
      <c r="K186" s="6" t="n"/>
      <c r="L186" s="6" t="n"/>
      <c r="M186" s="6" t="n"/>
      <c r="N186" s="6" t="n"/>
      <c r="O186" s="6" t="n"/>
      <c r="P186" s="6" t="n"/>
      <c r="Q186" s="6" t="n"/>
      <c r="R186" s="6" t="n"/>
      <c r="S186" s="6" t="n"/>
      <c r="T186" s="6" t="n"/>
      <c r="U186" s="6" t="n"/>
      <c r="V186" s="6" t="n"/>
      <c r="W186" s="6" t="n"/>
      <c r="X186" s="6" t="n"/>
    </row>
    <row r="187" ht="16.5" customHeight="1" s="237">
      <c r="A187" s="6" t="n"/>
      <c r="B187" s="6" t="n"/>
      <c r="C187" s="12" t="n"/>
      <c r="D187" s="10" t="n"/>
      <c r="E187" s="10" t="n"/>
      <c r="F187" s="164" t="n"/>
      <c r="G187" s="288" t="n"/>
      <c r="H187" s="6" t="n"/>
      <c r="I187" s="6" t="n"/>
      <c r="J187" s="6" t="n"/>
      <c r="K187" s="6" t="n"/>
      <c r="L187" s="6" t="n"/>
      <c r="M187" s="6" t="n"/>
      <c r="N187" s="6" t="n"/>
      <c r="O187" s="6" t="n"/>
      <c r="P187" s="6" t="n"/>
      <c r="Q187" s="6" t="n"/>
      <c r="R187" s="6" t="n"/>
      <c r="S187" s="6" t="n"/>
      <c r="T187" s="6" t="n"/>
      <c r="U187" s="6" t="n"/>
      <c r="V187" s="6" t="n"/>
      <c r="W187" s="6" t="n"/>
      <c r="X187" s="6" t="n"/>
    </row>
    <row r="188" ht="16.5" customHeight="1" s="237">
      <c r="A188" s="6" t="n"/>
      <c r="B188" s="6" t="n"/>
      <c r="C188" s="12" t="n"/>
      <c r="D188" s="10" t="n"/>
      <c r="E188" s="10" t="n"/>
      <c r="F188" s="164" t="n"/>
      <c r="G188" s="288" t="n"/>
      <c r="H188" s="6" t="n"/>
      <c r="I188" s="6" t="n"/>
      <c r="J188" s="6" t="n"/>
      <c r="K188" s="6" t="n"/>
      <c r="L188" s="6" t="n"/>
      <c r="M188" s="6" t="n"/>
      <c r="N188" s="6" t="n"/>
      <c r="O188" s="6" t="n"/>
      <c r="P188" s="6" t="n"/>
      <c r="Q188" s="6" t="n"/>
      <c r="R188" s="6" t="n"/>
      <c r="S188" s="6" t="n"/>
      <c r="T188" s="6" t="n"/>
      <c r="U188" s="6" t="n"/>
      <c r="V188" s="6" t="n"/>
      <c r="W188" s="6" t="n"/>
      <c r="X188" s="6" t="n"/>
    </row>
    <row r="189" ht="16.5" customHeight="1" s="237">
      <c r="A189" s="6" t="n"/>
      <c r="B189" s="6" t="n"/>
      <c r="C189" s="12" t="n"/>
      <c r="D189" s="10" t="n"/>
      <c r="E189" s="10" t="n"/>
      <c r="F189" s="164" t="n"/>
      <c r="G189" s="288" t="n"/>
      <c r="H189" s="6" t="n"/>
      <c r="I189" s="6" t="n"/>
      <c r="J189" s="6" t="n"/>
      <c r="K189" s="6" t="n"/>
      <c r="L189" s="6" t="n"/>
      <c r="M189" s="6" t="n"/>
      <c r="N189" s="6" t="n"/>
      <c r="O189" s="6" t="n"/>
      <c r="P189" s="6" t="n"/>
      <c r="Q189" s="6" t="n"/>
      <c r="R189" s="6" t="n"/>
      <c r="S189" s="6" t="n"/>
      <c r="T189" s="6" t="n"/>
      <c r="U189" s="6" t="n"/>
      <c r="V189" s="6" t="n"/>
      <c r="W189" s="6" t="n"/>
      <c r="X189" s="6" t="n"/>
    </row>
    <row r="190" ht="16.5" customHeight="1" s="237">
      <c r="A190" s="6" t="n"/>
      <c r="B190" s="6" t="n"/>
      <c r="C190" s="12" t="n"/>
      <c r="D190" s="10" t="n"/>
      <c r="E190" s="10" t="n"/>
      <c r="F190" s="164" t="n"/>
      <c r="G190" s="288" t="n"/>
      <c r="H190" s="6" t="n"/>
      <c r="I190" s="6" t="n"/>
      <c r="J190" s="6" t="n"/>
      <c r="K190" s="6" t="n"/>
      <c r="L190" s="6" t="n"/>
      <c r="M190" s="6" t="n"/>
      <c r="N190" s="6" t="n"/>
      <c r="O190" s="6" t="n"/>
      <c r="P190" s="6" t="n"/>
      <c r="Q190" s="6" t="n"/>
      <c r="R190" s="6" t="n"/>
      <c r="S190" s="6" t="n"/>
      <c r="T190" s="6" t="n"/>
      <c r="U190" s="6" t="n"/>
      <c r="V190" s="6" t="n"/>
      <c r="W190" s="6" t="n"/>
      <c r="X190" s="6" t="n"/>
    </row>
    <row r="191" ht="16.5" customHeight="1" s="237">
      <c r="A191" s="6" t="n"/>
      <c r="B191" s="6" t="n"/>
      <c r="C191" s="12" t="n"/>
      <c r="D191" s="10" t="n"/>
      <c r="E191" s="10" t="n"/>
      <c r="F191" s="164" t="n"/>
      <c r="G191" s="288" t="n"/>
      <c r="H191" s="6" t="n"/>
      <c r="I191" s="6" t="n"/>
      <c r="J191" s="6" t="n"/>
      <c r="K191" s="6" t="n"/>
      <c r="L191" s="6" t="n"/>
      <c r="M191" s="6" t="n"/>
      <c r="N191" s="6" t="n"/>
      <c r="O191" s="6" t="n"/>
      <c r="P191" s="6" t="n"/>
      <c r="Q191" s="6" t="n"/>
      <c r="R191" s="6" t="n"/>
      <c r="S191" s="6" t="n"/>
      <c r="T191" s="6" t="n"/>
      <c r="U191" s="6" t="n"/>
      <c r="V191" s="6" t="n"/>
      <c r="W191" s="6" t="n"/>
      <c r="X191" s="6" t="n"/>
    </row>
    <row r="192" ht="16.5" customHeight="1" s="237">
      <c r="A192" s="6" t="n"/>
      <c r="B192" s="6" t="n"/>
      <c r="C192" s="12" t="n"/>
      <c r="D192" s="10" t="n"/>
      <c r="E192" s="10" t="n"/>
      <c r="F192" s="164" t="n"/>
      <c r="G192" s="288" t="n"/>
      <c r="H192" s="6" t="n"/>
      <c r="I192" s="6" t="n"/>
      <c r="J192" s="6" t="n"/>
      <c r="K192" s="6" t="n"/>
      <c r="L192" s="6" t="n"/>
      <c r="M192" s="6" t="n"/>
      <c r="N192" s="6" t="n"/>
      <c r="O192" s="6" t="n"/>
      <c r="P192" s="6" t="n"/>
      <c r="Q192" s="6" t="n"/>
      <c r="R192" s="6" t="n"/>
      <c r="S192" s="6" t="n"/>
      <c r="T192" s="6" t="n"/>
      <c r="U192" s="6" t="n"/>
      <c r="V192" s="6" t="n"/>
      <c r="W192" s="6" t="n"/>
      <c r="X192" s="6" t="n"/>
    </row>
    <row r="193" ht="16.5" customHeight="1" s="237">
      <c r="A193" s="6" t="n"/>
      <c r="B193" s="6" t="n"/>
      <c r="C193" s="12" t="n"/>
      <c r="D193" s="10" t="n"/>
      <c r="E193" s="10" t="n"/>
      <c r="F193" s="164" t="n"/>
      <c r="G193" s="288" t="n"/>
      <c r="H193" s="6" t="n"/>
      <c r="I193" s="6" t="n"/>
      <c r="J193" s="6" t="n"/>
      <c r="K193" s="6" t="n"/>
      <c r="L193" s="6" t="n"/>
      <c r="M193" s="6" t="n"/>
      <c r="N193" s="6" t="n"/>
      <c r="O193" s="6" t="n"/>
      <c r="P193" s="6" t="n"/>
      <c r="Q193" s="6" t="n"/>
      <c r="R193" s="6" t="n"/>
      <c r="S193" s="6" t="n"/>
      <c r="T193" s="6" t="n"/>
      <c r="U193" s="6" t="n"/>
      <c r="V193" s="6" t="n"/>
      <c r="W193" s="6" t="n"/>
      <c r="X193" s="6" t="n"/>
    </row>
    <row r="194" ht="16.5" customHeight="1" s="237">
      <c r="A194" s="6" t="n"/>
      <c r="B194" s="6" t="n"/>
      <c r="C194" s="12" t="n"/>
      <c r="D194" s="10" t="n"/>
      <c r="E194" s="10" t="n"/>
      <c r="F194" s="164" t="n"/>
      <c r="G194" s="288" t="n"/>
      <c r="H194" s="6" t="n"/>
      <c r="I194" s="6" t="n"/>
      <c r="J194" s="6" t="n"/>
      <c r="K194" s="6" t="n"/>
      <c r="L194" s="6" t="n"/>
      <c r="M194" s="6" t="n"/>
      <c r="N194" s="6" t="n"/>
      <c r="O194" s="6" t="n"/>
      <c r="P194" s="6" t="n"/>
      <c r="Q194" s="6" t="n"/>
      <c r="R194" s="6" t="n"/>
      <c r="S194" s="6" t="n"/>
      <c r="T194" s="6" t="n"/>
      <c r="U194" s="6" t="n"/>
      <c r="V194" s="6" t="n"/>
      <c r="W194" s="6" t="n"/>
      <c r="X194" s="6" t="n"/>
    </row>
    <row r="195" ht="16.5" customHeight="1" s="237">
      <c r="A195" s="6" t="n"/>
      <c r="B195" s="6" t="n"/>
      <c r="C195" s="12" t="n"/>
      <c r="D195" s="10" t="n"/>
      <c r="E195" s="10" t="n"/>
      <c r="F195" s="164" t="n"/>
      <c r="G195" s="288" t="n"/>
      <c r="H195" s="6" t="n"/>
      <c r="I195" s="6" t="n"/>
      <c r="J195" s="6" t="n"/>
      <c r="K195" s="6" t="n"/>
      <c r="L195" s="6" t="n"/>
      <c r="M195" s="6" t="n"/>
      <c r="N195" s="6" t="n"/>
      <c r="O195" s="6" t="n"/>
      <c r="P195" s="6" t="n"/>
      <c r="Q195" s="6" t="n"/>
      <c r="R195" s="6" t="n"/>
      <c r="S195" s="6" t="n"/>
      <c r="T195" s="6" t="n"/>
      <c r="U195" s="6" t="n"/>
      <c r="V195" s="6" t="n"/>
      <c r="W195" s="6" t="n"/>
      <c r="X195" s="6" t="n"/>
    </row>
    <row r="196" ht="16.5" customHeight="1" s="237">
      <c r="A196" s="6" t="n"/>
      <c r="B196" s="6" t="n"/>
      <c r="C196" s="12" t="n"/>
      <c r="D196" s="10" t="n"/>
      <c r="E196" s="10" t="n"/>
      <c r="F196" s="164" t="n"/>
      <c r="G196" s="288" t="n"/>
      <c r="H196" s="6" t="n"/>
      <c r="I196" s="6" t="n"/>
      <c r="J196" s="6" t="n"/>
      <c r="K196" s="6" t="n"/>
      <c r="L196" s="6" t="n"/>
      <c r="M196" s="6" t="n"/>
      <c r="N196" s="6" t="n"/>
      <c r="O196" s="6" t="n"/>
      <c r="P196" s="6" t="n"/>
      <c r="Q196" s="6" t="n"/>
      <c r="R196" s="6" t="n"/>
      <c r="S196" s="6" t="n"/>
      <c r="T196" s="6" t="n"/>
      <c r="U196" s="6" t="n"/>
      <c r="V196" s="6" t="n"/>
      <c r="W196" s="6" t="n"/>
      <c r="X196" s="6" t="n"/>
    </row>
    <row r="197" ht="16.5" customHeight="1" s="237">
      <c r="A197" s="6" t="n"/>
      <c r="B197" s="6" t="n"/>
      <c r="C197" s="12" t="n"/>
      <c r="D197" s="10" t="n"/>
      <c r="E197" s="10" t="n"/>
      <c r="F197" s="164" t="n"/>
      <c r="G197" s="288" t="n"/>
      <c r="H197" s="6" t="n"/>
      <c r="I197" s="6" t="n"/>
      <c r="J197" s="6" t="n"/>
      <c r="K197" s="6" t="n"/>
      <c r="L197" s="6" t="n"/>
      <c r="M197" s="6" t="n"/>
      <c r="N197" s="6" t="n"/>
      <c r="O197" s="6" t="n"/>
      <c r="P197" s="6" t="n"/>
      <c r="Q197" s="6" t="n"/>
      <c r="R197" s="6" t="n"/>
      <c r="S197" s="6" t="n"/>
      <c r="T197" s="6" t="n"/>
      <c r="U197" s="6" t="n"/>
      <c r="V197" s="6" t="n"/>
      <c r="W197" s="6" t="n"/>
      <c r="X197" s="6" t="n"/>
    </row>
    <row r="198" ht="16.5" customHeight="1" s="237">
      <c r="A198" s="6" t="n"/>
      <c r="B198" s="6" t="n"/>
      <c r="C198" s="12" t="n"/>
      <c r="D198" s="10" t="n"/>
      <c r="E198" s="10" t="n"/>
      <c r="F198" s="164" t="n"/>
      <c r="G198" s="288" t="n"/>
      <c r="H198" s="6" t="n"/>
      <c r="I198" s="6" t="n"/>
      <c r="J198" s="6" t="n"/>
      <c r="K198" s="6" t="n"/>
      <c r="L198" s="6" t="n"/>
      <c r="M198" s="6" t="n"/>
      <c r="N198" s="6" t="n"/>
      <c r="O198" s="6" t="n"/>
      <c r="P198" s="6" t="n"/>
      <c r="Q198" s="6" t="n"/>
      <c r="R198" s="6" t="n"/>
      <c r="S198" s="6" t="n"/>
      <c r="T198" s="6" t="n"/>
      <c r="U198" s="6" t="n"/>
      <c r="V198" s="6" t="n"/>
      <c r="W198" s="6" t="n"/>
      <c r="X198" s="6" t="n"/>
    </row>
    <row r="199" ht="16.5" customHeight="1" s="237">
      <c r="A199" s="6" t="n"/>
      <c r="B199" s="6" t="n"/>
      <c r="C199" s="12" t="n"/>
      <c r="D199" s="10" t="n"/>
      <c r="E199" s="10" t="n"/>
      <c r="F199" s="164" t="n"/>
      <c r="G199" s="288" t="n"/>
      <c r="H199" s="6" t="n"/>
      <c r="I199" s="6" t="n"/>
      <c r="J199" s="6" t="n"/>
      <c r="K199" s="6" t="n"/>
      <c r="L199" s="6" t="n"/>
      <c r="M199" s="6" t="n"/>
      <c r="N199" s="6" t="n"/>
      <c r="O199" s="6" t="n"/>
      <c r="P199" s="6" t="n"/>
      <c r="Q199" s="6" t="n"/>
      <c r="R199" s="6" t="n"/>
      <c r="S199" s="6" t="n"/>
      <c r="T199" s="6" t="n"/>
      <c r="U199" s="6" t="n"/>
      <c r="V199" s="6" t="n"/>
      <c r="W199" s="6" t="n"/>
      <c r="X199" s="6" t="n"/>
    </row>
    <row r="200" ht="16.5" customHeight="1" s="237">
      <c r="A200" s="6" t="n"/>
      <c r="B200" s="6" t="n"/>
      <c r="C200" s="12" t="n"/>
      <c r="D200" s="10" t="n"/>
      <c r="E200" s="10" t="n"/>
      <c r="F200" s="164" t="n"/>
      <c r="G200" s="288" t="n"/>
      <c r="H200" s="6" t="n"/>
      <c r="I200" s="6" t="n"/>
      <c r="J200" s="6" t="n"/>
      <c r="K200" s="6" t="n"/>
      <c r="L200" s="6" t="n"/>
      <c r="M200" s="6" t="n"/>
      <c r="N200" s="6" t="n"/>
      <c r="O200" s="6" t="n"/>
      <c r="P200" s="6" t="n"/>
      <c r="Q200" s="6" t="n"/>
      <c r="R200" s="6" t="n"/>
      <c r="S200" s="6" t="n"/>
      <c r="T200" s="6" t="n"/>
      <c r="U200" s="6" t="n"/>
      <c r="V200" s="6" t="n"/>
      <c r="W200" s="6" t="n"/>
      <c r="X200" s="6" t="n"/>
    </row>
    <row r="201" ht="16.5" customHeight="1" s="237">
      <c r="A201" s="6" t="n"/>
      <c r="B201" s="6" t="n"/>
      <c r="C201" s="12" t="n"/>
      <c r="D201" s="10" t="n"/>
      <c r="E201" s="10" t="n"/>
      <c r="F201" s="164" t="n"/>
      <c r="G201" s="288" t="n"/>
      <c r="H201" s="6" t="n"/>
      <c r="I201" s="6" t="n"/>
      <c r="J201" s="6" t="n"/>
      <c r="K201" s="6" t="n"/>
      <c r="L201" s="6" t="n"/>
      <c r="M201" s="6" t="n"/>
      <c r="N201" s="6" t="n"/>
      <c r="O201" s="6" t="n"/>
      <c r="P201" s="6" t="n"/>
      <c r="Q201" s="6" t="n"/>
      <c r="R201" s="6" t="n"/>
      <c r="S201" s="6" t="n"/>
      <c r="T201" s="6" t="n"/>
      <c r="U201" s="6" t="n"/>
      <c r="V201" s="6" t="n"/>
      <c r="W201" s="6" t="n"/>
      <c r="X201" s="6" t="n"/>
    </row>
    <row r="202" ht="16.5" customHeight="1" s="237">
      <c r="A202" s="6" t="n"/>
      <c r="B202" s="6" t="n"/>
      <c r="C202" s="12" t="n"/>
      <c r="D202" s="10" t="n"/>
      <c r="E202" s="10" t="n"/>
      <c r="F202" s="164" t="n"/>
      <c r="G202" s="288" t="n"/>
      <c r="H202" s="6" t="n"/>
      <c r="I202" s="6" t="n"/>
      <c r="J202" s="6" t="n"/>
      <c r="K202" s="6" t="n"/>
      <c r="L202" s="6" t="n"/>
      <c r="M202" s="6" t="n"/>
      <c r="N202" s="6" t="n"/>
      <c r="O202" s="6" t="n"/>
      <c r="P202" s="6" t="n"/>
      <c r="Q202" s="6" t="n"/>
      <c r="R202" s="6" t="n"/>
      <c r="S202" s="6" t="n"/>
      <c r="T202" s="6" t="n"/>
      <c r="U202" s="6" t="n"/>
      <c r="V202" s="6" t="n"/>
      <c r="W202" s="6" t="n"/>
      <c r="X202" s="6" t="n"/>
    </row>
    <row r="203" ht="16.5" customHeight="1" s="237">
      <c r="A203" s="6" t="n"/>
      <c r="B203" s="6" t="n"/>
      <c r="C203" s="12" t="n"/>
      <c r="D203" s="10" t="n"/>
      <c r="E203" s="10" t="n"/>
      <c r="F203" s="164" t="n"/>
      <c r="G203" s="288" t="n"/>
      <c r="H203" s="6" t="n"/>
      <c r="I203" s="6" t="n"/>
      <c r="J203" s="6" t="n"/>
      <c r="K203" s="6" t="n"/>
      <c r="L203" s="6" t="n"/>
      <c r="M203" s="6" t="n"/>
      <c r="N203" s="6" t="n"/>
      <c r="O203" s="6" t="n"/>
      <c r="P203" s="6" t="n"/>
      <c r="Q203" s="6" t="n"/>
      <c r="R203" s="6" t="n"/>
      <c r="S203" s="6" t="n"/>
      <c r="T203" s="6" t="n"/>
      <c r="U203" s="6" t="n"/>
      <c r="V203" s="6" t="n"/>
      <c r="W203" s="6" t="n"/>
      <c r="X203" s="6" t="n"/>
    </row>
    <row r="204" ht="16.5" customHeight="1" s="237">
      <c r="A204" s="6" t="n"/>
      <c r="B204" s="6" t="n"/>
      <c r="C204" s="12" t="n"/>
      <c r="D204" s="10" t="n"/>
      <c r="E204" s="10" t="n"/>
      <c r="F204" s="164" t="n"/>
      <c r="G204" s="288" t="n"/>
      <c r="H204" s="6" t="n"/>
      <c r="I204" s="6" t="n"/>
      <c r="J204" s="6" t="n"/>
      <c r="K204" s="6" t="n"/>
      <c r="L204" s="6" t="n"/>
      <c r="M204" s="6" t="n"/>
      <c r="N204" s="6" t="n"/>
      <c r="O204" s="6" t="n"/>
      <c r="P204" s="6" t="n"/>
      <c r="Q204" s="6" t="n"/>
      <c r="R204" s="6" t="n"/>
      <c r="S204" s="6" t="n"/>
      <c r="T204" s="6" t="n"/>
      <c r="U204" s="6" t="n"/>
      <c r="V204" s="6" t="n"/>
      <c r="W204" s="6" t="n"/>
      <c r="X204" s="6" t="n"/>
    </row>
    <row r="205" ht="16.5" customHeight="1" s="237">
      <c r="A205" s="6" t="n"/>
      <c r="B205" s="6" t="n"/>
      <c r="C205" s="12" t="n"/>
      <c r="D205" s="10" t="n"/>
      <c r="E205" s="10" t="n"/>
      <c r="F205" s="164" t="n"/>
      <c r="G205" s="288" t="n"/>
      <c r="H205" s="6" t="n"/>
      <c r="I205" s="6" t="n"/>
      <c r="J205" s="6" t="n"/>
      <c r="K205" s="6" t="n"/>
      <c r="L205" s="6" t="n"/>
      <c r="M205" s="6" t="n"/>
      <c r="N205" s="6" t="n"/>
      <c r="O205" s="6" t="n"/>
      <c r="P205" s="6" t="n"/>
      <c r="Q205" s="6" t="n"/>
      <c r="R205" s="6" t="n"/>
      <c r="S205" s="6" t="n"/>
      <c r="T205" s="6" t="n"/>
      <c r="U205" s="6" t="n"/>
      <c r="V205" s="6" t="n"/>
      <c r="W205" s="6" t="n"/>
      <c r="X205" s="6" t="n"/>
    </row>
    <row r="206" ht="16.5" customHeight="1" s="237">
      <c r="A206" s="6" t="n"/>
      <c r="B206" s="6" t="n"/>
      <c r="C206" s="12" t="n"/>
      <c r="D206" s="10" t="n"/>
      <c r="E206" s="10" t="n"/>
      <c r="F206" s="164" t="n"/>
      <c r="G206" s="288" t="n"/>
      <c r="H206" s="6" t="n"/>
      <c r="I206" s="6" t="n"/>
      <c r="J206" s="6" t="n"/>
      <c r="K206" s="6" t="n"/>
      <c r="L206" s="6" t="n"/>
      <c r="M206" s="6" t="n"/>
      <c r="N206" s="6" t="n"/>
      <c r="O206" s="6" t="n"/>
      <c r="P206" s="6" t="n"/>
      <c r="Q206" s="6" t="n"/>
      <c r="R206" s="6" t="n"/>
      <c r="S206" s="6" t="n"/>
      <c r="T206" s="6" t="n"/>
      <c r="U206" s="6" t="n"/>
      <c r="V206" s="6" t="n"/>
      <c r="W206" s="6" t="n"/>
      <c r="X206" s="6" t="n"/>
    </row>
    <row r="207" ht="16.5" customHeight="1" s="237">
      <c r="A207" s="6" t="n"/>
      <c r="B207" s="6" t="n"/>
      <c r="C207" s="12" t="n"/>
      <c r="D207" s="10" t="n"/>
      <c r="E207" s="10" t="n"/>
      <c r="F207" s="164" t="n"/>
      <c r="G207" s="288" t="n"/>
      <c r="H207" s="6" t="n"/>
      <c r="I207" s="6" t="n"/>
      <c r="J207" s="6" t="n"/>
      <c r="K207" s="6" t="n"/>
      <c r="L207" s="6" t="n"/>
      <c r="M207" s="6" t="n"/>
      <c r="N207" s="6" t="n"/>
      <c r="O207" s="6" t="n"/>
      <c r="P207" s="6" t="n"/>
      <c r="Q207" s="6" t="n"/>
      <c r="R207" s="6" t="n"/>
      <c r="S207" s="6" t="n"/>
      <c r="T207" s="6" t="n"/>
      <c r="U207" s="6" t="n"/>
      <c r="V207" s="6" t="n"/>
      <c r="W207" s="6" t="n"/>
      <c r="X207" s="6" t="n"/>
    </row>
    <row r="208" ht="16.5" customHeight="1" s="237">
      <c r="A208" s="6" t="n"/>
      <c r="B208" s="6" t="n"/>
      <c r="C208" s="12" t="n"/>
      <c r="D208" s="10" t="n"/>
      <c r="E208" s="10" t="n"/>
      <c r="F208" s="164" t="n"/>
      <c r="G208" s="288" t="n"/>
      <c r="H208" s="6" t="n"/>
      <c r="I208" s="6" t="n"/>
      <c r="J208" s="6" t="n"/>
      <c r="K208" s="6" t="n"/>
      <c r="L208" s="6" t="n"/>
      <c r="M208" s="6" t="n"/>
      <c r="N208" s="6" t="n"/>
      <c r="O208" s="6" t="n"/>
      <c r="P208" s="6" t="n"/>
      <c r="Q208" s="6" t="n"/>
      <c r="R208" s="6" t="n"/>
      <c r="S208" s="6" t="n"/>
      <c r="T208" s="6" t="n"/>
      <c r="U208" s="6" t="n"/>
      <c r="V208" s="6" t="n"/>
      <c r="W208" s="6" t="n"/>
      <c r="X208" s="6" t="n"/>
    </row>
    <row r="209" ht="16.5" customHeight="1" s="237">
      <c r="A209" s="6" t="n"/>
      <c r="B209" s="6" t="n"/>
      <c r="C209" s="12" t="n"/>
      <c r="D209" s="10" t="n"/>
      <c r="E209" s="10" t="n"/>
      <c r="F209" s="164" t="n"/>
      <c r="G209" s="288" t="n"/>
      <c r="H209" s="6" t="n"/>
      <c r="I209" s="6" t="n"/>
      <c r="J209" s="6" t="n"/>
      <c r="K209" s="6" t="n"/>
      <c r="L209" s="6" t="n"/>
      <c r="M209" s="6" t="n"/>
      <c r="N209" s="6" t="n"/>
      <c r="O209" s="6" t="n"/>
      <c r="P209" s="6" t="n"/>
      <c r="Q209" s="6" t="n"/>
      <c r="R209" s="6" t="n"/>
      <c r="S209" s="6" t="n"/>
      <c r="T209" s="6" t="n"/>
      <c r="U209" s="6" t="n"/>
      <c r="V209" s="6" t="n"/>
      <c r="W209" s="6" t="n"/>
      <c r="X209" s="6" t="n"/>
    </row>
    <row r="210" ht="16.5" customHeight="1" s="237">
      <c r="A210" s="6" t="n"/>
      <c r="B210" s="6" t="n"/>
      <c r="C210" s="12" t="n"/>
      <c r="D210" s="10" t="n"/>
      <c r="E210" s="10" t="n"/>
      <c r="F210" s="164" t="n"/>
      <c r="G210" s="288" t="n"/>
      <c r="H210" s="6" t="n"/>
      <c r="I210" s="6" t="n"/>
      <c r="J210" s="6" t="n"/>
      <c r="K210" s="6" t="n"/>
      <c r="L210" s="6" t="n"/>
      <c r="M210" s="6" t="n"/>
      <c r="N210" s="6" t="n"/>
      <c r="O210" s="6" t="n"/>
      <c r="P210" s="6" t="n"/>
      <c r="Q210" s="6" t="n"/>
      <c r="R210" s="6" t="n"/>
      <c r="S210" s="6" t="n"/>
      <c r="T210" s="6" t="n"/>
      <c r="U210" s="6" t="n"/>
      <c r="V210" s="6" t="n"/>
      <c r="W210" s="6" t="n"/>
      <c r="X210" s="6" t="n"/>
    </row>
    <row r="211" ht="16.5" customHeight="1" s="237">
      <c r="A211" s="6" t="n"/>
      <c r="B211" s="6" t="n"/>
      <c r="C211" s="12" t="n"/>
      <c r="D211" s="10" t="n"/>
      <c r="E211" s="10" t="n"/>
      <c r="F211" s="164" t="n"/>
      <c r="G211" s="288" t="n"/>
      <c r="H211" s="6" t="n"/>
      <c r="I211" s="6" t="n"/>
      <c r="J211" s="6" t="n"/>
      <c r="K211" s="6" t="n"/>
      <c r="L211" s="6" t="n"/>
      <c r="M211" s="6" t="n"/>
      <c r="N211" s="6" t="n"/>
      <c r="O211" s="6" t="n"/>
      <c r="P211" s="6" t="n"/>
      <c r="Q211" s="6" t="n"/>
      <c r="R211" s="6" t="n"/>
      <c r="S211" s="6" t="n"/>
      <c r="T211" s="6" t="n"/>
      <c r="U211" s="6" t="n"/>
      <c r="V211" s="6" t="n"/>
      <c r="W211" s="6" t="n"/>
      <c r="X211" s="6" t="n"/>
    </row>
    <row r="212" ht="16.5" customHeight="1" s="237">
      <c r="A212" s="6" t="n"/>
      <c r="B212" s="6" t="n"/>
      <c r="C212" s="12" t="n"/>
      <c r="D212" s="10" t="n"/>
      <c r="E212" s="10" t="n"/>
      <c r="F212" s="164" t="n"/>
      <c r="G212" s="288" t="n"/>
      <c r="H212" s="6" t="n"/>
      <c r="I212" s="6" t="n"/>
      <c r="J212" s="6" t="n"/>
      <c r="K212" s="6" t="n"/>
      <c r="L212" s="6" t="n"/>
      <c r="M212" s="6" t="n"/>
      <c r="N212" s="6" t="n"/>
      <c r="O212" s="6" t="n"/>
      <c r="P212" s="6" t="n"/>
      <c r="Q212" s="6" t="n"/>
      <c r="R212" s="6" t="n"/>
      <c r="S212" s="6" t="n"/>
      <c r="T212" s="6" t="n"/>
      <c r="U212" s="6" t="n"/>
      <c r="V212" s="6" t="n"/>
      <c r="W212" s="6" t="n"/>
      <c r="X212" s="6" t="n"/>
    </row>
    <row r="213" ht="16.5" customHeight="1" s="237">
      <c r="A213" s="6" t="n"/>
      <c r="B213" s="6" t="n"/>
      <c r="C213" s="12" t="n"/>
      <c r="D213" s="10" t="n"/>
      <c r="E213" s="10" t="n"/>
      <c r="F213" s="164" t="n"/>
      <c r="G213" s="288" t="n"/>
      <c r="H213" s="6" t="n"/>
      <c r="I213" s="6" t="n"/>
      <c r="J213" s="6" t="n"/>
      <c r="K213" s="6" t="n"/>
      <c r="L213" s="6" t="n"/>
      <c r="M213" s="6" t="n"/>
      <c r="N213" s="6" t="n"/>
      <c r="O213" s="6" t="n"/>
      <c r="P213" s="6" t="n"/>
      <c r="Q213" s="6" t="n"/>
      <c r="R213" s="6" t="n"/>
      <c r="S213" s="6" t="n"/>
      <c r="T213" s="6" t="n"/>
      <c r="U213" s="6" t="n"/>
      <c r="V213" s="6" t="n"/>
      <c r="W213" s="6" t="n"/>
      <c r="X213" s="6" t="n"/>
    </row>
    <row r="214" ht="16.5" customHeight="1" s="237">
      <c r="A214" s="6" t="n"/>
      <c r="B214" s="6" t="n"/>
      <c r="C214" s="12" t="n"/>
      <c r="D214" s="10" t="n"/>
      <c r="E214" s="10" t="n"/>
      <c r="F214" s="164" t="n"/>
      <c r="G214" s="288" t="n"/>
      <c r="H214" s="6" t="n"/>
      <c r="I214" s="6" t="n"/>
      <c r="J214" s="6" t="n"/>
      <c r="K214" s="6" t="n"/>
      <c r="L214" s="6" t="n"/>
      <c r="M214" s="6" t="n"/>
      <c r="N214" s="6" t="n"/>
      <c r="O214" s="6" t="n"/>
      <c r="P214" s="6" t="n"/>
      <c r="Q214" s="6" t="n"/>
      <c r="R214" s="6" t="n"/>
      <c r="S214" s="6" t="n"/>
      <c r="T214" s="6" t="n"/>
      <c r="U214" s="6" t="n"/>
      <c r="V214" s="6" t="n"/>
      <c r="W214" s="6" t="n"/>
      <c r="X214" s="6" t="n"/>
    </row>
    <row r="215" ht="16.5" customHeight="1" s="237">
      <c r="A215" s="6" t="n"/>
      <c r="B215" s="6" t="n"/>
      <c r="C215" s="12" t="n"/>
      <c r="D215" s="10" t="n"/>
      <c r="E215" s="10" t="n"/>
      <c r="F215" s="164" t="n"/>
      <c r="G215" s="288" t="n"/>
      <c r="H215" s="6" t="n"/>
      <c r="I215" s="6" t="n"/>
      <c r="J215" s="6" t="n"/>
      <c r="K215" s="6" t="n"/>
      <c r="L215" s="6" t="n"/>
      <c r="M215" s="6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W215" s="6" t="n"/>
      <c r="X215" s="6" t="n"/>
    </row>
    <row r="216" ht="16.5" customHeight="1" s="237">
      <c r="A216" s="6" t="n"/>
      <c r="B216" s="6" t="n"/>
      <c r="C216" s="12" t="n"/>
      <c r="D216" s="10" t="n"/>
      <c r="E216" s="10" t="n"/>
      <c r="F216" s="164" t="n"/>
      <c r="G216" s="288" t="n"/>
      <c r="H216" s="6" t="n"/>
      <c r="I216" s="6" t="n"/>
      <c r="J216" s="6" t="n"/>
      <c r="K216" s="6" t="n"/>
      <c r="L216" s="6" t="n"/>
      <c r="M216" s="6" t="n"/>
      <c r="N216" s="6" t="n"/>
      <c r="O216" s="6" t="n"/>
      <c r="P216" s="6" t="n"/>
      <c r="Q216" s="6" t="n"/>
      <c r="R216" s="6" t="n"/>
      <c r="S216" s="6" t="n"/>
      <c r="T216" s="6" t="n"/>
      <c r="U216" s="6" t="n"/>
      <c r="V216" s="6" t="n"/>
      <c r="W216" s="6" t="n"/>
      <c r="X216" s="6" t="n"/>
    </row>
    <row r="217" ht="16.5" customHeight="1" s="237">
      <c r="A217" s="6" t="n"/>
      <c r="B217" s="6" t="n"/>
      <c r="C217" s="12" t="n"/>
      <c r="D217" s="10" t="n"/>
      <c r="E217" s="10" t="n"/>
      <c r="F217" s="164" t="n"/>
      <c r="G217" s="288" t="n"/>
      <c r="H217" s="6" t="n"/>
      <c r="I217" s="6" t="n"/>
      <c r="J217" s="6" t="n"/>
      <c r="K217" s="6" t="n"/>
      <c r="L217" s="6" t="n"/>
      <c r="M217" s="6" t="n"/>
      <c r="N217" s="6" t="n"/>
      <c r="O217" s="6" t="n"/>
      <c r="P217" s="6" t="n"/>
      <c r="Q217" s="6" t="n"/>
      <c r="R217" s="6" t="n"/>
      <c r="S217" s="6" t="n"/>
      <c r="T217" s="6" t="n"/>
      <c r="U217" s="6" t="n"/>
      <c r="V217" s="6" t="n"/>
      <c r="W217" s="6" t="n"/>
      <c r="X217" s="6" t="n"/>
    </row>
    <row r="218" ht="16.5" customHeight="1" s="237">
      <c r="A218" s="6" t="n"/>
      <c r="B218" s="6" t="n"/>
      <c r="C218" s="12" t="n"/>
      <c r="D218" s="10" t="n"/>
      <c r="E218" s="10" t="n"/>
      <c r="F218" s="164" t="n"/>
      <c r="G218" s="288" t="n"/>
      <c r="H218" s="6" t="n"/>
      <c r="I218" s="6" t="n"/>
      <c r="J218" s="6" t="n"/>
      <c r="K218" s="6" t="n"/>
      <c r="L218" s="6" t="n"/>
      <c r="M218" s="6" t="n"/>
      <c r="N218" s="6" t="n"/>
      <c r="O218" s="6" t="n"/>
      <c r="P218" s="6" t="n"/>
      <c r="Q218" s="6" t="n"/>
      <c r="R218" s="6" t="n"/>
      <c r="S218" s="6" t="n"/>
      <c r="T218" s="6" t="n"/>
      <c r="U218" s="6" t="n"/>
      <c r="V218" s="6" t="n"/>
      <c r="W218" s="6" t="n"/>
      <c r="X218" s="6" t="n"/>
    </row>
    <row r="219" ht="16.5" customHeight="1" s="237">
      <c r="A219" s="6" t="n"/>
      <c r="B219" s="6" t="n"/>
      <c r="C219" s="12" t="n"/>
      <c r="D219" s="10" t="n"/>
      <c r="E219" s="10" t="n"/>
      <c r="F219" s="164" t="n"/>
      <c r="G219" s="288" t="n"/>
      <c r="H219" s="6" t="n"/>
      <c r="I219" s="6" t="n"/>
      <c r="J219" s="6" t="n"/>
      <c r="K219" s="6" t="n"/>
      <c r="L219" s="6" t="n"/>
      <c r="M219" s="6" t="n"/>
      <c r="N219" s="6" t="n"/>
      <c r="O219" s="6" t="n"/>
      <c r="P219" s="6" t="n"/>
      <c r="Q219" s="6" t="n"/>
      <c r="R219" s="6" t="n"/>
      <c r="S219" s="6" t="n"/>
      <c r="T219" s="6" t="n"/>
      <c r="U219" s="6" t="n"/>
      <c r="V219" s="6" t="n"/>
      <c r="W219" s="6" t="n"/>
      <c r="X219" s="6" t="n"/>
    </row>
    <row r="220" ht="16.5" customHeight="1" s="237">
      <c r="A220" s="6" t="n"/>
      <c r="B220" s="6" t="n"/>
      <c r="C220" s="12" t="n"/>
      <c r="D220" s="10" t="n"/>
      <c r="E220" s="10" t="n"/>
      <c r="F220" s="164" t="n"/>
      <c r="G220" s="288" t="n"/>
      <c r="H220" s="6" t="n"/>
      <c r="I220" s="6" t="n"/>
      <c r="J220" s="6" t="n"/>
      <c r="K220" s="6" t="n"/>
      <c r="L220" s="6" t="n"/>
      <c r="M220" s="6" t="n"/>
      <c r="N220" s="6" t="n"/>
      <c r="O220" s="6" t="n"/>
      <c r="P220" s="6" t="n"/>
      <c r="Q220" s="6" t="n"/>
      <c r="R220" s="6" t="n"/>
      <c r="S220" s="6" t="n"/>
      <c r="T220" s="6" t="n"/>
      <c r="U220" s="6" t="n"/>
      <c r="V220" s="6" t="n"/>
      <c r="W220" s="6" t="n"/>
      <c r="X220" s="6" t="n"/>
    </row>
    <row r="221" ht="16.5" customHeight="1" s="237">
      <c r="A221" s="6" t="n"/>
      <c r="B221" s="6" t="n"/>
      <c r="C221" s="12" t="n"/>
      <c r="D221" s="10" t="n"/>
      <c r="E221" s="10" t="n"/>
      <c r="F221" s="164" t="n"/>
      <c r="G221" s="288" t="n"/>
      <c r="H221" s="6" t="n"/>
      <c r="I221" s="6" t="n"/>
      <c r="J221" s="6" t="n"/>
      <c r="K221" s="6" t="n"/>
      <c r="L221" s="6" t="n"/>
      <c r="M221" s="6" t="n"/>
      <c r="N221" s="6" t="n"/>
      <c r="O221" s="6" t="n"/>
      <c r="P221" s="6" t="n"/>
      <c r="Q221" s="6" t="n"/>
      <c r="R221" s="6" t="n"/>
      <c r="S221" s="6" t="n"/>
      <c r="T221" s="6" t="n"/>
      <c r="U221" s="6" t="n"/>
      <c r="V221" s="6" t="n"/>
      <c r="W221" s="6" t="n"/>
      <c r="X221" s="6" t="n"/>
    </row>
    <row r="222" ht="16.5" customHeight="1" s="237">
      <c r="A222" s="6" t="n"/>
      <c r="B222" s="6" t="n"/>
      <c r="C222" s="12" t="n"/>
      <c r="D222" s="10" t="n"/>
      <c r="E222" s="10" t="n"/>
      <c r="F222" s="164" t="n"/>
      <c r="G222" s="288" t="n"/>
      <c r="H222" s="6" t="n"/>
      <c r="I222" s="6" t="n"/>
      <c r="J222" s="6" t="n"/>
      <c r="K222" s="6" t="n"/>
      <c r="L222" s="6" t="n"/>
      <c r="M222" s="6" t="n"/>
      <c r="N222" s="6" t="n"/>
      <c r="O222" s="6" t="n"/>
      <c r="P222" s="6" t="n"/>
      <c r="Q222" s="6" t="n"/>
      <c r="R222" s="6" t="n"/>
      <c r="S222" s="6" t="n"/>
      <c r="T222" s="6" t="n"/>
      <c r="U222" s="6" t="n"/>
      <c r="V222" s="6" t="n"/>
      <c r="W222" s="6" t="n"/>
      <c r="X222" s="6" t="n"/>
    </row>
    <row r="223" ht="16.5" customHeight="1" s="237">
      <c r="A223" s="6" t="n"/>
      <c r="B223" s="6" t="n"/>
      <c r="C223" s="12" t="n"/>
      <c r="D223" s="10" t="n"/>
      <c r="E223" s="10" t="n"/>
      <c r="F223" s="164" t="n"/>
      <c r="G223" s="288" t="n"/>
      <c r="H223" s="6" t="n"/>
      <c r="I223" s="6" t="n"/>
      <c r="J223" s="6" t="n"/>
      <c r="K223" s="6" t="n"/>
      <c r="L223" s="6" t="n"/>
      <c r="M223" s="6" t="n"/>
      <c r="N223" s="6" t="n"/>
      <c r="O223" s="6" t="n"/>
      <c r="P223" s="6" t="n"/>
      <c r="Q223" s="6" t="n"/>
      <c r="R223" s="6" t="n"/>
      <c r="S223" s="6" t="n"/>
      <c r="T223" s="6" t="n"/>
      <c r="U223" s="6" t="n"/>
      <c r="V223" s="6" t="n"/>
      <c r="W223" s="6" t="n"/>
      <c r="X223" s="6" t="n"/>
    </row>
    <row r="224" ht="15.75" customHeight="1" s="237">
      <c r="D224" s="21" t="n"/>
    </row>
    <row r="225" ht="15.75" customHeight="1" s="237">
      <c r="D225" s="21" t="n"/>
    </row>
    <row r="226" ht="15.75" customHeight="1" s="237">
      <c r="D226" s="21" t="n"/>
    </row>
    <row r="227" ht="15.75" customHeight="1" s="237">
      <c r="D227" s="21" t="n"/>
    </row>
    <row r="228" ht="15.75" customHeight="1" s="237">
      <c r="D228" s="21" t="n"/>
    </row>
    <row r="229" ht="15.75" customHeight="1" s="237">
      <c r="D229" s="21" t="n"/>
    </row>
    <row r="230" ht="15.75" customHeight="1" s="237">
      <c r="D230" s="21" t="n"/>
    </row>
    <row r="231" ht="15.75" customHeight="1" s="237">
      <c r="D231" s="21" t="n"/>
    </row>
    <row r="232" ht="15.75" customHeight="1" s="237">
      <c r="D232" s="21" t="n"/>
    </row>
    <row r="233" ht="15.75" customHeight="1" s="237">
      <c r="D233" s="21" t="n"/>
    </row>
    <row r="234" ht="15.75" customHeight="1" s="237">
      <c r="D234" s="21" t="n"/>
    </row>
    <row r="235" ht="15.75" customHeight="1" s="237">
      <c r="D235" s="21" t="n"/>
    </row>
    <row r="236" ht="15.75" customHeight="1" s="237">
      <c r="D236" s="21" t="n"/>
    </row>
    <row r="237" ht="15.75" customHeight="1" s="237">
      <c r="D237" s="21" t="n"/>
    </row>
    <row r="238" ht="15.75" customHeight="1" s="237">
      <c r="D238" s="21" t="n"/>
    </row>
    <row r="239" ht="15.75" customHeight="1" s="237">
      <c r="D239" s="21" t="n"/>
    </row>
    <row r="240" ht="15.75" customHeight="1" s="237">
      <c r="D240" s="21" t="n"/>
    </row>
    <row r="241" ht="15.75" customHeight="1" s="237">
      <c r="D241" s="21" t="n"/>
    </row>
    <row r="242" ht="15.75" customHeight="1" s="237">
      <c r="D242" s="21" t="n"/>
    </row>
    <row r="243" ht="15.75" customHeight="1" s="237">
      <c r="D243" s="21" t="n"/>
    </row>
    <row r="244" ht="15.75" customHeight="1" s="237">
      <c r="D244" s="21" t="n"/>
    </row>
    <row r="245" ht="15.75" customHeight="1" s="237">
      <c r="D245" s="21" t="n"/>
    </row>
    <row r="246" ht="15.75" customHeight="1" s="237">
      <c r="D246" s="21" t="n"/>
    </row>
    <row r="247" ht="15.75" customHeight="1" s="237">
      <c r="D247" s="21" t="n"/>
    </row>
    <row r="248" ht="15.75" customHeight="1" s="237">
      <c r="D248" s="21" t="n"/>
    </row>
    <row r="249" ht="15.75" customHeight="1" s="237">
      <c r="D249" s="21" t="n"/>
    </row>
    <row r="250" ht="15.75" customHeight="1" s="237">
      <c r="D250" s="21" t="n"/>
    </row>
    <row r="251" ht="15.75" customHeight="1" s="237">
      <c r="D251" s="21" t="n"/>
    </row>
    <row r="252" ht="15.75" customHeight="1" s="237">
      <c r="D252" s="21" t="n"/>
    </row>
    <row r="253" ht="15.75" customHeight="1" s="237">
      <c r="D253" s="21" t="n"/>
    </row>
    <row r="254" ht="15.75" customHeight="1" s="237">
      <c r="D254" s="21" t="n"/>
    </row>
    <row r="255" ht="15.75" customHeight="1" s="237">
      <c r="D255" s="21" t="n"/>
    </row>
    <row r="256" ht="15.75" customHeight="1" s="237">
      <c r="D256" s="21" t="n"/>
    </row>
    <row r="257" ht="15.75" customHeight="1" s="237">
      <c r="D257" s="21" t="n"/>
    </row>
    <row r="258" ht="15.75" customHeight="1" s="237">
      <c r="D258" s="21" t="n"/>
    </row>
    <row r="259" ht="15.75" customHeight="1" s="237">
      <c r="D259" s="21" t="n"/>
    </row>
    <row r="260" ht="15.75" customHeight="1" s="237">
      <c r="D260" s="21" t="n"/>
    </row>
    <row r="261" ht="15.75" customHeight="1" s="237">
      <c r="D261" s="21" t="n"/>
    </row>
    <row r="262" ht="15.75" customHeight="1" s="237">
      <c r="D262" s="21" t="n"/>
    </row>
    <row r="263" ht="15.75" customHeight="1" s="237">
      <c r="D263" s="21" t="n"/>
    </row>
    <row r="264" ht="15.75" customHeight="1" s="237">
      <c r="D264" s="21" t="n"/>
    </row>
    <row r="265" ht="15.75" customHeight="1" s="237">
      <c r="D265" s="21" t="n"/>
    </row>
    <row r="266" ht="15.75" customHeight="1" s="237">
      <c r="D266" s="21" t="n"/>
    </row>
    <row r="267" ht="15.75" customHeight="1" s="237">
      <c r="D267" s="21" t="n"/>
    </row>
    <row r="268" ht="15.75" customHeight="1" s="237">
      <c r="D268" s="21" t="n"/>
    </row>
    <row r="269" ht="15.75" customHeight="1" s="237">
      <c r="D269" s="21" t="n"/>
    </row>
    <row r="270" ht="15.75" customHeight="1" s="237">
      <c r="D270" s="21" t="n"/>
    </row>
    <row r="271" ht="15.75" customHeight="1" s="237">
      <c r="D271" s="21" t="n"/>
    </row>
    <row r="272" ht="15.75" customHeight="1" s="237">
      <c r="D272" s="21" t="n"/>
    </row>
    <row r="273" ht="15.75" customHeight="1" s="237">
      <c r="D273" s="21" t="n"/>
    </row>
    <row r="274" ht="15.75" customHeight="1" s="237">
      <c r="D274" s="21" t="n"/>
    </row>
    <row r="275" ht="15.75" customHeight="1" s="237">
      <c r="D275" s="21" t="n"/>
    </row>
    <row r="276" ht="15.75" customHeight="1" s="237">
      <c r="D276" s="21" t="n"/>
    </row>
    <row r="277" ht="15.75" customHeight="1" s="237">
      <c r="D277" s="21" t="n"/>
    </row>
    <row r="278" ht="15.75" customHeight="1" s="237">
      <c r="D278" s="21" t="n"/>
    </row>
    <row r="279" ht="15.75" customHeight="1" s="237">
      <c r="D279" s="21" t="n"/>
    </row>
    <row r="280" ht="15.75" customHeight="1" s="237">
      <c r="D280" s="21" t="n"/>
    </row>
    <row r="281" ht="15.75" customHeight="1" s="237">
      <c r="D281" s="21" t="n"/>
    </row>
    <row r="282" ht="15.75" customHeight="1" s="237">
      <c r="D282" s="21" t="n"/>
    </row>
    <row r="283" ht="15.75" customHeight="1" s="237">
      <c r="D283" s="21" t="n"/>
    </row>
    <row r="284" ht="15.75" customHeight="1" s="237">
      <c r="D284" s="21" t="n"/>
    </row>
    <row r="285" ht="15.75" customHeight="1" s="237">
      <c r="D285" s="21" t="n"/>
    </row>
    <row r="286" ht="15.75" customHeight="1" s="237">
      <c r="D286" s="21" t="n"/>
    </row>
    <row r="287" ht="15.75" customHeight="1" s="237">
      <c r="D287" s="21" t="n"/>
    </row>
    <row r="288" ht="15.75" customHeight="1" s="237">
      <c r="D288" s="21" t="n"/>
    </row>
    <row r="289" ht="15.75" customHeight="1" s="237">
      <c r="D289" s="21" t="n"/>
    </row>
    <row r="290" ht="15.75" customHeight="1" s="237">
      <c r="D290" s="21" t="n"/>
    </row>
    <row r="291" ht="15.75" customHeight="1" s="237">
      <c r="D291" s="21" t="n"/>
    </row>
    <row r="292" ht="15.75" customHeight="1" s="237">
      <c r="D292" s="21" t="n"/>
    </row>
    <row r="293" ht="15.75" customHeight="1" s="237">
      <c r="D293" s="21" t="n"/>
    </row>
    <row r="294" ht="15.75" customHeight="1" s="237">
      <c r="D294" s="21" t="n"/>
    </row>
    <row r="295" ht="15.75" customHeight="1" s="237">
      <c r="D295" s="21" t="n"/>
    </row>
    <row r="296" ht="15.75" customHeight="1" s="237">
      <c r="D296" s="21" t="n"/>
    </row>
    <row r="297" ht="15.75" customHeight="1" s="237">
      <c r="D297" s="21" t="n"/>
    </row>
    <row r="298" ht="15.75" customHeight="1" s="237">
      <c r="D298" s="21" t="n"/>
    </row>
    <row r="299" ht="15.75" customHeight="1" s="237">
      <c r="D299" s="21" t="n"/>
    </row>
    <row r="300" ht="15.75" customHeight="1" s="237">
      <c r="D300" s="21" t="n"/>
    </row>
    <row r="301" ht="15.75" customHeight="1" s="237">
      <c r="D301" s="21" t="n"/>
    </row>
    <row r="302" ht="15.75" customHeight="1" s="237">
      <c r="D302" s="21" t="n"/>
    </row>
    <row r="303" ht="15.75" customHeight="1" s="237">
      <c r="D303" s="21" t="n"/>
    </row>
    <row r="304" ht="15.75" customHeight="1" s="237">
      <c r="D304" s="21" t="n"/>
    </row>
    <row r="305" ht="15.75" customHeight="1" s="237">
      <c r="D305" s="21" t="n"/>
    </row>
    <row r="306" ht="15.75" customHeight="1" s="237">
      <c r="D306" s="21" t="n"/>
    </row>
    <row r="307" ht="15.75" customHeight="1" s="237">
      <c r="D307" s="21" t="n"/>
    </row>
    <row r="308" ht="15.75" customHeight="1" s="237">
      <c r="D308" s="21" t="n"/>
    </row>
    <row r="309" ht="15.75" customHeight="1" s="237">
      <c r="D309" s="21" t="n"/>
    </row>
    <row r="310" ht="15.75" customHeight="1" s="237">
      <c r="D310" s="21" t="n"/>
    </row>
    <row r="311" ht="15.75" customHeight="1" s="237">
      <c r="D311" s="21" t="n"/>
    </row>
    <row r="312" ht="15.75" customHeight="1" s="237">
      <c r="D312" s="21" t="n"/>
    </row>
    <row r="313" ht="15.75" customHeight="1" s="237">
      <c r="D313" s="21" t="n"/>
    </row>
    <row r="314" ht="15.75" customHeight="1" s="237">
      <c r="D314" s="21" t="n"/>
    </row>
    <row r="315" ht="15.75" customHeight="1" s="237">
      <c r="D315" s="21" t="n"/>
    </row>
    <row r="316" ht="15.75" customHeight="1" s="237">
      <c r="D316" s="21" t="n"/>
    </row>
    <row r="317" ht="15.75" customHeight="1" s="237">
      <c r="D317" s="21" t="n"/>
    </row>
    <row r="318" ht="15.75" customHeight="1" s="237">
      <c r="D318" s="21" t="n"/>
    </row>
    <row r="319" ht="15.75" customHeight="1" s="237">
      <c r="D319" s="21" t="n"/>
    </row>
    <row r="320" ht="15.75" customHeight="1" s="237">
      <c r="D320" s="21" t="n"/>
    </row>
    <row r="321" ht="15.75" customHeight="1" s="237">
      <c r="D321" s="21" t="n"/>
    </row>
    <row r="322" ht="15.75" customHeight="1" s="237">
      <c r="D322" s="21" t="n"/>
    </row>
    <row r="323" ht="15.75" customHeight="1" s="237">
      <c r="D323" s="21" t="n"/>
    </row>
    <row r="324" ht="15.75" customHeight="1" s="237">
      <c r="D324" s="21" t="n"/>
    </row>
    <row r="325" ht="15.75" customHeight="1" s="237">
      <c r="D325" s="21" t="n"/>
    </row>
    <row r="326" ht="15.75" customHeight="1" s="237">
      <c r="D326" s="21" t="n"/>
    </row>
    <row r="327" ht="15.75" customHeight="1" s="237">
      <c r="D327" s="21" t="n"/>
    </row>
    <row r="328" ht="15.75" customHeight="1" s="237">
      <c r="D328" s="21" t="n"/>
    </row>
    <row r="329" ht="15.75" customHeight="1" s="237">
      <c r="D329" s="21" t="n"/>
    </row>
    <row r="330" ht="15.75" customHeight="1" s="237">
      <c r="D330" s="21" t="n"/>
    </row>
    <row r="331" ht="15.75" customHeight="1" s="237">
      <c r="D331" s="21" t="n"/>
    </row>
    <row r="332" ht="15.75" customHeight="1" s="237">
      <c r="D332" s="21" t="n"/>
    </row>
    <row r="333" ht="15.75" customHeight="1" s="237">
      <c r="D333" s="21" t="n"/>
    </row>
    <row r="334" ht="15.75" customHeight="1" s="237">
      <c r="D334" s="21" t="n"/>
    </row>
    <row r="335" ht="15.75" customHeight="1" s="237">
      <c r="D335" s="21" t="n"/>
    </row>
    <row r="336" ht="15.75" customHeight="1" s="237">
      <c r="D336" s="21" t="n"/>
    </row>
    <row r="337" ht="15.75" customHeight="1" s="237">
      <c r="D337" s="21" t="n"/>
    </row>
    <row r="338" ht="15.75" customHeight="1" s="237">
      <c r="D338" s="21" t="n"/>
    </row>
    <row r="339" ht="15.75" customHeight="1" s="237">
      <c r="D339" s="21" t="n"/>
    </row>
    <row r="340" ht="15.75" customHeight="1" s="237">
      <c r="D340" s="21" t="n"/>
    </row>
    <row r="341" ht="15.75" customHeight="1" s="237">
      <c r="D341" s="21" t="n"/>
    </row>
    <row r="342" ht="15.75" customHeight="1" s="237">
      <c r="D342" s="21" t="n"/>
    </row>
    <row r="343" ht="15.75" customHeight="1" s="237">
      <c r="D343" s="21" t="n"/>
    </row>
    <row r="344" ht="15.75" customHeight="1" s="237">
      <c r="D344" s="21" t="n"/>
    </row>
    <row r="345" ht="15.75" customHeight="1" s="237">
      <c r="D345" s="21" t="n"/>
    </row>
    <row r="346" ht="15.75" customHeight="1" s="237">
      <c r="D346" s="21" t="n"/>
    </row>
    <row r="347" ht="15.75" customHeight="1" s="237">
      <c r="D347" s="21" t="n"/>
    </row>
    <row r="348" ht="15.75" customHeight="1" s="237">
      <c r="D348" s="21" t="n"/>
    </row>
    <row r="349" ht="15.75" customHeight="1" s="237">
      <c r="D349" s="21" t="n"/>
    </row>
    <row r="350" ht="15.75" customHeight="1" s="237">
      <c r="D350" s="21" t="n"/>
    </row>
    <row r="351" ht="15.75" customHeight="1" s="237">
      <c r="D351" s="21" t="n"/>
    </row>
    <row r="352" ht="15.75" customHeight="1" s="237">
      <c r="D352" s="21" t="n"/>
    </row>
    <row r="353" ht="15.75" customHeight="1" s="237">
      <c r="D353" s="21" t="n"/>
    </row>
    <row r="354" ht="15.75" customHeight="1" s="237">
      <c r="D354" s="21" t="n"/>
    </row>
    <row r="355" ht="15.75" customHeight="1" s="237">
      <c r="D355" s="21" t="n"/>
    </row>
    <row r="356" ht="15.75" customHeight="1" s="237">
      <c r="D356" s="21" t="n"/>
    </row>
    <row r="357" ht="15.75" customHeight="1" s="237">
      <c r="D357" s="21" t="n"/>
    </row>
    <row r="358" ht="15.75" customHeight="1" s="237">
      <c r="D358" s="21" t="n"/>
    </row>
    <row r="359" ht="15.75" customHeight="1" s="237">
      <c r="D359" s="21" t="n"/>
    </row>
    <row r="360" ht="15.75" customHeight="1" s="237">
      <c r="D360" s="21" t="n"/>
    </row>
    <row r="361" ht="15.75" customHeight="1" s="237">
      <c r="D361" s="21" t="n"/>
    </row>
    <row r="362" ht="15.75" customHeight="1" s="237">
      <c r="D362" s="21" t="n"/>
    </row>
    <row r="363" ht="15.75" customHeight="1" s="237">
      <c r="D363" s="21" t="n"/>
    </row>
    <row r="364" ht="15.75" customHeight="1" s="237">
      <c r="D364" s="21" t="n"/>
    </row>
    <row r="365" ht="15.75" customHeight="1" s="237">
      <c r="D365" s="21" t="n"/>
    </row>
    <row r="366" ht="15.75" customHeight="1" s="237">
      <c r="D366" s="21" t="n"/>
    </row>
    <row r="367" ht="15.75" customHeight="1" s="237">
      <c r="D367" s="21" t="n"/>
    </row>
    <row r="368" ht="15.75" customHeight="1" s="237">
      <c r="D368" s="21" t="n"/>
    </row>
    <row r="369" ht="15.75" customHeight="1" s="237">
      <c r="D369" s="21" t="n"/>
    </row>
    <row r="370" ht="15.75" customHeight="1" s="237">
      <c r="D370" s="21" t="n"/>
    </row>
    <row r="371" ht="15.75" customHeight="1" s="237">
      <c r="D371" s="21" t="n"/>
    </row>
    <row r="372" ht="15.75" customHeight="1" s="237">
      <c r="D372" s="21" t="n"/>
    </row>
    <row r="373" ht="15.75" customHeight="1" s="237">
      <c r="D373" s="21" t="n"/>
    </row>
    <row r="374" ht="15.75" customHeight="1" s="237">
      <c r="D374" s="21" t="n"/>
    </row>
    <row r="375" ht="15.75" customHeight="1" s="237">
      <c r="D375" s="21" t="n"/>
    </row>
    <row r="376" ht="15.75" customHeight="1" s="237">
      <c r="D376" s="21" t="n"/>
    </row>
    <row r="377" ht="15.75" customHeight="1" s="237">
      <c r="D377" s="21" t="n"/>
    </row>
    <row r="378" ht="15.75" customHeight="1" s="237">
      <c r="D378" s="21" t="n"/>
    </row>
    <row r="379" ht="15.75" customHeight="1" s="237">
      <c r="D379" s="21" t="n"/>
    </row>
    <row r="380" ht="15.75" customHeight="1" s="237">
      <c r="D380" s="21" t="n"/>
    </row>
    <row r="381" ht="15.75" customHeight="1" s="237">
      <c r="D381" s="21" t="n"/>
    </row>
    <row r="382" ht="15.75" customHeight="1" s="237">
      <c r="D382" s="21" t="n"/>
    </row>
    <row r="383" ht="15.75" customHeight="1" s="237">
      <c r="D383" s="21" t="n"/>
    </row>
    <row r="384" ht="15.75" customHeight="1" s="237">
      <c r="D384" s="21" t="n"/>
    </row>
    <row r="385" ht="15.75" customHeight="1" s="237">
      <c r="D385" s="21" t="n"/>
    </row>
    <row r="386" ht="15.75" customHeight="1" s="237">
      <c r="D386" s="21" t="n"/>
    </row>
    <row r="387" ht="15.75" customHeight="1" s="237">
      <c r="D387" s="21" t="n"/>
    </row>
    <row r="388" ht="15.75" customHeight="1" s="237">
      <c r="D388" s="21" t="n"/>
    </row>
    <row r="389" ht="15.75" customHeight="1" s="237">
      <c r="D389" s="21" t="n"/>
    </row>
    <row r="390" ht="15.75" customHeight="1" s="237">
      <c r="D390" s="21" t="n"/>
    </row>
    <row r="391" ht="15.75" customHeight="1" s="237">
      <c r="D391" s="21" t="n"/>
    </row>
    <row r="392" ht="15.75" customHeight="1" s="237">
      <c r="D392" s="21" t="n"/>
    </row>
    <row r="393" ht="15.75" customHeight="1" s="237">
      <c r="D393" s="21" t="n"/>
    </row>
    <row r="394" ht="15.75" customHeight="1" s="237">
      <c r="D394" s="21" t="n"/>
    </row>
    <row r="395" ht="15.75" customHeight="1" s="237">
      <c r="D395" s="21" t="n"/>
    </row>
    <row r="396" ht="15.75" customHeight="1" s="237">
      <c r="D396" s="21" t="n"/>
    </row>
    <row r="397" ht="15.75" customHeight="1" s="237">
      <c r="D397" s="21" t="n"/>
    </row>
    <row r="398" ht="15.75" customHeight="1" s="237">
      <c r="D398" s="21" t="n"/>
    </row>
    <row r="399" ht="15.75" customHeight="1" s="237">
      <c r="D399" s="21" t="n"/>
    </row>
    <row r="400" ht="15.75" customHeight="1" s="237">
      <c r="D400" s="21" t="n"/>
    </row>
    <row r="401" ht="15.75" customHeight="1" s="237">
      <c r="D401" s="21" t="n"/>
    </row>
    <row r="402" ht="15.75" customHeight="1" s="237">
      <c r="D402" s="21" t="n"/>
    </row>
    <row r="403" ht="15.75" customHeight="1" s="237">
      <c r="D403" s="21" t="n"/>
    </row>
    <row r="404" ht="15.75" customHeight="1" s="237">
      <c r="D404" s="21" t="n"/>
    </row>
    <row r="405" ht="15.75" customHeight="1" s="237">
      <c r="D405" s="21" t="n"/>
    </row>
    <row r="406" ht="15.75" customHeight="1" s="237">
      <c r="D406" s="21" t="n"/>
    </row>
    <row r="407" ht="15.75" customHeight="1" s="237">
      <c r="D407" s="21" t="n"/>
    </row>
    <row r="408" ht="15.75" customHeight="1" s="237">
      <c r="D408" s="21" t="n"/>
    </row>
    <row r="409" ht="15.75" customHeight="1" s="237">
      <c r="D409" s="21" t="n"/>
    </row>
    <row r="410" ht="15.75" customHeight="1" s="237">
      <c r="D410" s="21" t="n"/>
    </row>
    <row r="411" ht="15.75" customHeight="1" s="237">
      <c r="D411" s="21" t="n"/>
    </row>
    <row r="412" ht="15.75" customHeight="1" s="237">
      <c r="D412" s="21" t="n"/>
    </row>
    <row r="413" ht="15.75" customHeight="1" s="237">
      <c r="D413" s="21" t="n"/>
    </row>
    <row r="414" ht="15.75" customHeight="1" s="237">
      <c r="D414" s="21" t="n"/>
    </row>
    <row r="415" ht="15.75" customHeight="1" s="237">
      <c r="D415" s="21" t="n"/>
    </row>
    <row r="416" ht="15.75" customHeight="1" s="237">
      <c r="D416" s="21" t="n"/>
    </row>
    <row r="417" ht="15.75" customHeight="1" s="237">
      <c r="D417" s="21" t="n"/>
    </row>
    <row r="418" ht="15.75" customHeight="1" s="237">
      <c r="D418" s="21" t="n"/>
    </row>
    <row r="419" ht="15.75" customHeight="1" s="237">
      <c r="D419" s="21" t="n"/>
    </row>
    <row r="420" ht="15.75" customHeight="1" s="237">
      <c r="D420" s="21" t="n"/>
    </row>
    <row r="421" ht="15.75" customHeight="1" s="237">
      <c r="D421" s="21" t="n"/>
    </row>
    <row r="422" ht="15.75" customHeight="1" s="237">
      <c r="D422" s="21" t="n"/>
    </row>
    <row r="423" ht="15.75" customHeight="1" s="237">
      <c r="D423" s="21" t="n"/>
    </row>
    <row r="424" ht="15.75" customHeight="1" s="237">
      <c r="D424" s="21" t="n"/>
    </row>
    <row r="425" ht="15.75" customHeight="1" s="237">
      <c r="D425" s="21" t="n"/>
    </row>
    <row r="426" ht="15.75" customHeight="1" s="237">
      <c r="D426" s="21" t="n"/>
    </row>
    <row r="427" ht="15.75" customHeight="1" s="237">
      <c r="D427" s="21" t="n"/>
    </row>
    <row r="428" ht="15.75" customHeight="1" s="237">
      <c r="D428" s="21" t="n"/>
    </row>
    <row r="429" ht="15.75" customHeight="1" s="237">
      <c r="D429" s="21" t="n"/>
    </row>
    <row r="430" ht="15.75" customHeight="1" s="237">
      <c r="D430" s="21" t="n"/>
    </row>
    <row r="431" ht="15.75" customHeight="1" s="237">
      <c r="D431" s="21" t="n"/>
    </row>
    <row r="432" ht="15.75" customHeight="1" s="237">
      <c r="D432" s="21" t="n"/>
    </row>
    <row r="433" ht="15.75" customHeight="1" s="237">
      <c r="D433" s="21" t="n"/>
    </row>
    <row r="434" ht="15.75" customHeight="1" s="237">
      <c r="D434" s="21" t="n"/>
    </row>
    <row r="435" ht="15.75" customHeight="1" s="237">
      <c r="D435" s="21" t="n"/>
    </row>
    <row r="436" ht="15.75" customHeight="1" s="237">
      <c r="D436" s="21" t="n"/>
    </row>
    <row r="437" ht="15.75" customHeight="1" s="237">
      <c r="D437" s="21" t="n"/>
    </row>
    <row r="438" ht="15.75" customHeight="1" s="237">
      <c r="D438" s="21" t="n"/>
    </row>
    <row r="439" ht="15.75" customHeight="1" s="237">
      <c r="D439" s="21" t="n"/>
    </row>
    <row r="440" ht="15.75" customHeight="1" s="237">
      <c r="D440" s="21" t="n"/>
    </row>
    <row r="441" ht="15.75" customHeight="1" s="237">
      <c r="D441" s="21" t="n"/>
    </row>
    <row r="442" ht="15.75" customHeight="1" s="237">
      <c r="D442" s="21" t="n"/>
    </row>
    <row r="443" ht="15.75" customHeight="1" s="237">
      <c r="D443" s="21" t="n"/>
    </row>
    <row r="444" ht="15.75" customHeight="1" s="237">
      <c r="D444" s="21" t="n"/>
    </row>
    <row r="445" ht="15.75" customHeight="1" s="237">
      <c r="D445" s="21" t="n"/>
    </row>
    <row r="446" ht="15.75" customHeight="1" s="237">
      <c r="D446" s="21" t="n"/>
    </row>
    <row r="447" ht="15.75" customHeight="1" s="237">
      <c r="D447" s="21" t="n"/>
    </row>
    <row r="448" ht="15.75" customHeight="1" s="237">
      <c r="D448" s="21" t="n"/>
    </row>
    <row r="449" ht="15.75" customHeight="1" s="237">
      <c r="D449" s="21" t="n"/>
    </row>
    <row r="450" ht="15.75" customHeight="1" s="237">
      <c r="D450" s="21" t="n"/>
    </row>
    <row r="451" ht="15.75" customHeight="1" s="237">
      <c r="D451" s="21" t="n"/>
    </row>
    <row r="452" ht="15.75" customHeight="1" s="237">
      <c r="D452" s="21" t="n"/>
    </row>
    <row r="453" ht="15.75" customHeight="1" s="237">
      <c r="D453" s="21" t="n"/>
    </row>
    <row r="454" ht="15.75" customHeight="1" s="237">
      <c r="D454" s="21" t="n"/>
    </row>
    <row r="455" ht="15.75" customHeight="1" s="237">
      <c r="D455" s="21" t="n"/>
    </row>
    <row r="456" ht="15.75" customHeight="1" s="237">
      <c r="D456" s="21" t="n"/>
    </row>
    <row r="457" ht="15.75" customHeight="1" s="237">
      <c r="D457" s="21" t="n"/>
    </row>
    <row r="458" ht="15.75" customHeight="1" s="237">
      <c r="D458" s="21" t="n"/>
    </row>
    <row r="459" ht="15.75" customHeight="1" s="237">
      <c r="D459" s="21" t="n"/>
    </row>
    <row r="460" ht="15.75" customHeight="1" s="237">
      <c r="D460" s="21" t="n"/>
    </row>
    <row r="461" ht="15.75" customHeight="1" s="237">
      <c r="D461" s="21" t="n"/>
    </row>
    <row r="462" ht="15.75" customHeight="1" s="237">
      <c r="D462" s="21" t="n"/>
    </row>
    <row r="463" ht="15.75" customHeight="1" s="237">
      <c r="D463" s="21" t="n"/>
    </row>
    <row r="464" ht="15.75" customHeight="1" s="237">
      <c r="D464" s="21" t="n"/>
    </row>
    <row r="465" ht="15.75" customHeight="1" s="237">
      <c r="D465" s="21" t="n"/>
    </row>
    <row r="466" ht="15.75" customHeight="1" s="237">
      <c r="D466" s="21" t="n"/>
    </row>
    <row r="467" ht="15.75" customHeight="1" s="237">
      <c r="D467" s="21" t="n"/>
    </row>
    <row r="468" ht="15.75" customHeight="1" s="237">
      <c r="D468" s="21" t="n"/>
    </row>
    <row r="469" ht="15.75" customHeight="1" s="237">
      <c r="D469" s="21" t="n"/>
    </row>
    <row r="470" ht="15.75" customHeight="1" s="237">
      <c r="D470" s="21" t="n"/>
    </row>
    <row r="471" ht="15.75" customHeight="1" s="237">
      <c r="D471" s="21" t="n"/>
    </row>
    <row r="472" ht="15.75" customHeight="1" s="237">
      <c r="D472" s="21" t="n"/>
    </row>
    <row r="473" ht="15.75" customHeight="1" s="237">
      <c r="D473" s="21" t="n"/>
    </row>
    <row r="474" ht="15.75" customHeight="1" s="237">
      <c r="D474" s="21" t="n"/>
    </row>
    <row r="475" ht="15.75" customHeight="1" s="237">
      <c r="D475" s="21" t="n"/>
    </row>
    <row r="476" ht="15.75" customHeight="1" s="237">
      <c r="D476" s="21" t="n"/>
    </row>
    <row r="477" ht="15.75" customHeight="1" s="237">
      <c r="D477" s="21" t="n"/>
    </row>
    <row r="478" ht="15.75" customHeight="1" s="237">
      <c r="D478" s="21" t="n"/>
    </row>
    <row r="479" ht="15.75" customHeight="1" s="237">
      <c r="D479" s="21" t="n"/>
    </row>
    <row r="480" ht="15.75" customHeight="1" s="237">
      <c r="D480" s="21" t="n"/>
    </row>
    <row r="481" ht="15.75" customHeight="1" s="237">
      <c r="D481" s="21" t="n"/>
    </row>
    <row r="482" ht="15.75" customHeight="1" s="237">
      <c r="D482" s="21" t="n"/>
    </row>
    <row r="483" ht="15.75" customHeight="1" s="237">
      <c r="D483" s="21" t="n"/>
    </row>
    <row r="484" ht="15.75" customHeight="1" s="237">
      <c r="D484" s="21" t="n"/>
    </row>
    <row r="485" ht="15.75" customHeight="1" s="237">
      <c r="D485" s="21" t="n"/>
    </row>
    <row r="486" ht="15.75" customHeight="1" s="237">
      <c r="D486" s="21" t="n"/>
    </row>
    <row r="487" ht="15.75" customHeight="1" s="237">
      <c r="D487" s="21" t="n"/>
    </row>
    <row r="488" ht="15.75" customHeight="1" s="237">
      <c r="D488" s="21" t="n"/>
    </row>
    <row r="489" ht="15.75" customHeight="1" s="237">
      <c r="D489" s="21" t="n"/>
    </row>
    <row r="490" ht="15.75" customHeight="1" s="237">
      <c r="D490" s="21" t="n"/>
    </row>
    <row r="491" ht="15.75" customHeight="1" s="237">
      <c r="D491" s="21" t="n"/>
    </row>
    <row r="492" ht="15.75" customHeight="1" s="237">
      <c r="D492" s="21" t="n"/>
    </row>
    <row r="493" ht="15.75" customHeight="1" s="237">
      <c r="D493" s="21" t="n"/>
    </row>
    <row r="494" ht="15.75" customHeight="1" s="237">
      <c r="D494" s="21" t="n"/>
    </row>
    <row r="495" ht="15.75" customHeight="1" s="237">
      <c r="D495" s="21" t="n"/>
    </row>
    <row r="496" ht="15.75" customHeight="1" s="237">
      <c r="D496" s="21" t="n"/>
    </row>
    <row r="497" ht="15.75" customHeight="1" s="237">
      <c r="D497" s="21" t="n"/>
    </row>
    <row r="498" ht="15.75" customHeight="1" s="237">
      <c r="D498" s="21" t="n"/>
    </row>
    <row r="499" ht="15.75" customHeight="1" s="237">
      <c r="D499" s="21" t="n"/>
    </row>
    <row r="500" ht="15.75" customHeight="1" s="237">
      <c r="D500" s="21" t="n"/>
    </row>
    <row r="501" ht="15.75" customHeight="1" s="237">
      <c r="D501" s="21" t="n"/>
    </row>
    <row r="502" ht="15.75" customHeight="1" s="237">
      <c r="D502" s="21" t="n"/>
    </row>
    <row r="503" ht="15.75" customHeight="1" s="237">
      <c r="D503" s="21" t="n"/>
    </row>
    <row r="504" ht="15.75" customHeight="1" s="237">
      <c r="D504" s="21" t="n"/>
    </row>
    <row r="505" ht="15.75" customHeight="1" s="237">
      <c r="D505" s="21" t="n"/>
    </row>
    <row r="506" ht="15.75" customHeight="1" s="237">
      <c r="D506" s="21" t="n"/>
    </row>
    <row r="507" ht="15.75" customHeight="1" s="237">
      <c r="D507" s="21" t="n"/>
    </row>
    <row r="508" ht="15.75" customHeight="1" s="237">
      <c r="D508" s="21" t="n"/>
    </row>
    <row r="509" ht="15.75" customHeight="1" s="237">
      <c r="D509" s="21" t="n"/>
    </row>
    <row r="510" ht="15.75" customHeight="1" s="237">
      <c r="D510" s="21" t="n"/>
    </row>
    <row r="511" ht="15.75" customHeight="1" s="237">
      <c r="D511" s="21" t="n"/>
    </row>
    <row r="512" ht="15.75" customHeight="1" s="237">
      <c r="D512" s="21" t="n"/>
    </row>
    <row r="513" ht="15.75" customHeight="1" s="237">
      <c r="D513" s="21" t="n"/>
    </row>
    <row r="514" ht="15.75" customHeight="1" s="237">
      <c r="D514" s="21" t="n"/>
    </row>
    <row r="515" ht="15.75" customHeight="1" s="237">
      <c r="D515" s="21" t="n"/>
    </row>
    <row r="516" ht="15.75" customHeight="1" s="237">
      <c r="D516" s="21" t="n"/>
    </row>
    <row r="517" ht="15.75" customHeight="1" s="237">
      <c r="D517" s="21" t="n"/>
    </row>
    <row r="518" ht="15.75" customHeight="1" s="237">
      <c r="D518" s="21" t="n"/>
    </row>
    <row r="519" ht="15.75" customHeight="1" s="237">
      <c r="D519" s="21" t="n"/>
    </row>
    <row r="520" ht="15.75" customHeight="1" s="237">
      <c r="D520" s="21" t="n"/>
    </row>
    <row r="521" ht="15.75" customHeight="1" s="237">
      <c r="D521" s="21" t="n"/>
    </row>
    <row r="522" ht="15.75" customHeight="1" s="237">
      <c r="D522" s="21" t="n"/>
    </row>
    <row r="523" ht="15.75" customHeight="1" s="237">
      <c r="D523" s="21" t="n"/>
    </row>
    <row r="524" ht="15.75" customHeight="1" s="237">
      <c r="D524" s="21" t="n"/>
    </row>
    <row r="525" ht="15.75" customHeight="1" s="237">
      <c r="D525" s="21" t="n"/>
    </row>
    <row r="526" ht="15.75" customHeight="1" s="237">
      <c r="D526" s="21" t="n"/>
    </row>
    <row r="527" ht="15.75" customHeight="1" s="237">
      <c r="D527" s="21" t="n"/>
    </row>
    <row r="528" ht="15.75" customHeight="1" s="237">
      <c r="D528" s="21" t="n"/>
    </row>
    <row r="529" ht="15.75" customHeight="1" s="237">
      <c r="D529" s="21" t="n"/>
    </row>
    <row r="530" ht="15.75" customHeight="1" s="237">
      <c r="D530" s="21" t="n"/>
    </row>
    <row r="531" ht="15.75" customHeight="1" s="237">
      <c r="D531" s="21" t="n"/>
    </row>
    <row r="532" ht="15.75" customHeight="1" s="237">
      <c r="D532" s="21" t="n"/>
    </row>
    <row r="533" ht="15.75" customHeight="1" s="237">
      <c r="D533" s="21" t="n"/>
    </row>
    <row r="534" ht="15.75" customHeight="1" s="237">
      <c r="D534" s="21" t="n"/>
    </row>
    <row r="535" ht="15.75" customHeight="1" s="237">
      <c r="D535" s="21" t="n"/>
    </row>
    <row r="536" ht="15.75" customHeight="1" s="237">
      <c r="D536" s="21" t="n"/>
    </row>
    <row r="537" ht="15.75" customHeight="1" s="237">
      <c r="D537" s="21" t="n"/>
    </row>
    <row r="538" ht="15.75" customHeight="1" s="237">
      <c r="D538" s="21" t="n"/>
    </row>
    <row r="539" ht="15.75" customHeight="1" s="237">
      <c r="D539" s="21" t="n"/>
    </row>
    <row r="540" ht="15.75" customHeight="1" s="237">
      <c r="D540" s="21" t="n"/>
    </row>
    <row r="541" ht="15.75" customHeight="1" s="237">
      <c r="D541" s="21" t="n"/>
    </row>
    <row r="542" ht="15.75" customHeight="1" s="237">
      <c r="D542" s="21" t="n"/>
    </row>
    <row r="543" ht="15.75" customHeight="1" s="237">
      <c r="D543" s="21" t="n"/>
    </row>
    <row r="544" ht="15.75" customHeight="1" s="237">
      <c r="D544" s="21" t="n"/>
    </row>
    <row r="545" ht="15.75" customHeight="1" s="237">
      <c r="D545" s="21" t="n"/>
    </row>
    <row r="546" ht="15.75" customHeight="1" s="237">
      <c r="D546" s="21" t="n"/>
    </row>
    <row r="547" ht="15.75" customHeight="1" s="237">
      <c r="D547" s="21" t="n"/>
    </row>
    <row r="548" ht="15.75" customHeight="1" s="237">
      <c r="D548" s="21" t="n"/>
    </row>
    <row r="549" ht="15.75" customHeight="1" s="237">
      <c r="D549" s="21" t="n"/>
    </row>
    <row r="550" ht="15.75" customHeight="1" s="237">
      <c r="D550" s="21" t="n"/>
    </row>
    <row r="551" ht="15.75" customHeight="1" s="237">
      <c r="D551" s="21" t="n"/>
    </row>
    <row r="552" ht="15.75" customHeight="1" s="237">
      <c r="D552" s="21" t="n"/>
    </row>
    <row r="553" ht="15.75" customHeight="1" s="237">
      <c r="D553" s="21" t="n"/>
    </row>
    <row r="554" ht="15.75" customHeight="1" s="237">
      <c r="D554" s="21" t="n"/>
    </row>
    <row r="555" ht="15.75" customHeight="1" s="237">
      <c r="D555" s="21" t="n"/>
    </row>
    <row r="556" ht="15.75" customHeight="1" s="237">
      <c r="D556" s="21" t="n"/>
    </row>
    <row r="557" ht="15.75" customHeight="1" s="237">
      <c r="D557" s="21" t="n"/>
    </row>
    <row r="558" ht="15.75" customHeight="1" s="237">
      <c r="D558" s="21" t="n"/>
    </row>
    <row r="559" ht="15.75" customHeight="1" s="237">
      <c r="D559" s="21" t="n"/>
    </row>
    <row r="560" ht="15.75" customHeight="1" s="237">
      <c r="D560" s="21" t="n"/>
    </row>
    <row r="561" ht="15.75" customHeight="1" s="237">
      <c r="D561" s="21" t="n"/>
    </row>
    <row r="562" ht="15.75" customHeight="1" s="237">
      <c r="D562" s="21" t="n"/>
    </row>
    <row r="563" ht="15.75" customHeight="1" s="237">
      <c r="D563" s="21" t="n"/>
    </row>
    <row r="564" ht="15.75" customHeight="1" s="237">
      <c r="D564" s="21" t="n"/>
    </row>
    <row r="565" ht="15.75" customHeight="1" s="237">
      <c r="D565" s="21" t="n"/>
    </row>
    <row r="566" ht="15.75" customHeight="1" s="237">
      <c r="D566" s="21" t="n"/>
    </row>
    <row r="567" ht="15.75" customHeight="1" s="237">
      <c r="D567" s="21" t="n"/>
    </row>
    <row r="568" ht="15.75" customHeight="1" s="237">
      <c r="D568" s="21" t="n"/>
    </row>
    <row r="569" ht="15.75" customHeight="1" s="237">
      <c r="D569" s="21" t="n"/>
    </row>
    <row r="570" ht="15.75" customHeight="1" s="237">
      <c r="D570" s="21" t="n"/>
    </row>
    <row r="571" ht="15.75" customHeight="1" s="237">
      <c r="D571" s="21" t="n"/>
    </row>
    <row r="572" ht="15.75" customHeight="1" s="237">
      <c r="D572" s="21" t="n"/>
    </row>
    <row r="573" ht="15.75" customHeight="1" s="237">
      <c r="D573" s="21" t="n"/>
    </row>
    <row r="574" ht="15.75" customHeight="1" s="237">
      <c r="D574" s="21" t="n"/>
    </row>
    <row r="575" ht="15.75" customHeight="1" s="237">
      <c r="D575" s="21" t="n"/>
    </row>
    <row r="576" ht="15.75" customHeight="1" s="237">
      <c r="D576" s="21" t="n"/>
    </row>
    <row r="577" ht="15.75" customHeight="1" s="237">
      <c r="D577" s="21" t="n"/>
    </row>
    <row r="578" ht="15.75" customHeight="1" s="237">
      <c r="D578" s="21" t="n"/>
    </row>
    <row r="579" ht="15.75" customHeight="1" s="237">
      <c r="D579" s="21" t="n"/>
    </row>
    <row r="580" ht="15.75" customHeight="1" s="237">
      <c r="D580" s="21" t="n"/>
    </row>
    <row r="581" ht="15.75" customHeight="1" s="237">
      <c r="D581" s="21" t="n"/>
    </row>
    <row r="582" ht="15.75" customHeight="1" s="237">
      <c r="D582" s="21" t="n"/>
    </row>
    <row r="583" ht="15.75" customHeight="1" s="237">
      <c r="D583" s="21" t="n"/>
    </row>
    <row r="584" ht="15.75" customHeight="1" s="237">
      <c r="D584" s="21" t="n"/>
    </row>
    <row r="585" ht="15.75" customHeight="1" s="237">
      <c r="D585" s="21" t="n"/>
    </row>
    <row r="586" ht="15.75" customHeight="1" s="237">
      <c r="D586" s="21" t="n"/>
    </row>
    <row r="587" ht="15.75" customHeight="1" s="237">
      <c r="D587" s="21" t="n"/>
    </row>
    <row r="588" ht="15.75" customHeight="1" s="237">
      <c r="D588" s="21" t="n"/>
    </row>
    <row r="589" ht="15.75" customHeight="1" s="237">
      <c r="D589" s="21" t="n"/>
    </row>
    <row r="590" ht="15.75" customHeight="1" s="237">
      <c r="D590" s="21" t="n"/>
    </row>
    <row r="591" ht="15.75" customHeight="1" s="237">
      <c r="D591" s="21" t="n"/>
    </row>
    <row r="592" ht="15.75" customHeight="1" s="237">
      <c r="D592" s="21" t="n"/>
    </row>
    <row r="593" ht="15.75" customHeight="1" s="237">
      <c r="D593" s="21" t="n"/>
    </row>
    <row r="594" ht="15.75" customHeight="1" s="237">
      <c r="D594" s="21" t="n"/>
    </row>
    <row r="595" ht="15.75" customHeight="1" s="237">
      <c r="D595" s="21" t="n"/>
    </row>
    <row r="596" ht="15.75" customHeight="1" s="237">
      <c r="D596" s="21" t="n"/>
    </row>
    <row r="597" ht="15.75" customHeight="1" s="237">
      <c r="D597" s="21" t="n"/>
    </row>
    <row r="598" ht="15.75" customHeight="1" s="237">
      <c r="D598" s="21" t="n"/>
    </row>
    <row r="599" ht="15.75" customHeight="1" s="237">
      <c r="D599" s="21" t="n"/>
    </row>
    <row r="600" ht="15.75" customHeight="1" s="237">
      <c r="D600" s="21" t="n"/>
    </row>
    <row r="601" ht="15.75" customHeight="1" s="237">
      <c r="D601" s="21" t="n"/>
    </row>
    <row r="602" ht="15.75" customHeight="1" s="237">
      <c r="D602" s="21" t="n"/>
    </row>
    <row r="603" ht="15.75" customHeight="1" s="237">
      <c r="D603" s="21" t="n"/>
    </row>
    <row r="604" ht="15.75" customHeight="1" s="237">
      <c r="D604" s="21" t="n"/>
    </row>
    <row r="605" ht="15.75" customHeight="1" s="237">
      <c r="D605" s="21" t="n"/>
    </row>
    <row r="606" ht="15.75" customHeight="1" s="237">
      <c r="D606" s="21" t="n"/>
    </row>
    <row r="607" ht="15.75" customHeight="1" s="237">
      <c r="D607" s="21" t="n"/>
    </row>
    <row r="608" ht="15.75" customHeight="1" s="237">
      <c r="D608" s="21" t="n"/>
    </row>
    <row r="609" ht="15.75" customHeight="1" s="237">
      <c r="D609" s="21" t="n"/>
    </row>
    <row r="610" ht="15.75" customHeight="1" s="237">
      <c r="D610" s="21" t="n"/>
    </row>
    <row r="611" ht="15.75" customHeight="1" s="237">
      <c r="D611" s="21" t="n"/>
    </row>
    <row r="612" ht="15.75" customHeight="1" s="237">
      <c r="D612" s="21" t="n"/>
    </row>
    <row r="613" ht="15.75" customHeight="1" s="237">
      <c r="D613" s="21" t="n"/>
    </row>
    <row r="614" ht="15.75" customHeight="1" s="237">
      <c r="D614" s="21" t="n"/>
    </row>
    <row r="615" ht="15.75" customHeight="1" s="237">
      <c r="D615" s="21" t="n"/>
    </row>
    <row r="616" ht="15.75" customHeight="1" s="237">
      <c r="D616" s="21" t="n"/>
    </row>
    <row r="617" ht="15.75" customHeight="1" s="237">
      <c r="D617" s="21" t="n"/>
    </row>
    <row r="618" ht="15.75" customHeight="1" s="237">
      <c r="D618" s="21" t="n"/>
    </row>
    <row r="619" ht="15.75" customHeight="1" s="237">
      <c r="D619" s="21" t="n"/>
    </row>
    <row r="620" ht="15.75" customHeight="1" s="237">
      <c r="D620" s="21" t="n"/>
    </row>
    <row r="621" ht="15.75" customHeight="1" s="237">
      <c r="D621" s="21" t="n"/>
    </row>
    <row r="622" ht="15.75" customHeight="1" s="237">
      <c r="D622" s="21" t="n"/>
    </row>
    <row r="623" ht="15.75" customHeight="1" s="237">
      <c r="D623" s="21" t="n"/>
    </row>
    <row r="624" ht="15.75" customHeight="1" s="237">
      <c r="D624" s="21" t="n"/>
    </row>
    <row r="625" ht="15.75" customHeight="1" s="237">
      <c r="D625" s="21" t="n"/>
    </row>
    <row r="626" ht="15.75" customHeight="1" s="237">
      <c r="D626" s="21" t="n"/>
    </row>
    <row r="627" ht="15.75" customHeight="1" s="237">
      <c r="D627" s="21" t="n"/>
    </row>
    <row r="628" ht="15.75" customHeight="1" s="237">
      <c r="D628" s="21" t="n"/>
    </row>
    <row r="629" ht="15.75" customHeight="1" s="237">
      <c r="D629" s="21" t="n"/>
    </row>
    <row r="630" ht="15.75" customHeight="1" s="237">
      <c r="D630" s="21" t="n"/>
    </row>
    <row r="631" ht="15.75" customHeight="1" s="237">
      <c r="D631" s="21" t="n"/>
    </row>
    <row r="632" ht="15.75" customHeight="1" s="237">
      <c r="D632" s="21" t="n"/>
    </row>
    <row r="633" ht="15.75" customHeight="1" s="237">
      <c r="D633" s="21" t="n"/>
    </row>
    <row r="634" ht="15.75" customHeight="1" s="237">
      <c r="D634" s="21" t="n"/>
    </row>
    <row r="635" ht="15.75" customHeight="1" s="237">
      <c r="D635" s="21" t="n"/>
    </row>
    <row r="636" ht="15.75" customHeight="1" s="237">
      <c r="D636" s="21" t="n"/>
    </row>
    <row r="637" ht="15.75" customHeight="1" s="237">
      <c r="D637" s="21" t="n"/>
    </row>
    <row r="638" ht="15.75" customHeight="1" s="237">
      <c r="D638" s="21" t="n"/>
    </row>
    <row r="639" ht="15.75" customHeight="1" s="237">
      <c r="D639" s="21" t="n"/>
    </row>
    <row r="640" ht="15.75" customHeight="1" s="237">
      <c r="D640" s="21" t="n"/>
    </row>
    <row r="641" ht="15.75" customHeight="1" s="237">
      <c r="D641" s="21" t="n"/>
    </row>
    <row r="642" ht="15.75" customHeight="1" s="237">
      <c r="D642" s="21" t="n"/>
    </row>
    <row r="643" ht="15.75" customHeight="1" s="237">
      <c r="D643" s="21" t="n"/>
    </row>
    <row r="644" ht="15.75" customHeight="1" s="237">
      <c r="D644" s="21" t="n"/>
    </row>
    <row r="645" ht="15.75" customHeight="1" s="237">
      <c r="D645" s="21" t="n"/>
    </row>
    <row r="646" ht="15.75" customHeight="1" s="237">
      <c r="D646" s="21" t="n"/>
    </row>
    <row r="647" ht="15.75" customHeight="1" s="237">
      <c r="D647" s="21" t="n"/>
    </row>
    <row r="648" ht="15.75" customHeight="1" s="237">
      <c r="D648" s="21" t="n"/>
    </row>
    <row r="649" ht="15.75" customHeight="1" s="237">
      <c r="D649" s="21" t="n"/>
    </row>
    <row r="650" ht="15.75" customHeight="1" s="237">
      <c r="D650" s="21" t="n"/>
    </row>
    <row r="651" ht="15.75" customHeight="1" s="237">
      <c r="D651" s="21" t="n"/>
    </row>
    <row r="652" ht="15.75" customHeight="1" s="237">
      <c r="D652" s="21" t="n"/>
    </row>
    <row r="653" ht="15.75" customHeight="1" s="237">
      <c r="D653" s="21" t="n"/>
    </row>
    <row r="654" ht="15.75" customHeight="1" s="237">
      <c r="D654" s="21" t="n"/>
    </row>
    <row r="655" ht="15.75" customHeight="1" s="237">
      <c r="D655" s="21" t="n"/>
    </row>
    <row r="656" ht="15.75" customHeight="1" s="237">
      <c r="D656" s="21" t="n"/>
    </row>
    <row r="657" ht="15.75" customHeight="1" s="237">
      <c r="D657" s="21" t="n"/>
    </row>
    <row r="658" ht="15.75" customHeight="1" s="237">
      <c r="D658" s="21" t="n"/>
    </row>
    <row r="659" ht="15.75" customHeight="1" s="237">
      <c r="D659" s="21" t="n"/>
    </row>
    <row r="660" ht="15.75" customHeight="1" s="237">
      <c r="D660" s="21" t="n"/>
    </row>
    <row r="661" ht="15.75" customHeight="1" s="237">
      <c r="D661" s="21" t="n"/>
    </row>
    <row r="662" ht="15.75" customHeight="1" s="237">
      <c r="D662" s="21" t="n"/>
    </row>
    <row r="663" ht="15.75" customHeight="1" s="237">
      <c r="D663" s="21" t="n"/>
    </row>
    <row r="664" ht="15.75" customHeight="1" s="237">
      <c r="D664" s="21" t="n"/>
    </row>
    <row r="665" ht="15.75" customHeight="1" s="237">
      <c r="D665" s="21" t="n"/>
    </row>
    <row r="666" ht="15.75" customHeight="1" s="237">
      <c r="D666" s="21" t="n"/>
    </row>
    <row r="667" ht="15.75" customHeight="1" s="237">
      <c r="D667" s="21" t="n"/>
    </row>
    <row r="668" ht="15.75" customHeight="1" s="237">
      <c r="D668" s="21" t="n"/>
    </row>
    <row r="669" ht="15.75" customHeight="1" s="237">
      <c r="D669" s="21" t="n"/>
    </row>
    <row r="670" ht="15.75" customHeight="1" s="237">
      <c r="D670" s="21" t="n"/>
    </row>
    <row r="671" ht="15.75" customHeight="1" s="237">
      <c r="D671" s="21" t="n"/>
    </row>
    <row r="672" ht="15.75" customHeight="1" s="237">
      <c r="D672" s="21" t="n"/>
    </row>
    <row r="673" ht="15.75" customHeight="1" s="237">
      <c r="D673" s="21" t="n"/>
    </row>
    <row r="674" ht="15.75" customHeight="1" s="237">
      <c r="D674" s="21" t="n"/>
    </row>
    <row r="675" ht="15.75" customHeight="1" s="237">
      <c r="D675" s="21" t="n"/>
    </row>
    <row r="676" ht="15.75" customHeight="1" s="237">
      <c r="D676" s="21" t="n"/>
    </row>
    <row r="677" ht="15.75" customHeight="1" s="237">
      <c r="D677" s="21" t="n"/>
    </row>
    <row r="678" ht="15.75" customHeight="1" s="237">
      <c r="D678" s="21" t="n"/>
    </row>
    <row r="679" ht="15.75" customHeight="1" s="237">
      <c r="D679" s="21" t="n"/>
    </row>
    <row r="680" ht="15.75" customHeight="1" s="237">
      <c r="D680" s="21" t="n"/>
    </row>
    <row r="681" ht="15.75" customHeight="1" s="237">
      <c r="D681" s="21" t="n"/>
    </row>
    <row r="682" ht="15.75" customHeight="1" s="237">
      <c r="D682" s="21" t="n"/>
    </row>
    <row r="683" ht="15.75" customHeight="1" s="237">
      <c r="D683" s="21" t="n"/>
    </row>
    <row r="684" ht="15.75" customHeight="1" s="237">
      <c r="D684" s="21" t="n"/>
    </row>
    <row r="685" ht="15.75" customHeight="1" s="237">
      <c r="D685" s="21" t="n"/>
    </row>
    <row r="686" ht="15.75" customHeight="1" s="237">
      <c r="D686" s="21" t="n"/>
    </row>
    <row r="687" ht="15.75" customHeight="1" s="237">
      <c r="D687" s="21" t="n"/>
    </row>
    <row r="688" ht="15.75" customHeight="1" s="237">
      <c r="D688" s="21" t="n"/>
    </row>
    <row r="689" ht="15.75" customHeight="1" s="237">
      <c r="D689" s="21" t="n"/>
    </row>
    <row r="690" ht="15.75" customHeight="1" s="237">
      <c r="D690" s="21" t="n"/>
    </row>
    <row r="691" ht="15.75" customHeight="1" s="237">
      <c r="D691" s="21" t="n"/>
    </row>
    <row r="692" ht="15.75" customHeight="1" s="237">
      <c r="D692" s="21" t="n"/>
    </row>
    <row r="693" ht="15.75" customHeight="1" s="237">
      <c r="D693" s="21" t="n"/>
    </row>
    <row r="694" ht="15.75" customHeight="1" s="237">
      <c r="D694" s="21" t="n"/>
    </row>
    <row r="695" ht="15.75" customHeight="1" s="237">
      <c r="D695" s="21" t="n"/>
    </row>
    <row r="696" ht="15.75" customHeight="1" s="237">
      <c r="D696" s="21" t="n"/>
    </row>
    <row r="697" ht="15.75" customHeight="1" s="237">
      <c r="D697" s="21" t="n"/>
    </row>
    <row r="698" ht="15.75" customHeight="1" s="237">
      <c r="D698" s="21" t="n"/>
    </row>
    <row r="699" ht="15.75" customHeight="1" s="237">
      <c r="D699" s="21" t="n"/>
    </row>
    <row r="700" ht="15.75" customHeight="1" s="237">
      <c r="D700" s="21" t="n"/>
    </row>
    <row r="701" ht="15.75" customHeight="1" s="237">
      <c r="D701" s="21" t="n"/>
    </row>
    <row r="702" ht="15.75" customHeight="1" s="237">
      <c r="D702" s="21" t="n"/>
    </row>
    <row r="703" ht="15.75" customHeight="1" s="237">
      <c r="D703" s="21" t="n"/>
    </row>
    <row r="704" ht="15.75" customHeight="1" s="237">
      <c r="D704" s="21" t="n"/>
    </row>
    <row r="705" ht="15.75" customHeight="1" s="237">
      <c r="D705" s="21" t="n"/>
    </row>
    <row r="706" ht="15.75" customHeight="1" s="237">
      <c r="D706" s="21" t="n"/>
    </row>
    <row r="707" ht="15.75" customHeight="1" s="237">
      <c r="D707" s="21" t="n"/>
    </row>
    <row r="708" ht="15.75" customHeight="1" s="237">
      <c r="D708" s="21" t="n"/>
    </row>
    <row r="709" ht="15.75" customHeight="1" s="237">
      <c r="D709" s="21" t="n"/>
    </row>
    <row r="710" ht="15.75" customHeight="1" s="237">
      <c r="D710" s="21" t="n"/>
    </row>
    <row r="711" ht="15.75" customHeight="1" s="237">
      <c r="D711" s="21" t="n"/>
    </row>
    <row r="712" ht="15.75" customHeight="1" s="237">
      <c r="D712" s="21" t="n"/>
    </row>
    <row r="713" ht="15.75" customHeight="1" s="237">
      <c r="D713" s="21" t="n"/>
    </row>
    <row r="714" ht="15.75" customHeight="1" s="237">
      <c r="D714" s="21" t="n"/>
    </row>
    <row r="715" ht="15.75" customHeight="1" s="237">
      <c r="D715" s="21" t="n"/>
    </row>
    <row r="716" ht="15.75" customHeight="1" s="237">
      <c r="D716" s="21" t="n"/>
    </row>
    <row r="717" ht="15.75" customHeight="1" s="237">
      <c r="D717" s="21" t="n"/>
    </row>
    <row r="718" ht="15.75" customHeight="1" s="237">
      <c r="D718" s="21" t="n"/>
    </row>
    <row r="719" ht="15.75" customHeight="1" s="237">
      <c r="D719" s="21" t="n"/>
    </row>
    <row r="720" ht="15.75" customHeight="1" s="237">
      <c r="D720" s="21" t="n"/>
    </row>
    <row r="721" ht="15.75" customHeight="1" s="237">
      <c r="D721" s="21" t="n"/>
    </row>
    <row r="722" ht="15.75" customHeight="1" s="237">
      <c r="D722" s="21" t="n"/>
    </row>
    <row r="723" ht="15.75" customHeight="1" s="237">
      <c r="D723" s="21" t="n"/>
    </row>
    <row r="724" ht="15.75" customHeight="1" s="237">
      <c r="D724" s="21" t="n"/>
    </row>
    <row r="725" ht="15.75" customHeight="1" s="237">
      <c r="D725" s="21" t="n"/>
    </row>
    <row r="726" ht="15.75" customHeight="1" s="237">
      <c r="D726" s="21" t="n"/>
    </row>
    <row r="727" ht="15.75" customHeight="1" s="237">
      <c r="D727" s="21" t="n"/>
    </row>
    <row r="728" ht="15.75" customHeight="1" s="237">
      <c r="D728" s="21" t="n"/>
    </row>
    <row r="729" ht="15.75" customHeight="1" s="237">
      <c r="D729" s="21" t="n"/>
    </row>
    <row r="730" ht="15.75" customHeight="1" s="237">
      <c r="D730" s="21" t="n"/>
    </row>
    <row r="731" ht="15.75" customHeight="1" s="237">
      <c r="D731" s="21" t="n"/>
    </row>
    <row r="732" ht="15.75" customHeight="1" s="237">
      <c r="D732" s="21" t="n"/>
    </row>
    <row r="733" ht="15.75" customHeight="1" s="237">
      <c r="D733" s="21" t="n"/>
    </row>
    <row r="734" ht="15.75" customHeight="1" s="237">
      <c r="D734" s="21" t="n"/>
    </row>
    <row r="735" ht="15.75" customHeight="1" s="237">
      <c r="D735" s="21" t="n"/>
    </row>
    <row r="736" ht="15.75" customHeight="1" s="237">
      <c r="D736" s="21" t="n"/>
    </row>
    <row r="737" ht="15.75" customHeight="1" s="237">
      <c r="D737" s="21" t="n"/>
    </row>
    <row r="738" ht="15.75" customHeight="1" s="237">
      <c r="D738" s="21" t="n"/>
    </row>
    <row r="739" ht="15.75" customHeight="1" s="237">
      <c r="D739" s="21" t="n"/>
    </row>
    <row r="740" ht="15.75" customHeight="1" s="237">
      <c r="D740" s="21" t="n"/>
    </row>
    <row r="741" ht="15.75" customHeight="1" s="237">
      <c r="D741" s="21" t="n"/>
    </row>
    <row r="742" ht="15.75" customHeight="1" s="237">
      <c r="D742" s="21" t="n"/>
    </row>
    <row r="743" ht="15.75" customHeight="1" s="237">
      <c r="D743" s="21" t="n"/>
    </row>
    <row r="744" ht="15.75" customHeight="1" s="237">
      <c r="D744" s="21" t="n"/>
    </row>
    <row r="745" ht="15.75" customHeight="1" s="237">
      <c r="D745" s="21" t="n"/>
    </row>
    <row r="746" ht="15.75" customHeight="1" s="237">
      <c r="D746" s="21" t="n"/>
    </row>
    <row r="747" ht="15.75" customHeight="1" s="237">
      <c r="D747" s="21" t="n"/>
    </row>
    <row r="748" ht="15.75" customHeight="1" s="237">
      <c r="D748" s="21" t="n"/>
    </row>
    <row r="749" ht="15.75" customHeight="1" s="237">
      <c r="D749" s="21" t="n"/>
    </row>
    <row r="750" ht="15.75" customHeight="1" s="237">
      <c r="D750" s="21" t="n"/>
    </row>
    <row r="751" ht="15.75" customHeight="1" s="237">
      <c r="D751" s="21" t="n"/>
    </row>
    <row r="752" ht="15.75" customHeight="1" s="237">
      <c r="D752" s="21" t="n"/>
    </row>
    <row r="753" ht="15.75" customHeight="1" s="237">
      <c r="D753" s="21" t="n"/>
    </row>
    <row r="754" ht="15.75" customHeight="1" s="237">
      <c r="D754" s="21" t="n"/>
    </row>
    <row r="755" ht="15.75" customHeight="1" s="237">
      <c r="D755" s="21" t="n"/>
    </row>
    <row r="756" ht="15.75" customHeight="1" s="237">
      <c r="D756" s="21" t="n"/>
    </row>
    <row r="757" ht="15.75" customHeight="1" s="237">
      <c r="D757" s="21" t="n"/>
    </row>
    <row r="758" ht="15.75" customHeight="1" s="237">
      <c r="D758" s="21" t="n"/>
    </row>
    <row r="759" ht="15.75" customHeight="1" s="237">
      <c r="D759" s="21" t="n"/>
    </row>
    <row r="760" ht="15.75" customHeight="1" s="237">
      <c r="D760" s="21" t="n"/>
    </row>
    <row r="761" ht="15.75" customHeight="1" s="237">
      <c r="D761" s="21" t="n"/>
    </row>
    <row r="762" ht="15.75" customHeight="1" s="237">
      <c r="D762" s="21" t="n"/>
    </row>
    <row r="763" ht="15.75" customHeight="1" s="237">
      <c r="D763" s="21" t="n"/>
    </row>
    <row r="764" ht="15.75" customHeight="1" s="237">
      <c r="D764" s="21" t="n"/>
    </row>
    <row r="765" ht="15.75" customHeight="1" s="237">
      <c r="D765" s="21" t="n"/>
    </row>
    <row r="766" ht="15.75" customHeight="1" s="237">
      <c r="D766" s="21" t="n"/>
    </row>
    <row r="767" ht="15.75" customHeight="1" s="237">
      <c r="D767" s="21" t="n"/>
    </row>
    <row r="768" ht="15.75" customHeight="1" s="237">
      <c r="D768" s="21" t="n"/>
    </row>
    <row r="769" ht="15.75" customHeight="1" s="237">
      <c r="D769" s="21" t="n"/>
    </row>
    <row r="770" ht="15.75" customHeight="1" s="237">
      <c r="D770" s="21" t="n"/>
    </row>
    <row r="771" ht="15.75" customHeight="1" s="237">
      <c r="D771" s="21" t="n"/>
    </row>
    <row r="772" ht="15.75" customHeight="1" s="237">
      <c r="D772" s="21" t="n"/>
    </row>
    <row r="773" ht="15.75" customHeight="1" s="237">
      <c r="D773" s="21" t="n"/>
    </row>
    <row r="774" ht="15.75" customHeight="1" s="237">
      <c r="D774" s="21" t="n"/>
    </row>
    <row r="775" ht="15.75" customHeight="1" s="237">
      <c r="D775" s="21" t="n"/>
    </row>
    <row r="776" ht="15.75" customHeight="1" s="237">
      <c r="D776" s="21" t="n"/>
    </row>
    <row r="777" ht="15.75" customHeight="1" s="237">
      <c r="D777" s="21" t="n"/>
    </row>
    <row r="778" ht="15.75" customHeight="1" s="237">
      <c r="D778" s="21" t="n"/>
    </row>
    <row r="779" ht="15.75" customHeight="1" s="237">
      <c r="D779" s="21" t="n"/>
    </row>
    <row r="780" ht="15.75" customHeight="1" s="237">
      <c r="D780" s="21" t="n"/>
    </row>
    <row r="781" ht="15.75" customHeight="1" s="237">
      <c r="D781" s="21" t="n"/>
    </row>
    <row r="782" ht="15.75" customHeight="1" s="237">
      <c r="D782" s="21" t="n"/>
    </row>
    <row r="783" ht="15.75" customHeight="1" s="237">
      <c r="D783" s="21" t="n"/>
    </row>
    <row r="784" ht="15.75" customHeight="1" s="237">
      <c r="D784" s="21" t="n"/>
    </row>
    <row r="785" ht="15.75" customHeight="1" s="237">
      <c r="D785" s="21" t="n"/>
    </row>
    <row r="786" ht="15.75" customHeight="1" s="237">
      <c r="D786" s="21" t="n"/>
    </row>
    <row r="787" ht="15.75" customHeight="1" s="237">
      <c r="D787" s="21" t="n"/>
    </row>
    <row r="788" ht="15.75" customHeight="1" s="237">
      <c r="D788" s="21" t="n"/>
    </row>
    <row r="789" ht="15.75" customHeight="1" s="237">
      <c r="D789" s="21" t="n"/>
    </row>
    <row r="790" ht="15.75" customHeight="1" s="237">
      <c r="D790" s="21" t="n"/>
    </row>
    <row r="791" ht="15.75" customHeight="1" s="237">
      <c r="D791" s="21" t="n"/>
    </row>
    <row r="792" ht="15.75" customHeight="1" s="237">
      <c r="D792" s="21" t="n"/>
    </row>
    <row r="793" ht="15.75" customHeight="1" s="237">
      <c r="D793" s="21" t="n"/>
    </row>
    <row r="794" ht="15.75" customHeight="1" s="237">
      <c r="D794" s="21" t="n"/>
    </row>
    <row r="795" ht="15.75" customHeight="1" s="237">
      <c r="D795" s="21" t="n"/>
    </row>
    <row r="796" ht="15.75" customHeight="1" s="237">
      <c r="D796" s="21" t="n"/>
    </row>
    <row r="797" ht="15.75" customHeight="1" s="237">
      <c r="D797" s="21" t="n"/>
    </row>
    <row r="798" ht="15.75" customHeight="1" s="237">
      <c r="D798" s="21" t="n"/>
    </row>
    <row r="799" ht="15.75" customHeight="1" s="237">
      <c r="D799" s="21" t="n"/>
    </row>
    <row r="800" ht="15.75" customHeight="1" s="237">
      <c r="D800" s="21" t="n"/>
    </row>
    <row r="801" ht="15.75" customHeight="1" s="237">
      <c r="D801" s="21" t="n"/>
    </row>
    <row r="802" ht="15.75" customHeight="1" s="237">
      <c r="D802" s="21" t="n"/>
    </row>
    <row r="803" ht="15.75" customHeight="1" s="237">
      <c r="D803" s="21" t="n"/>
    </row>
    <row r="804" ht="15.75" customHeight="1" s="237">
      <c r="D804" s="21" t="n"/>
    </row>
    <row r="805" ht="15.75" customHeight="1" s="237">
      <c r="D805" s="21" t="n"/>
    </row>
    <row r="806" ht="15.75" customHeight="1" s="237">
      <c r="D806" s="21" t="n"/>
    </row>
    <row r="807" ht="15.75" customHeight="1" s="237">
      <c r="D807" s="21" t="n"/>
    </row>
    <row r="808" ht="15.75" customHeight="1" s="237">
      <c r="D808" s="21" t="n"/>
    </row>
    <row r="809" ht="15.75" customHeight="1" s="237">
      <c r="D809" s="21" t="n"/>
    </row>
    <row r="810" ht="15.75" customHeight="1" s="237">
      <c r="D810" s="21" t="n"/>
    </row>
    <row r="811" ht="15.75" customHeight="1" s="237">
      <c r="D811" s="21" t="n"/>
    </row>
    <row r="812" ht="15.75" customHeight="1" s="237">
      <c r="D812" s="21" t="n"/>
    </row>
    <row r="813" ht="15.75" customHeight="1" s="237">
      <c r="D813" s="21" t="n"/>
    </row>
    <row r="814" ht="15.75" customHeight="1" s="237">
      <c r="D814" s="21" t="n"/>
    </row>
    <row r="815" ht="15.75" customHeight="1" s="237">
      <c r="D815" s="21" t="n"/>
    </row>
    <row r="816" ht="15.75" customHeight="1" s="237">
      <c r="D816" s="21" t="n"/>
    </row>
    <row r="817" ht="15.75" customHeight="1" s="237">
      <c r="D817" s="21" t="n"/>
    </row>
    <row r="818" ht="15.75" customHeight="1" s="237">
      <c r="D818" s="21" t="n"/>
    </row>
    <row r="819" ht="15.75" customHeight="1" s="237">
      <c r="D819" s="21" t="n"/>
    </row>
    <row r="820" ht="15.75" customHeight="1" s="237">
      <c r="D820" s="21" t="n"/>
    </row>
    <row r="821" ht="15.75" customHeight="1" s="237">
      <c r="D821" s="21" t="n"/>
    </row>
    <row r="822" ht="15.75" customHeight="1" s="237">
      <c r="D822" s="21" t="n"/>
    </row>
    <row r="823" ht="15.75" customHeight="1" s="237">
      <c r="D823" s="21" t="n"/>
    </row>
    <row r="824" ht="15.75" customHeight="1" s="237">
      <c r="D824" s="21" t="n"/>
    </row>
    <row r="825" ht="15.75" customHeight="1" s="237">
      <c r="D825" s="21" t="n"/>
    </row>
    <row r="826" ht="15.75" customHeight="1" s="237">
      <c r="D826" s="21" t="n"/>
    </row>
    <row r="827" ht="15.75" customHeight="1" s="237">
      <c r="D827" s="21" t="n"/>
    </row>
    <row r="828" ht="15.75" customHeight="1" s="237">
      <c r="D828" s="21" t="n"/>
    </row>
    <row r="829" ht="15.75" customHeight="1" s="237">
      <c r="D829" s="21" t="n"/>
    </row>
    <row r="830" ht="15.75" customHeight="1" s="237">
      <c r="D830" s="21" t="n"/>
    </row>
    <row r="831" ht="15.75" customHeight="1" s="237">
      <c r="D831" s="21" t="n"/>
    </row>
    <row r="832" ht="15.75" customHeight="1" s="237">
      <c r="D832" s="21" t="n"/>
    </row>
    <row r="833" ht="15.75" customHeight="1" s="237">
      <c r="D833" s="21" t="n"/>
    </row>
    <row r="834" ht="15.75" customHeight="1" s="237">
      <c r="D834" s="21" t="n"/>
    </row>
    <row r="835" ht="15.75" customHeight="1" s="237">
      <c r="D835" s="21" t="n"/>
    </row>
    <row r="836" ht="15.75" customHeight="1" s="237">
      <c r="D836" s="21" t="n"/>
    </row>
    <row r="837" ht="15.75" customHeight="1" s="237">
      <c r="D837" s="21" t="n"/>
    </row>
    <row r="838" ht="15.75" customHeight="1" s="237">
      <c r="D838" s="21" t="n"/>
    </row>
    <row r="839" ht="15.75" customHeight="1" s="237">
      <c r="D839" s="21" t="n"/>
    </row>
    <row r="840" ht="15.75" customHeight="1" s="237">
      <c r="D840" s="21" t="n"/>
    </row>
    <row r="841" ht="15.75" customHeight="1" s="237">
      <c r="D841" s="21" t="n"/>
    </row>
    <row r="842" ht="15.75" customHeight="1" s="237">
      <c r="D842" s="21" t="n"/>
    </row>
    <row r="843" ht="15.75" customHeight="1" s="237">
      <c r="D843" s="21" t="n"/>
    </row>
    <row r="844" ht="15.75" customHeight="1" s="237">
      <c r="D844" s="21" t="n"/>
    </row>
    <row r="845" ht="15.75" customHeight="1" s="237">
      <c r="D845" s="21" t="n"/>
    </row>
    <row r="846" ht="15.75" customHeight="1" s="237">
      <c r="D846" s="21" t="n"/>
    </row>
    <row r="847" ht="15.75" customHeight="1" s="237">
      <c r="D847" s="21" t="n"/>
    </row>
    <row r="848" ht="15.75" customHeight="1" s="237">
      <c r="D848" s="21" t="n"/>
    </row>
    <row r="849" ht="15.75" customHeight="1" s="237">
      <c r="D849" s="21" t="n"/>
    </row>
    <row r="850" ht="15.75" customHeight="1" s="237">
      <c r="D850" s="21" t="n"/>
    </row>
    <row r="851" ht="15.75" customHeight="1" s="237">
      <c r="D851" s="21" t="n"/>
    </row>
    <row r="852" ht="15.75" customHeight="1" s="237">
      <c r="D852" s="21" t="n"/>
    </row>
    <row r="853" ht="15.75" customHeight="1" s="237">
      <c r="D853" s="21" t="n"/>
    </row>
    <row r="854" ht="15.75" customHeight="1" s="237">
      <c r="D854" s="21" t="n"/>
    </row>
    <row r="855" ht="15.75" customHeight="1" s="237">
      <c r="D855" s="21" t="n"/>
    </row>
    <row r="856" ht="15.75" customHeight="1" s="237">
      <c r="D856" s="21" t="n"/>
    </row>
    <row r="857" ht="15.75" customHeight="1" s="237">
      <c r="D857" s="21" t="n"/>
    </row>
    <row r="858" ht="15.75" customHeight="1" s="237">
      <c r="D858" s="21" t="n"/>
    </row>
    <row r="859" ht="15.75" customHeight="1" s="237">
      <c r="D859" s="21" t="n"/>
    </row>
    <row r="860" ht="15.75" customHeight="1" s="237">
      <c r="D860" s="21" t="n"/>
    </row>
    <row r="861" ht="15.75" customHeight="1" s="237">
      <c r="D861" s="21" t="n"/>
    </row>
    <row r="862" ht="15.75" customHeight="1" s="237">
      <c r="D862" s="21" t="n"/>
    </row>
    <row r="863" ht="15.75" customHeight="1" s="237">
      <c r="D863" s="21" t="n"/>
    </row>
    <row r="864" ht="15.75" customHeight="1" s="237">
      <c r="D864" s="21" t="n"/>
    </row>
    <row r="865" ht="15.75" customHeight="1" s="237">
      <c r="D865" s="21" t="n"/>
    </row>
    <row r="866" ht="15.75" customHeight="1" s="237">
      <c r="D866" s="21" t="n"/>
    </row>
    <row r="867" ht="15.75" customHeight="1" s="237">
      <c r="D867" s="21" t="n"/>
    </row>
    <row r="868" ht="15.75" customHeight="1" s="237">
      <c r="D868" s="21" t="n"/>
    </row>
    <row r="869" ht="15.75" customHeight="1" s="237">
      <c r="D869" s="21" t="n"/>
    </row>
    <row r="870" ht="15.75" customHeight="1" s="237">
      <c r="D870" s="21" t="n"/>
    </row>
    <row r="871" ht="15.75" customHeight="1" s="237">
      <c r="D871" s="21" t="n"/>
    </row>
    <row r="872" ht="15.75" customHeight="1" s="237">
      <c r="D872" s="21" t="n"/>
    </row>
    <row r="873" ht="15.75" customHeight="1" s="237">
      <c r="D873" s="21" t="n"/>
    </row>
    <row r="874" ht="15.75" customHeight="1" s="237">
      <c r="D874" s="21" t="n"/>
    </row>
    <row r="875" ht="15.75" customHeight="1" s="237">
      <c r="D875" s="21" t="n"/>
    </row>
    <row r="876" ht="15.75" customHeight="1" s="237">
      <c r="D876" s="21" t="n"/>
    </row>
    <row r="877" ht="15.75" customHeight="1" s="237">
      <c r="D877" s="21" t="n"/>
    </row>
    <row r="878" ht="15.75" customHeight="1" s="237">
      <c r="D878" s="21" t="n"/>
    </row>
    <row r="879" ht="15.75" customHeight="1" s="237">
      <c r="D879" s="21" t="n"/>
    </row>
    <row r="880" ht="15.75" customHeight="1" s="237">
      <c r="D880" s="21" t="n"/>
    </row>
    <row r="881" ht="15.75" customHeight="1" s="237">
      <c r="D881" s="21" t="n"/>
    </row>
    <row r="882" ht="15.75" customHeight="1" s="237">
      <c r="D882" s="21" t="n"/>
    </row>
    <row r="883" ht="15.75" customHeight="1" s="237">
      <c r="D883" s="21" t="n"/>
    </row>
    <row r="884" ht="15.75" customHeight="1" s="237">
      <c r="D884" s="21" t="n"/>
    </row>
    <row r="885" ht="15.75" customHeight="1" s="237">
      <c r="D885" s="21" t="n"/>
    </row>
    <row r="886" ht="15.75" customHeight="1" s="237">
      <c r="D886" s="21" t="n"/>
    </row>
    <row r="887" ht="15.75" customHeight="1" s="237">
      <c r="D887" s="21" t="n"/>
    </row>
    <row r="888" ht="15.75" customHeight="1" s="237">
      <c r="D888" s="21" t="n"/>
    </row>
    <row r="889" ht="15.75" customHeight="1" s="237">
      <c r="D889" s="21" t="n"/>
    </row>
    <row r="890" ht="15.75" customHeight="1" s="237">
      <c r="D890" s="21" t="n"/>
    </row>
    <row r="891" ht="15.75" customHeight="1" s="237">
      <c r="D891" s="21" t="n"/>
    </row>
    <row r="892" ht="15.75" customHeight="1" s="237">
      <c r="D892" s="21" t="n"/>
    </row>
    <row r="893" ht="15.75" customHeight="1" s="237">
      <c r="D893" s="21" t="n"/>
    </row>
    <row r="894" ht="15.75" customHeight="1" s="237">
      <c r="D894" s="21" t="n"/>
    </row>
    <row r="895" ht="15.75" customHeight="1" s="237">
      <c r="D895" s="21" t="n"/>
    </row>
    <row r="896" ht="15.75" customHeight="1" s="237">
      <c r="D896" s="21" t="n"/>
    </row>
    <row r="897" ht="15.75" customHeight="1" s="237">
      <c r="D897" s="21" t="n"/>
    </row>
    <row r="898" ht="15.75" customHeight="1" s="237">
      <c r="D898" s="21" t="n"/>
    </row>
    <row r="899" ht="15.75" customHeight="1" s="237">
      <c r="D899" s="21" t="n"/>
    </row>
    <row r="900" ht="15.75" customHeight="1" s="237">
      <c r="D900" s="21" t="n"/>
    </row>
    <row r="901" ht="15.75" customHeight="1" s="237">
      <c r="D901" s="21" t="n"/>
    </row>
    <row r="902" ht="15.75" customHeight="1" s="237">
      <c r="D902" s="21" t="n"/>
    </row>
    <row r="903" ht="15.75" customHeight="1" s="237">
      <c r="D903" s="21" t="n"/>
    </row>
    <row r="904" ht="15.75" customHeight="1" s="237">
      <c r="D904" s="21" t="n"/>
    </row>
    <row r="905" ht="15.75" customHeight="1" s="237">
      <c r="D905" s="21" t="n"/>
    </row>
    <row r="906" ht="15.75" customHeight="1" s="237">
      <c r="D906" s="21" t="n"/>
    </row>
    <row r="907" ht="15.75" customHeight="1" s="237">
      <c r="D907" s="21" t="n"/>
    </row>
    <row r="908" ht="15.75" customHeight="1" s="237">
      <c r="D908" s="21" t="n"/>
    </row>
    <row r="909" ht="15.75" customHeight="1" s="237">
      <c r="D909" s="21" t="n"/>
    </row>
    <row r="910" ht="15.75" customHeight="1" s="237">
      <c r="D910" s="21" t="n"/>
    </row>
    <row r="911" ht="15.75" customHeight="1" s="237">
      <c r="D911" s="21" t="n"/>
    </row>
    <row r="912" ht="15.75" customHeight="1" s="237">
      <c r="D912" s="21" t="n"/>
    </row>
    <row r="913" ht="15.75" customHeight="1" s="237">
      <c r="D913" s="21" t="n"/>
    </row>
    <row r="914" ht="15.75" customHeight="1" s="237">
      <c r="D914" s="21" t="n"/>
    </row>
    <row r="915" ht="15.75" customHeight="1" s="237">
      <c r="D915" s="21" t="n"/>
    </row>
    <row r="916" ht="15.75" customHeight="1" s="237">
      <c r="D916" s="21" t="n"/>
    </row>
    <row r="917" ht="15.75" customHeight="1" s="237">
      <c r="D917" s="21" t="n"/>
    </row>
    <row r="918" ht="15.75" customHeight="1" s="237">
      <c r="D918" s="21" t="n"/>
    </row>
    <row r="919" ht="15.75" customHeight="1" s="237">
      <c r="D919" s="21" t="n"/>
    </row>
    <row r="920" ht="15.75" customHeight="1" s="237">
      <c r="D920" s="21" t="n"/>
    </row>
    <row r="921" ht="15.75" customHeight="1" s="237">
      <c r="D921" s="21" t="n"/>
    </row>
    <row r="922" ht="15.75" customHeight="1" s="237">
      <c r="D922" s="21" t="n"/>
    </row>
    <row r="923" ht="15.75" customHeight="1" s="237">
      <c r="D923" s="21" t="n"/>
    </row>
    <row r="924" ht="15.75" customHeight="1" s="237">
      <c r="D924" s="21" t="n"/>
    </row>
    <row r="925" ht="15.75" customHeight="1" s="237">
      <c r="D925" s="21" t="n"/>
    </row>
    <row r="926" ht="15.75" customHeight="1" s="237">
      <c r="D926" s="21" t="n"/>
    </row>
    <row r="927" ht="15.75" customHeight="1" s="237">
      <c r="D927" s="21" t="n"/>
    </row>
    <row r="928" ht="15.75" customHeight="1" s="237">
      <c r="D928" s="21" t="n"/>
    </row>
    <row r="929" ht="15.75" customHeight="1" s="237">
      <c r="D929" s="21" t="n"/>
    </row>
    <row r="930" ht="15.75" customHeight="1" s="237">
      <c r="D930" s="21" t="n"/>
    </row>
    <row r="931" ht="15.75" customHeight="1" s="237">
      <c r="D931" s="21" t="n"/>
    </row>
    <row r="932" ht="15.75" customHeight="1" s="237">
      <c r="D932" s="21" t="n"/>
    </row>
    <row r="933" ht="15.75" customHeight="1" s="237">
      <c r="D933" s="21" t="n"/>
    </row>
    <row r="934" ht="15.75" customHeight="1" s="237">
      <c r="D934" s="21" t="n"/>
    </row>
    <row r="935" ht="15.75" customHeight="1" s="237">
      <c r="D935" s="21" t="n"/>
    </row>
    <row r="936" ht="15.75" customHeight="1" s="237">
      <c r="D936" s="21" t="n"/>
    </row>
    <row r="937" ht="15.75" customHeight="1" s="237">
      <c r="D937" s="21" t="n"/>
    </row>
    <row r="938" ht="15.75" customHeight="1" s="237">
      <c r="D938" s="21" t="n"/>
    </row>
    <row r="939" ht="15.75" customHeight="1" s="237">
      <c r="D939" s="21" t="n"/>
    </row>
    <row r="940" ht="15.75" customHeight="1" s="237">
      <c r="D940" s="21" t="n"/>
    </row>
    <row r="941" ht="15.75" customHeight="1" s="237">
      <c r="D941" s="21" t="n"/>
    </row>
    <row r="942" ht="15.75" customHeight="1" s="237">
      <c r="D942" s="21" t="n"/>
    </row>
    <row r="943" ht="15.75" customHeight="1" s="237">
      <c r="D943" s="21" t="n"/>
    </row>
    <row r="944" ht="15.75" customHeight="1" s="237">
      <c r="D944" s="21" t="n"/>
    </row>
    <row r="945" ht="15.75" customHeight="1" s="237">
      <c r="D945" s="21" t="n"/>
    </row>
    <row r="946" ht="15.75" customHeight="1" s="237">
      <c r="D946" s="21" t="n"/>
    </row>
    <row r="947" ht="15.75" customHeight="1" s="237">
      <c r="D947" s="21" t="n"/>
    </row>
    <row r="948" ht="15.75" customHeight="1" s="237">
      <c r="D948" s="21" t="n"/>
    </row>
    <row r="949" ht="15.75" customHeight="1" s="237">
      <c r="D949" s="21" t="n"/>
    </row>
    <row r="950" ht="15.75" customHeight="1" s="237">
      <c r="D950" s="21" t="n"/>
    </row>
    <row r="951" ht="15.75" customHeight="1" s="237">
      <c r="D951" s="21" t="n"/>
    </row>
    <row r="952" ht="15.75" customHeight="1" s="237">
      <c r="D952" s="21" t="n"/>
    </row>
    <row r="953" ht="15.75" customHeight="1" s="237">
      <c r="D953" s="21" t="n"/>
    </row>
    <row r="954" ht="15.75" customHeight="1" s="237">
      <c r="D954" s="21" t="n"/>
    </row>
    <row r="955" ht="15.75" customHeight="1" s="237">
      <c r="D955" s="21" t="n"/>
    </row>
    <row r="956" ht="15.75" customHeight="1" s="237">
      <c r="D956" s="21" t="n"/>
    </row>
    <row r="957" ht="15.75" customHeight="1" s="237">
      <c r="D957" s="21" t="n"/>
    </row>
    <row r="958" ht="15.75" customHeight="1" s="237">
      <c r="D958" s="21" t="n"/>
    </row>
    <row r="959" ht="15.75" customHeight="1" s="237">
      <c r="D959" s="21" t="n"/>
    </row>
    <row r="960" ht="15.75" customHeight="1" s="237">
      <c r="D960" s="21" t="n"/>
    </row>
    <row r="961" ht="15.75" customHeight="1" s="237">
      <c r="D961" s="21" t="n"/>
    </row>
    <row r="962" ht="15.75" customHeight="1" s="237">
      <c r="D962" s="21" t="n"/>
    </row>
    <row r="963" ht="15.75" customHeight="1" s="237">
      <c r="D963" s="21" t="n"/>
    </row>
    <row r="964" ht="15.75" customHeight="1" s="237">
      <c r="D964" s="21" t="n"/>
    </row>
    <row r="965" ht="15.75" customHeight="1" s="237">
      <c r="D965" s="21" t="n"/>
    </row>
    <row r="966" ht="15.75" customHeight="1" s="237">
      <c r="D966" s="21" t="n"/>
    </row>
    <row r="967" ht="15.75" customHeight="1" s="237">
      <c r="D967" s="21" t="n"/>
    </row>
    <row r="968" ht="15.75" customHeight="1" s="237">
      <c r="D968" s="21" t="n"/>
    </row>
    <row r="969" ht="15.75" customHeight="1" s="237">
      <c r="D969" s="21" t="n"/>
    </row>
    <row r="970" ht="15.75" customHeight="1" s="237">
      <c r="D970" s="21" t="n"/>
    </row>
    <row r="971" ht="15.75" customHeight="1" s="237">
      <c r="D971" s="21" t="n"/>
    </row>
    <row r="972" ht="15.75" customHeight="1" s="237">
      <c r="D972" s="21" t="n"/>
    </row>
    <row r="973" ht="15.75" customHeight="1" s="237">
      <c r="D973" s="21" t="n"/>
    </row>
    <row r="974" ht="15.75" customHeight="1" s="237">
      <c r="D974" s="21" t="n"/>
    </row>
    <row r="975" ht="15.75" customHeight="1" s="237">
      <c r="D975" s="21" t="n"/>
    </row>
    <row r="976" ht="15.75" customHeight="1" s="237">
      <c r="D976" s="21" t="n"/>
    </row>
    <row r="977" ht="15.75" customHeight="1" s="237">
      <c r="D977" s="21" t="n"/>
    </row>
    <row r="978" ht="15.75" customHeight="1" s="237">
      <c r="D978" s="21" t="n"/>
    </row>
    <row r="979" ht="15.75" customHeight="1" s="237">
      <c r="D979" s="21" t="n"/>
    </row>
    <row r="980" ht="15.75" customHeight="1" s="237">
      <c r="D980" s="21" t="n"/>
    </row>
    <row r="981" ht="15.75" customHeight="1" s="237">
      <c r="D981" s="21" t="n"/>
    </row>
    <row r="982" ht="15.75" customHeight="1" s="237">
      <c r="D982" s="21" t="n"/>
    </row>
    <row r="983" ht="15.75" customHeight="1" s="237">
      <c r="D983" s="21" t="n"/>
    </row>
    <row r="984" ht="15.75" customHeight="1" s="237">
      <c r="D984" s="21" t="n"/>
    </row>
    <row r="985" ht="15.75" customHeight="1" s="237">
      <c r="D985" s="21" t="n"/>
    </row>
    <row r="986" ht="15.75" customHeight="1" s="237">
      <c r="D986" s="21" t="n"/>
    </row>
    <row r="987" ht="15.75" customHeight="1" s="237">
      <c r="D987" s="21" t="n"/>
    </row>
    <row r="988" ht="15.75" customHeight="1" s="237">
      <c r="D988" s="21" t="n"/>
    </row>
    <row r="989" ht="15.75" customHeight="1" s="237">
      <c r="D989" s="21" t="n"/>
    </row>
    <row r="990" ht="15.75" customHeight="1" s="237">
      <c r="D990" s="21" t="n"/>
    </row>
    <row r="991" ht="15.75" customHeight="1" s="237">
      <c r="D991" s="21" t="n"/>
    </row>
    <row r="992" ht="15.75" customHeight="1" s="237">
      <c r="D992" s="21" t="n"/>
    </row>
    <row r="993" ht="15.75" customHeight="1" s="237">
      <c r="D993" s="21" t="n"/>
    </row>
    <row r="994" ht="15.75" customHeight="1" s="237">
      <c r="D994" s="21" t="n"/>
    </row>
    <row r="995" ht="15.75" customHeight="1" s="237">
      <c r="D995" s="21" t="n"/>
    </row>
    <row r="996" ht="15.75" customHeight="1" s="237">
      <c r="D996" s="21" t="n"/>
    </row>
    <row r="997" ht="15.75" customHeight="1" s="237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37" min="1" max="1"/>
    <col width="9.140625" customWidth="1" style="237" min="2" max="2"/>
    <col width="16.28515625" customWidth="1" style="237" min="3" max="3"/>
    <col width="9.140625" customWidth="1" style="237" min="4" max="6"/>
    <col width="12.42578125" customWidth="1" style="237" min="7" max="7"/>
    <col width="9.140625" customWidth="1" style="237" min="8" max="12"/>
    <col width="9.85546875" bestFit="1" customWidth="1" style="237" min="13" max="13"/>
    <col width="35.7109375" customWidth="1" style="237" min="14" max="15"/>
    <col width="9.140625" customWidth="1" style="237" min="16" max="16"/>
    <col width="19.7109375" customWidth="1" style="237" min="17" max="17"/>
    <col width="15" customWidth="1" style="237" min="18" max="18"/>
    <col width="9.140625" customWidth="1" style="237" min="19" max="19"/>
    <col width="33.28515625" customWidth="1" style="237" min="20" max="20"/>
    <col width="8.7109375" customWidth="1" style="237" min="21" max="21"/>
    <col width="10.7109375" bestFit="1" customWidth="1" style="237" min="22" max="22"/>
    <col width="8.7109375" customWidth="1" style="237" min="23" max="26"/>
  </cols>
  <sheetData>
    <row r="1" ht="16.5" customHeight="1" s="237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234" t="inlineStr">
        <is>
          <t>For my Information</t>
        </is>
      </c>
      <c r="M1" s="302" t="n"/>
      <c r="N1" s="302" t="n"/>
      <c r="O1" s="302" t="n"/>
      <c r="P1" s="6" t="n"/>
      <c r="Q1" s="303" t="inlineStr">
        <is>
          <t>Pickup/Drop off/Wait time</t>
        </is>
      </c>
      <c r="S1" s="6" t="n"/>
      <c r="T1" s="6" t="n"/>
      <c r="U1" s="6" t="n"/>
      <c r="V1" s="6" t="n"/>
      <c r="W1" s="6" t="n"/>
      <c r="X1" s="6" t="n"/>
      <c r="Y1" s="6" t="n"/>
      <c r="Z1" s="6" t="n"/>
    </row>
    <row r="2" ht="16.5" customHeight="1" s="237">
      <c r="A2" s="26" t="inlineStr">
        <is>
          <t>Disability</t>
        </is>
      </c>
      <c r="B2" s="6" t="n"/>
      <c r="C2" s="26" t="inlineStr">
        <is>
          <t>Disability Script</t>
        </is>
      </c>
      <c r="D2" s="6" t="n"/>
      <c r="E2" s="26" t="inlineStr">
        <is>
          <t>States</t>
        </is>
      </c>
      <c r="F2" s="6" t="n"/>
      <c r="G2" s="26" t="inlineStr">
        <is>
          <t>Months</t>
        </is>
      </c>
      <c r="H2" s="26" t="inlineStr">
        <is>
          <t>Year</t>
        </is>
      </c>
      <c r="I2" s="6" t="n"/>
      <c r="J2" s="26" t="inlineStr">
        <is>
          <t>Status</t>
        </is>
      </c>
      <c r="K2" s="6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6" t="n"/>
      <c r="Q2" s="26" t="inlineStr">
        <is>
          <t>Unit Multiplier</t>
        </is>
      </c>
      <c r="R2" s="26" t="inlineStr">
        <is>
          <t>Multiplier</t>
        </is>
      </c>
      <c r="S2" s="6" t="n"/>
      <c r="T2" s="28" t="inlineStr">
        <is>
          <t>Headquarters</t>
        </is>
      </c>
      <c r="U2" s="6" t="n"/>
      <c r="V2" s="28" t="inlineStr">
        <is>
          <t>Status</t>
        </is>
      </c>
      <c r="W2" s="6" t="n"/>
      <c r="X2" s="6" t="n"/>
      <c r="Y2" s="6" t="n"/>
      <c r="Z2" s="6" t="n"/>
    </row>
    <row r="3" ht="33" customHeight="1" s="237">
      <c r="A3" s="6" t="n"/>
      <c r="B3" s="6" t="n"/>
      <c r="C3" s="6" t="n"/>
      <c r="D3" s="6" t="n"/>
      <c r="E3" s="6" t="inlineStr">
        <is>
          <t>N/A</t>
        </is>
      </c>
      <c r="F3" s="6" t="n"/>
      <c r="G3" s="6" t="inlineStr">
        <is>
          <t>January</t>
        </is>
      </c>
      <c r="H3" s="6" t="n">
        <v>2018</v>
      </c>
      <c r="I3" s="6" t="n"/>
      <c r="J3" s="6" t="inlineStr">
        <is>
          <t>MACP</t>
        </is>
      </c>
      <c r="K3" s="6" t="n"/>
      <c r="L3" s="29" t="inlineStr">
        <is>
          <t>A0130</t>
        </is>
      </c>
      <c r="M3" s="304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6" t="n"/>
      <c r="Q3" s="236" t="inlineStr">
        <is>
          <t>N/A</t>
        </is>
      </c>
      <c r="R3" s="236" t="inlineStr">
        <is>
          <t>N/A</t>
        </is>
      </c>
      <c r="S3" s="6" t="n"/>
      <c r="T3" s="73" t="inlineStr">
        <is>
          <t>18311 W 10 Mile Rd. 
Southfield, MI 48076</t>
        </is>
      </c>
      <c r="U3" s="6" t="n"/>
      <c r="V3" s="6" t="inlineStr">
        <is>
          <t>Active</t>
        </is>
      </c>
      <c r="W3" s="6" t="n"/>
      <c r="X3" s="6" t="n"/>
      <c r="Y3" s="6" t="n"/>
      <c r="Z3" s="6" t="n"/>
    </row>
    <row r="4" ht="16.5" customHeight="1" s="237">
      <c r="A4" s="6" t="inlineStr">
        <is>
          <t>Wheel Chair</t>
        </is>
      </c>
      <c r="B4" s="6" t="n"/>
      <c r="C4" s="6" t="inlineStr">
        <is>
          <t>On record</t>
        </is>
      </c>
      <c r="D4" s="6" t="n"/>
      <c r="E4" s="6" t="inlineStr">
        <is>
          <t>AL</t>
        </is>
      </c>
      <c r="F4" s="6" t="n"/>
      <c r="G4" s="6" t="inlineStr">
        <is>
          <t>February</t>
        </is>
      </c>
      <c r="H4" s="6" t="n">
        <v>2019</v>
      </c>
      <c r="I4" s="6" t="n"/>
      <c r="J4" s="6" t="inlineStr">
        <is>
          <t>Sent</t>
        </is>
      </c>
      <c r="K4" s="6" t="n"/>
      <c r="L4" s="12" t="inlineStr">
        <is>
          <t>T2007</t>
        </is>
      </c>
      <c r="M4" s="305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6" t="n"/>
      <c r="Q4" s="236" t="inlineStr">
        <is>
          <t>0 Unit</t>
        </is>
      </c>
      <c r="R4" s="236" t="n">
        <v>0</v>
      </c>
      <c r="S4" s="6" t="n"/>
      <c r="T4" s="16" t="n"/>
      <c r="U4" s="6" t="n"/>
      <c r="V4" s="6" t="inlineStr">
        <is>
          <t>Archive</t>
        </is>
      </c>
      <c r="W4" s="6" t="n"/>
      <c r="X4" s="6" t="n"/>
      <c r="Y4" s="6" t="n"/>
      <c r="Z4" s="6" t="n"/>
    </row>
    <row r="5" ht="16.5" customHeight="1" s="237">
      <c r="A5" s="6" t="inlineStr">
        <is>
          <t>Non-Wheel Chair</t>
        </is>
      </c>
      <c r="B5" s="6" t="n"/>
      <c r="C5" s="6" t="inlineStr">
        <is>
          <t>Not on record</t>
        </is>
      </c>
      <c r="D5" s="6" t="n"/>
      <c r="E5" s="6" t="inlineStr">
        <is>
          <t>AK</t>
        </is>
      </c>
      <c r="F5" s="6" t="n"/>
      <c r="G5" s="6" t="inlineStr">
        <is>
          <t>March</t>
        </is>
      </c>
      <c r="H5" s="6" t="n">
        <v>2020</v>
      </c>
      <c r="I5" s="6" t="n"/>
      <c r="J5" s="6" t="inlineStr">
        <is>
          <t>Not Sent</t>
        </is>
      </c>
      <c r="K5" s="6" t="n"/>
      <c r="L5" s="12" t="inlineStr">
        <is>
          <t>S0215</t>
        </is>
      </c>
      <c r="M5" s="305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6" t="n"/>
      <c r="Q5" s="236" t="inlineStr">
        <is>
          <t>1 Unit</t>
        </is>
      </c>
      <c r="R5" s="236" t="n">
        <v>25</v>
      </c>
      <c r="S5" s="6" t="n"/>
      <c r="T5" s="16" t="n"/>
      <c r="U5" s="6" t="n"/>
      <c r="V5" s="6" t="n"/>
      <c r="W5" s="6" t="n"/>
      <c r="X5" s="6" t="n"/>
      <c r="Y5" s="6" t="n"/>
      <c r="Z5" s="6" t="n"/>
    </row>
    <row r="6" ht="16.5" customHeight="1" s="237">
      <c r="A6" s="6" t="n"/>
      <c r="B6" s="6" t="n"/>
      <c r="C6" s="6" t="n"/>
      <c r="D6" s="6" t="n"/>
      <c r="E6" s="6" t="inlineStr">
        <is>
          <t>AZ</t>
        </is>
      </c>
      <c r="F6" s="6" t="n"/>
      <c r="G6" s="6" t="inlineStr">
        <is>
          <t>April</t>
        </is>
      </c>
      <c r="H6" s="6" t="n">
        <v>2021</v>
      </c>
      <c r="I6" s="6" t="n"/>
      <c r="J6" s="6" t="n"/>
      <c r="K6" s="6" t="n"/>
      <c r="L6" s="12" t="inlineStr">
        <is>
          <t xml:space="preserve">S0215 </t>
        </is>
      </c>
      <c r="M6" s="305" t="n">
        <v>3</v>
      </c>
      <c r="N6" s="12" t="inlineStr">
        <is>
          <t>Unloaded</t>
        </is>
      </c>
      <c r="O6" s="3" t="inlineStr">
        <is>
          <t>Non-Wheel Chair</t>
        </is>
      </c>
      <c r="P6" s="6" t="n"/>
      <c r="Q6" s="236" t="inlineStr">
        <is>
          <t>2 Unit</t>
        </is>
      </c>
      <c r="R6" s="236" t="n">
        <v>50</v>
      </c>
      <c r="S6" s="6" t="n"/>
      <c r="T6" s="6" t="n"/>
      <c r="U6" s="6" t="n"/>
      <c r="V6" s="6" t="n"/>
      <c r="W6" s="6" t="n"/>
      <c r="X6" s="6" t="n"/>
      <c r="Y6" s="6" t="n"/>
      <c r="Z6" s="6" t="n"/>
    </row>
    <row r="7" ht="16.5" customHeight="1" s="237">
      <c r="A7" s="6" t="n"/>
      <c r="B7" s="6" t="n"/>
      <c r="C7" s="6" t="n"/>
      <c r="D7" s="6" t="n"/>
      <c r="E7" s="6" t="inlineStr">
        <is>
          <t>AR</t>
        </is>
      </c>
      <c r="F7" s="6" t="n"/>
      <c r="G7" s="6" t="inlineStr">
        <is>
          <t>May</t>
        </is>
      </c>
      <c r="H7" s="6" t="n">
        <v>2022</v>
      </c>
      <c r="I7" s="6" t="n"/>
      <c r="J7" s="6" t="n"/>
      <c r="K7" s="6" t="n"/>
      <c r="L7" s="12" t="inlineStr">
        <is>
          <t>S0209</t>
        </is>
      </c>
      <c r="M7" s="305" t="n">
        <v>3</v>
      </c>
      <c r="N7" s="12" t="inlineStr">
        <is>
          <t>Mileage Wheelchair</t>
        </is>
      </c>
      <c r="O7" s="3" t="inlineStr">
        <is>
          <t>Wheel Chair</t>
        </is>
      </c>
      <c r="P7" s="6" t="n"/>
      <c r="Q7" s="236" t="inlineStr">
        <is>
          <t>3 Unit</t>
        </is>
      </c>
      <c r="R7" s="236" t="n">
        <v>75</v>
      </c>
      <c r="S7" s="6" t="n"/>
      <c r="T7" s="6" t="n"/>
      <c r="U7" s="6" t="n"/>
      <c r="V7" s="6" t="n"/>
      <c r="W7" s="6" t="n"/>
      <c r="X7" s="6" t="n"/>
      <c r="Y7" s="6" t="n"/>
      <c r="Z7" s="6" t="n"/>
    </row>
    <row r="8" ht="16.5" customHeight="1" s="237">
      <c r="A8" s="6" t="n"/>
      <c r="B8" s="6" t="n"/>
      <c r="C8" s="6" t="n"/>
      <c r="D8" s="6" t="n"/>
      <c r="E8" s="6" t="inlineStr">
        <is>
          <t>CA</t>
        </is>
      </c>
      <c r="F8" s="6" t="n"/>
      <c r="G8" s="6" t="inlineStr">
        <is>
          <t>June</t>
        </is>
      </c>
      <c r="H8" s="6" t="n">
        <v>2023</v>
      </c>
      <c r="I8" s="6" t="n"/>
      <c r="J8" s="6" t="n"/>
      <c r="K8" s="6" t="n"/>
      <c r="L8" s="12" t="inlineStr">
        <is>
          <t>S0209</t>
        </is>
      </c>
      <c r="M8" s="305" t="n">
        <v>3</v>
      </c>
      <c r="N8" s="12" t="inlineStr">
        <is>
          <t>Wheelchair Unloaded</t>
        </is>
      </c>
      <c r="O8" s="3" t="inlineStr">
        <is>
          <t>Wheel Chair</t>
        </is>
      </c>
      <c r="P8" s="6" t="n"/>
      <c r="Q8" s="236" t="inlineStr">
        <is>
          <t>4 Unit</t>
        </is>
      </c>
      <c r="R8" s="236" t="n">
        <v>100</v>
      </c>
      <c r="S8" s="6" t="n"/>
      <c r="T8" s="6" t="n"/>
      <c r="U8" s="6" t="n"/>
      <c r="V8" s="6" t="n"/>
      <c r="W8" s="6" t="n"/>
      <c r="X8" s="6" t="n"/>
      <c r="Y8" s="6" t="n"/>
      <c r="Z8" s="6" t="n"/>
    </row>
    <row r="9" ht="49.5" customHeight="1" s="237">
      <c r="A9" s="6" t="n"/>
      <c r="B9" s="6" t="n"/>
      <c r="C9" s="6" t="n"/>
      <c r="D9" s="6" t="n"/>
      <c r="E9" s="6" t="inlineStr">
        <is>
          <t>CO</t>
        </is>
      </c>
      <c r="F9" s="6" t="n"/>
      <c r="G9" s="6" t="inlineStr">
        <is>
          <t>July</t>
        </is>
      </c>
      <c r="H9" s="6" t="n">
        <v>2024</v>
      </c>
      <c r="I9" s="6" t="n"/>
      <c r="J9" s="6" t="n"/>
      <c r="K9" s="6" t="n"/>
      <c r="L9" s="3" t="inlineStr">
        <is>
          <t>T2001</t>
        </is>
      </c>
      <c r="M9" s="305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6" t="n"/>
      <c r="Q9" s="236" t="inlineStr">
        <is>
          <t>5 Unit</t>
        </is>
      </c>
      <c r="R9" s="236" t="n">
        <v>125</v>
      </c>
      <c r="S9" s="6" t="n"/>
      <c r="T9" s="6" t="n"/>
      <c r="U9" s="6" t="n"/>
      <c r="V9" s="6" t="n"/>
      <c r="W9" s="6" t="n"/>
      <c r="X9" s="6" t="n"/>
      <c r="Y9" s="6" t="n"/>
      <c r="Z9" s="6" t="n"/>
    </row>
    <row r="10" ht="49.5" customHeight="1" s="237">
      <c r="A10" s="6" t="n"/>
      <c r="B10" s="6" t="n"/>
      <c r="C10" s="6" t="n"/>
      <c r="D10" s="6" t="n"/>
      <c r="E10" s="6" t="inlineStr">
        <is>
          <t>CT</t>
        </is>
      </c>
      <c r="F10" s="6" t="n"/>
      <c r="G10" s="6" t="inlineStr">
        <is>
          <t>August</t>
        </is>
      </c>
      <c r="H10" s="6" t="n">
        <v>2025</v>
      </c>
      <c r="I10" s="6" t="n"/>
      <c r="J10" s="6" t="n"/>
      <c r="K10" s="6" t="n"/>
      <c r="L10" s="3" t="inlineStr">
        <is>
          <t>T2001</t>
        </is>
      </c>
      <c r="M10" s="305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6" t="n"/>
      <c r="Q10" s="236" t="inlineStr">
        <is>
          <t>6 Unit</t>
        </is>
      </c>
      <c r="R10" s="236" t="n">
        <v>150</v>
      </c>
      <c r="S10" s="6" t="n"/>
      <c r="T10" s="6" t="n"/>
      <c r="U10" s="6" t="n"/>
      <c r="V10" s="6" t="n"/>
      <c r="W10" s="6" t="n"/>
      <c r="X10" s="6" t="n"/>
      <c r="Y10" s="6" t="n"/>
      <c r="Z10" s="6" t="n"/>
    </row>
    <row r="11" ht="16.5" customHeight="1" s="237">
      <c r="A11" s="6" t="n"/>
      <c r="B11" s="6" t="n"/>
      <c r="C11" s="6" t="n"/>
      <c r="D11" s="6" t="n"/>
      <c r="E11" s="6" t="inlineStr">
        <is>
          <t>DE</t>
        </is>
      </c>
      <c r="F11" s="6" t="n"/>
      <c r="G11" s="6" t="inlineStr">
        <is>
          <t>September</t>
        </is>
      </c>
      <c r="H11" s="6" t="n">
        <v>2026</v>
      </c>
      <c r="I11" s="6" t="n"/>
      <c r="J11" s="6" t="n"/>
      <c r="K11" s="6" t="n"/>
      <c r="L11" s="6" t="n"/>
      <c r="M11" s="10" t="n"/>
      <c r="N11" s="6" t="n"/>
      <c r="O11" s="11" t="n"/>
      <c r="P11" s="6" t="n"/>
      <c r="Q11" s="236" t="inlineStr">
        <is>
          <t>7 Unit</t>
        </is>
      </c>
      <c r="R11" s="236" t="n">
        <v>175</v>
      </c>
      <c r="S11" s="6" t="n"/>
      <c r="T11" s="6" t="n"/>
      <c r="U11" s="6" t="n"/>
      <c r="V11" s="6" t="n"/>
      <c r="W11" s="6" t="n"/>
      <c r="X11" s="6" t="n"/>
      <c r="Y11" s="6" t="n"/>
      <c r="Z11" s="6" t="n"/>
    </row>
    <row r="12" ht="16.5" customHeight="1" s="237">
      <c r="A12" s="6" t="n"/>
      <c r="B12" s="6" t="n"/>
      <c r="C12" s="6" t="n"/>
      <c r="D12" s="6" t="n"/>
      <c r="E12" s="6" t="inlineStr">
        <is>
          <t>FL</t>
        </is>
      </c>
      <c r="F12" s="6" t="n"/>
      <c r="G12" s="6" t="inlineStr">
        <is>
          <t>October</t>
        </is>
      </c>
      <c r="H12" s="6" t="n">
        <v>2027</v>
      </c>
      <c r="I12" s="6" t="n"/>
      <c r="J12" s="6" t="n"/>
      <c r="K12" s="6" t="n"/>
      <c r="L12" s="6" t="n"/>
      <c r="M12" s="10" t="n"/>
      <c r="N12" s="6" t="n"/>
      <c r="O12" s="11" t="n"/>
      <c r="P12" s="6" t="n"/>
      <c r="Q12" s="236" t="inlineStr">
        <is>
          <t>8 Unit</t>
        </is>
      </c>
      <c r="R12" s="236" t="n">
        <v>200</v>
      </c>
      <c r="S12" s="6" t="n"/>
      <c r="T12" s="6" t="n"/>
      <c r="U12" s="6" t="n"/>
      <c r="V12" s="6" t="n"/>
      <c r="W12" s="6" t="n"/>
      <c r="X12" s="6" t="n"/>
      <c r="Y12" s="6" t="n"/>
      <c r="Z12" s="6" t="n"/>
    </row>
    <row r="13" ht="16.5" customHeight="1" s="237">
      <c r="A13" s="6" t="n"/>
      <c r="B13" s="6" t="n"/>
      <c r="C13" s="6" t="n"/>
      <c r="D13" s="6" t="n"/>
      <c r="E13" s="6" t="inlineStr">
        <is>
          <t>GA</t>
        </is>
      </c>
      <c r="F13" s="6" t="n"/>
      <c r="G13" s="6" t="inlineStr">
        <is>
          <t>November</t>
        </is>
      </c>
      <c r="H13" s="6" t="n">
        <v>2028</v>
      </c>
      <c r="I13" s="6" t="n"/>
      <c r="J13" s="6" t="n"/>
      <c r="K13" s="6" t="n"/>
      <c r="L13" s="6" t="n"/>
      <c r="M13" s="10" t="n"/>
      <c r="N13" s="6" t="n"/>
      <c r="O13" s="11" t="n"/>
      <c r="P13" s="6" t="n"/>
      <c r="Q13" s="236" t="inlineStr">
        <is>
          <t>9 Unit</t>
        </is>
      </c>
      <c r="R13" s="236" t="n">
        <v>225</v>
      </c>
      <c r="S13" s="6" t="n"/>
      <c r="T13" s="6" t="n"/>
      <c r="U13" s="6" t="n"/>
      <c r="V13" s="6" t="n"/>
      <c r="W13" s="6" t="n"/>
      <c r="X13" s="6" t="n"/>
      <c r="Y13" s="6" t="n"/>
      <c r="Z13" s="6" t="n"/>
    </row>
    <row r="14" ht="16.5" customHeight="1" s="237">
      <c r="A14" s="6" t="n"/>
      <c r="B14" s="6" t="n"/>
      <c r="C14" s="6" t="n"/>
      <c r="D14" s="6" t="n"/>
      <c r="E14" s="6" t="inlineStr">
        <is>
          <t>HI</t>
        </is>
      </c>
      <c r="F14" s="6" t="n"/>
      <c r="G14" s="6" t="inlineStr">
        <is>
          <t>December</t>
        </is>
      </c>
      <c r="H14" s="6" t="n">
        <v>2029</v>
      </c>
      <c r="I14" s="6" t="n"/>
      <c r="J14" s="6" t="n"/>
      <c r="K14" s="6" t="n"/>
      <c r="L14" s="6" t="n"/>
      <c r="M14" s="10" t="n"/>
      <c r="N14" s="6" t="n"/>
      <c r="O14" s="11" t="n"/>
      <c r="P14" s="6" t="n"/>
      <c r="Q14" s="236" t="inlineStr">
        <is>
          <t>10 Unit</t>
        </is>
      </c>
      <c r="R14" s="236" t="n">
        <v>250</v>
      </c>
      <c r="S14" s="6" t="n"/>
      <c r="T14" s="6" t="n"/>
      <c r="U14" s="6" t="n"/>
      <c r="V14" s="6" t="n"/>
      <c r="W14" s="6" t="n"/>
      <c r="X14" s="6" t="n"/>
      <c r="Y14" s="6" t="n"/>
      <c r="Z14" s="6" t="n"/>
    </row>
    <row r="15" ht="16.5" customHeight="1" s="237">
      <c r="A15" s="6" t="n"/>
      <c r="B15" s="6" t="n"/>
      <c r="C15" s="6" t="n"/>
      <c r="D15" s="6" t="n"/>
      <c r="E15" s="6" t="inlineStr">
        <is>
          <t>ID</t>
        </is>
      </c>
      <c r="F15" s="6" t="n"/>
      <c r="G15" s="6" t="n"/>
      <c r="H15" s="6" t="n">
        <v>2030</v>
      </c>
      <c r="I15" s="6" t="n"/>
      <c r="J15" s="6" t="n"/>
      <c r="K15" s="6" t="n"/>
      <c r="L15" s="6" t="n"/>
      <c r="M15" s="10" t="n"/>
      <c r="N15" s="6" t="n"/>
      <c r="O15" s="11" t="n"/>
      <c r="P15" s="6" t="n"/>
      <c r="Q15" s="236" t="inlineStr">
        <is>
          <t>11 Unit</t>
        </is>
      </c>
      <c r="R15" s="236" t="n">
        <v>275</v>
      </c>
      <c r="S15" s="6" t="n"/>
      <c r="T15" s="6" t="n"/>
      <c r="U15" s="6" t="n"/>
      <c r="V15" s="6" t="n"/>
      <c r="W15" s="6" t="n"/>
      <c r="X15" s="6" t="n"/>
      <c r="Y15" s="6" t="n"/>
      <c r="Z15" s="6" t="n"/>
    </row>
    <row r="16" ht="16.5" customHeight="1" s="237">
      <c r="A16" s="6" t="n"/>
      <c r="B16" s="6" t="n"/>
      <c r="C16" s="6" t="n"/>
      <c r="D16" s="6" t="n"/>
      <c r="E16" s="6" t="inlineStr">
        <is>
          <t>IL</t>
        </is>
      </c>
      <c r="F16" s="6" t="n"/>
      <c r="G16" s="6" t="n"/>
      <c r="H16" s="6" t="n"/>
      <c r="I16" s="6" t="n"/>
      <c r="J16" s="6" t="n"/>
      <c r="K16" s="6" t="n"/>
      <c r="L16" s="6" t="n"/>
      <c r="M16" s="10" t="n"/>
      <c r="N16" s="6" t="n"/>
      <c r="O16" s="11" t="n"/>
      <c r="P16" s="6" t="n"/>
      <c r="Q16" s="236" t="inlineStr">
        <is>
          <t>12 Unit</t>
        </is>
      </c>
      <c r="R16" s="236" t="n">
        <v>300</v>
      </c>
      <c r="S16" s="6" t="n"/>
      <c r="T16" s="6" t="n"/>
      <c r="U16" s="6" t="n"/>
      <c r="V16" s="6" t="n"/>
      <c r="W16" s="6" t="n"/>
      <c r="X16" s="6" t="n"/>
      <c r="Y16" s="6" t="n"/>
      <c r="Z16" s="6" t="n"/>
    </row>
    <row r="17" ht="16.5" customHeight="1" s="237">
      <c r="A17" s="6" t="n"/>
      <c r="B17" s="6" t="n"/>
      <c r="C17" s="6" t="n"/>
      <c r="D17" s="6" t="n"/>
      <c r="E17" s="6" t="inlineStr">
        <is>
          <t>IN</t>
        </is>
      </c>
      <c r="F17" s="6" t="n"/>
      <c r="G17" s="6" t="n"/>
      <c r="H17" s="6" t="n"/>
      <c r="I17" s="6" t="n"/>
      <c r="J17" s="6" t="n"/>
      <c r="K17" s="6" t="n"/>
      <c r="L17" s="6" t="n"/>
      <c r="M17" s="10" t="n"/>
      <c r="N17" s="6" t="n"/>
      <c r="O17" s="11" t="n"/>
      <c r="P17" s="6" t="n"/>
      <c r="Q17" s="236" t="inlineStr">
        <is>
          <t>13 Unit</t>
        </is>
      </c>
      <c r="R17" s="236" t="n">
        <v>325</v>
      </c>
      <c r="S17" s="6" t="n"/>
      <c r="T17" s="6" t="n"/>
      <c r="U17" s="6" t="n"/>
      <c r="V17" s="6" t="n"/>
      <c r="W17" s="6" t="n"/>
      <c r="X17" s="6" t="n"/>
      <c r="Y17" s="6" t="n"/>
      <c r="Z17" s="6" t="n"/>
    </row>
    <row r="18" ht="16.5" customHeight="1" s="237">
      <c r="A18" s="6" t="n"/>
      <c r="B18" s="6" t="n"/>
      <c r="C18" s="6" t="n"/>
      <c r="D18" s="6" t="n"/>
      <c r="E18" s="6" t="inlineStr">
        <is>
          <t>IA</t>
        </is>
      </c>
      <c r="F18" s="6" t="n"/>
      <c r="G18" s="6" t="n"/>
      <c r="H18" s="6" t="n"/>
      <c r="I18" s="6" t="n"/>
      <c r="J18" s="6" t="n"/>
      <c r="K18" s="6" t="n"/>
      <c r="L18" s="6" t="n"/>
      <c r="M18" s="10" t="n"/>
      <c r="N18" s="6" t="n"/>
      <c r="O18" s="11" t="n"/>
      <c r="P18" s="6" t="n"/>
      <c r="Q18" s="236" t="inlineStr">
        <is>
          <t>14 Unit</t>
        </is>
      </c>
      <c r="R18" s="236" t="n">
        <v>350</v>
      </c>
      <c r="S18" s="6" t="n"/>
      <c r="T18" s="6" t="n"/>
      <c r="U18" s="6" t="n"/>
      <c r="V18" s="6" t="n"/>
      <c r="W18" s="6" t="n"/>
      <c r="X18" s="6" t="n"/>
      <c r="Y18" s="6" t="n"/>
      <c r="Z18" s="6" t="n"/>
    </row>
    <row r="19" ht="16.5" customHeight="1" s="237">
      <c r="A19" s="6" t="n"/>
      <c r="B19" s="6" t="n"/>
      <c r="C19" s="6" t="n"/>
      <c r="D19" s="6" t="n"/>
      <c r="E19" s="6" t="inlineStr">
        <is>
          <t>KS</t>
        </is>
      </c>
      <c r="F19" s="6" t="n"/>
      <c r="G19" s="6" t="n"/>
      <c r="H19" s="6" t="n"/>
      <c r="I19" s="6" t="n"/>
      <c r="J19" s="6" t="n"/>
      <c r="K19" s="6" t="n"/>
      <c r="L19" s="6" t="n"/>
      <c r="M19" s="10" t="n"/>
      <c r="N19" s="6" t="n"/>
      <c r="O19" s="11" t="n"/>
      <c r="P19" s="6" t="n"/>
      <c r="Q19" s="236" t="inlineStr">
        <is>
          <t>15 Unit</t>
        </is>
      </c>
      <c r="R19" s="236" t="n">
        <v>375</v>
      </c>
      <c r="S19" s="6" t="n"/>
      <c r="T19" s="6" t="n"/>
      <c r="U19" s="6" t="n"/>
      <c r="V19" s="6" t="n"/>
      <c r="W19" s="6" t="n"/>
      <c r="X19" s="6" t="n"/>
      <c r="Y19" s="6" t="n"/>
      <c r="Z19" s="6" t="n"/>
    </row>
    <row r="20" ht="16.5" customHeight="1" s="237">
      <c r="A20" s="6" t="n"/>
      <c r="B20" s="6" t="n"/>
      <c r="C20" s="6" t="n"/>
      <c r="D20" s="6" t="n"/>
      <c r="E20" s="6" t="inlineStr">
        <is>
          <t>KY</t>
        </is>
      </c>
      <c r="F20" s="6" t="n"/>
      <c r="G20" s="6" t="n"/>
      <c r="H20" s="6" t="n"/>
      <c r="I20" s="6" t="n"/>
      <c r="J20" s="6" t="n"/>
      <c r="K20" s="6" t="n"/>
      <c r="L20" s="6" t="n"/>
      <c r="M20" s="10" t="n"/>
      <c r="N20" s="6" t="n"/>
      <c r="O20" s="11" t="n"/>
      <c r="P20" s="6" t="n"/>
      <c r="Q20" s="236" t="inlineStr">
        <is>
          <t>16 Unit</t>
        </is>
      </c>
      <c r="R20" s="236" t="n">
        <v>400</v>
      </c>
      <c r="S20" s="6" t="n"/>
      <c r="T20" s="6" t="n"/>
      <c r="U20" s="6" t="n"/>
      <c r="V20" s="6" t="n"/>
      <c r="W20" s="6" t="n"/>
      <c r="X20" s="6" t="n"/>
      <c r="Y20" s="6" t="n"/>
      <c r="Z20" s="6" t="n"/>
    </row>
    <row r="21" ht="16.5" customHeight="1" s="237">
      <c r="A21" s="6" t="n"/>
      <c r="B21" s="6" t="n"/>
      <c r="C21" s="6" t="n"/>
      <c r="D21" s="6" t="n"/>
      <c r="E21" s="6" t="inlineStr">
        <is>
          <t>LA</t>
        </is>
      </c>
      <c r="F21" s="6" t="n"/>
      <c r="G21" s="6" t="n"/>
      <c r="H21" s="6" t="n"/>
      <c r="I21" s="6" t="n"/>
      <c r="J21" s="6" t="n"/>
      <c r="K21" s="6" t="n"/>
      <c r="L21" s="6" t="n"/>
      <c r="M21" s="10" t="n"/>
      <c r="N21" s="6" t="n"/>
      <c r="O21" s="11" t="n"/>
      <c r="P21" s="6" t="n"/>
      <c r="Q21" s="236" t="inlineStr">
        <is>
          <t>17 Unit</t>
        </is>
      </c>
      <c r="R21" s="236" t="n">
        <v>425</v>
      </c>
      <c r="S21" s="6" t="n"/>
      <c r="T21" s="6" t="n"/>
      <c r="U21" s="6" t="n"/>
      <c r="V21" s="6" t="n"/>
      <c r="W21" s="6" t="n"/>
      <c r="X21" s="6" t="n"/>
      <c r="Y21" s="6" t="n"/>
      <c r="Z21" s="6" t="n"/>
    </row>
    <row r="22" ht="16.5" customHeight="1" s="237">
      <c r="A22" s="6" t="n"/>
      <c r="B22" s="6" t="n"/>
      <c r="C22" s="6" t="n"/>
      <c r="D22" s="6" t="n"/>
      <c r="E22" s="6" t="inlineStr">
        <is>
          <t>ME</t>
        </is>
      </c>
      <c r="F22" s="6" t="n"/>
      <c r="G22" s="6" t="n"/>
      <c r="H22" s="6" t="n"/>
      <c r="I22" s="6" t="n"/>
      <c r="J22" s="6" t="n"/>
      <c r="K22" s="6" t="n"/>
      <c r="L22" s="6" t="n"/>
      <c r="M22" s="10" t="n"/>
      <c r="N22" s="6" t="n"/>
      <c r="O22" s="11" t="n"/>
      <c r="P22" s="6" t="n"/>
      <c r="Q22" s="236" t="inlineStr">
        <is>
          <t>18 Unit</t>
        </is>
      </c>
      <c r="R22" s="236" t="n">
        <v>450</v>
      </c>
      <c r="S22" s="6" t="n"/>
      <c r="T22" s="6" t="n"/>
      <c r="U22" s="6" t="n"/>
      <c r="V22" s="6" t="n"/>
      <c r="W22" s="6" t="n"/>
      <c r="X22" s="6" t="n"/>
      <c r="Y22" s="6" t="n"/>
      <c r="Z22" s="6" t="n"/>
    </row>
    <row r="23" ht="16.5" customHeight="1" s="237">
      <c r="A23" s="6" t="n"/>
      <c r="B23" s="6" t="n"/>
      <c r="C23" s="6" t="n"/>
      <c r="D23" s="6" t="n"/>
      <c r="E23" s="6" t="inlineStr">
        <is>
          <t>MD</t>
        </is>
      </c>
      <c r="F23" s="6" t="n"/>
      <c r="G23" s="6" t="n"/>
      <c r="H23" s="6" t="n"/>
      <c r="I23" s="6" t="n"/>
      <c r="J23" s="6" t="n"/>
      <c r="K23" s="6" t="n"/>
      <c r="L23" s="6" t="n"/>
      <c r="M23" s="10" t="n"/>
      <c r="N23" s="6" t="n"/>
      <c r="O23" s="11" t="n"/>
      <c r="P23" s="6" t="n"/>
      <c r="Q23" s="236" t="inlineStr">
        <is>
          <t>19 Unit</t>
        </is>
      </c>
      <c r="R23" s="236" t="n">
        <v>475</v>
      </c>
      <c r="S23" s="6" t="n"/>
      <c r="T23" s="6" t="n"/>
      <c r="U23" s="6" t="n"/>
      <c r="V23" s="6" t="n"/>
      <c r="W23" s="6" t="n"/>
      <c r="X23" s="6" t="n"/>
      <c r="Y23" s="6" t="n"/>
      <c r="Z23" s="6" t="n"/>
    </row>
    <row r="24" ht="16.5" customHeight="1" s="237">
      <c r="A24" s="6" t="n"/>
      <c r="B24" s="6" t="n"/>
      <c r="C24" s="6" t="n"/>
      <c r="D24" s="6" t="n"/>
      <c r="E24" s="6" t="inlineStr">
        <is>
          <t>MA</t>
        </is>
      </c>
      <c r="F24" s="6" t="n"/>
      <c r="G24" s="6" t="n"/>
      <c r="H24" s="6" t="n"/>
      <c r="I24" s="6" t="n"/>
      <c r="J24" s="6" t="n"/>
      <c r="K24" s="6" t="n"/>
      <c r="L24" s="6" t="n"/>
      <c r="M24" s="10" t="n"/>
      <c r="N24" s="6" t="n"/>
      <c r="O24" s="11" t="n"/>
      <c r="P24" s="6" t="n"/>
      <c r="Q24" s="236" t="inlineStr">
        <is>
          <t>20 Unit</t>
        </is>
      </c>
      <c r="R24" s="236" t="n">
        <v>500</v>
      </c>
      <c r="S24" s="6" t="n"/>
      <c r="T24" s="6" t="n"/>
      <c r="U24" s="6" t="n"/>
      <c r="V24" s="6" t="n"/>
      <c r="W24" s="6" t="n"/>
      <c r="X24" s="6" t="n"/>
      <c r="Y24" s="6" t="n"/>
      <c r="Z24" s="6" t="n"/>
    </row>
    <row r="25" ht="16.5" customHeight="1" s="237">
      <c r="A25" s="6" t="n"/>
      <c r="B25" s="6" t="n"/>
      <c r="C25" s="6" t="n"/>
      <c r="D25" s="6" t="n"/>
      <c r="E25" s="6" t="inlineStr">
        <is>
          <t>MI</t>
        </is>
      </c>
      <c r="F25" s="6" t="n"/>
      <c r="G25" s="6" t="n"/>
      <c r="H25" s="6" t="n"/>
      <c r="I25" s="6" t="n"/>
      <c r="J25" s="6" t="n"/>
      <c r="K25" s="6" t="n"/>
      <c r="L25" s="6" t="n"/>
      <c r="M25" s="10" t="n"/>
      <c r="N25" s="6" t="n"/>
      <c r="O25" s="11" t="n"/>
      <c r="P25" s="6" t="n"/>
      <c r="Q25" s="23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</row>
    <row r="26" ht="16.5" customHeight="1" s="237">
      <c r="A26" s="6" t="n"/>
      <c r="B26" s="6" t="n"/>
      <c r="C26" s="6" t="n"/>
      <c r="D26" s="6" t="n"/>
      <c r="E26" s="6" t="inlineStr">
        <is>
          <t>MN</t>
        </is>
      </c>
      <c r="F26" s="6" t="n"/>
      <c r="G26" s="6" t="n"/>
      <c r="H26" s="6" t="n"/>
      <c r="I26" s="6" t="n"/>
      <c r="J26" s="6" t="n"/>
      <c r="K26" s="6" t="n"/>
      <c r="L26" s="6" t="n"/>
      <c r="M26" s="10" t="n"/>
      <c r="N26" s="6" t="n"/>
      <c r="O26" s="11" t="n"/>
      <c r="P26" s="6" t="n"/>
      <c r="Q26" s="23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</row>
    <row r="27" ht="16.5" customHeight="1" s="237">
      <c r="A27" s="6" t="n"/>
      <c r="B27" s="6" t="n"/>
      <c r="C27" s="6" t="n"/>
      <c r="D27" s="6" t="n"/>
      <c r="E27" s="6" t="inlineStr">
        <is>
          <t>MS</t>
        </is>
      </c>
      <c r="F27" s="6" t="n"/>
      <c r="G27" s="6" t="n"/>
      <c r="H27" s="6" t="n"/>
      <c r="I27" s="6" t="n"/>
      <c r="J27" s="6" t="n"/>
      <c r="K27" s="6" t="n"/>
      <c r="L27" s="6" t="n"/>
      <c r="M27" s="10" t="n"/>
      <c r="N27" s="6" t="n"/>
      <c r="O27" s="11" t="n"/>
      <c r="P27" s="6" t="n"/>
      <c r="Q27" s="23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</row>
    <row r="28" ht="16.5" customHeight="1" s="237">
      <c r="A28" s="6" t="n"/>
      <c r="B28" s="6" t="n"/>
      <c r="C28" s="6" t="n"/>
      <c r="D28" s="6" t="n"/>
      <c r="E28" s="6" t="inlineStr">
        <is>
          <t>MO</t>
        </is>
      </c>
      <c r="F28" s="6" t="n"/>
      <c r="G28" s="6" t="n"/>
      <c r="H28" s="6" t="n"/>
      <c r="I28" s="6" t="n"/>
      <c r="J28" s="6" t="n"/>
      <c r="K28" s="6" t="n"/>
      <c r="L28" s="6" t="n"/>
      <c r="M28" s="10" t="n"/>
      <c r="N28" s="6" t="n"/>
      <c r="O28" s="11" t="n"/>
      <c r="P28" s="6" t="n"/>
      <c r="Q28" s="23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</row>
    <row r="29" ht="16.5" customHeight="1" s="237">
      <c r="A29" s="6" t="n"/>
      <c r="B29" s="6" t="n"/>
      <c r="C29" s="6" t="n"/>
      <c r="D29" s="6" t="n"/>
      <c r="E29" s="6" t="inlineStr">
        <is>
          <t>MT</t>
        </is>
      </c>
      <c r="F29" s="6" t="n"/>
      <c r="G29" s="6" t="n"/>
      <c r="H29" s="6" t="n"/>
      <c r="I29" s="6" t="n"/>
      <c r="J29" s="6" t="n"/>
      <c r="K29" s="6" t="n"/>
      <c r="L29" s="6" t="n"/>
      <c r="M29" s="10" t="n"/>
      <c r="N29" s="6" t="n"/>
      <c r="O29" s="11" t="n"/>
      <c r="P29" s="6" t="n"/>
      <c r="Q29" s="23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</row>
    <row r="30" ht="16.5" customHeight="1" s="237">
      <c r="A30" s="6" t="n"/>
      <c r="B30" s="6" t="n"/>
      <c r="C30" s="6" t="n"/>
      <c r="D30" s="6" t="n"/>
      <c r="E30" s="6" t="inlineStr">
        <is>
          <t>NE</t>
        </is>
      </c>
      <c r="F30" s="6" t="n"/>
      <c r="G30" s="6" t="n"/>
      <c r="H30" s="6" t="n"/>
      <c r="I30" s="6" t="n"/>
      <c r="J30" s="6" t="n"/>
      <c r="K30" s="6" t="n"/>
      <c r="L30" s="6" t="n"/>
      <c r="M30" s="10" t="n"/>
      <c r="N30" s="6" t="n"/>
      <c r="O30" s="11" t="n"/>
      <c r="P30" s="6" t="n"/>
      <c r="Q30" s="23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</row>
    <row r="31" ht="16.5" customHeight="1" s="237">
      <c r="A31" s="6" t="n"/>
      <c r="B31" s="6" t="n"/>
      <c r="C31" s="6" t="n"/>
      <c r="D31" s="6" t="n"/>
      <c r="E31" s="6" t="inlineStr">
        <is>
          <t>NV</t>
        </is>
      </c>
      <c r="F31" s="6" t="n"/>
      <c r="G31" s="6" t="n"/>
      <c r="H31" s="6" t="n"/>
      <c r="I31" s="6" t="n"/>
      <c r="J31" s="6" t="n"/>
      <c r="K31" s="6" t="n"/>
      <c r="L31" s="6" t="n"/>
      <c r="M31" s="10" t="n"/>
      <c r="N31" s="6" t="n"/>
      <c r="O31" s="11" t="n"/>
      <c r="P31" s="6" t="n"/>
      <c r="Q31" s="23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</row>
    <row r="32" ht="16.5" customHeight="1" s="237">
      <c r="A32" s="6" t="n"/>
      <c r="B32" s="6" t="n"/>
      <c r="C32" s="6" t="n"/>
      <c r="D32" s="6" t="n"/>
      <c r="E32" s="6" t="inlineStr">
        <is>
          <t>NH</t>
        </is>
      </c>
      <c r="F32" s="6" t="n"/>
      <c r="G32" s="6" t="n"/>
      <c r="H32" s="6" t="n"/>
      <c r="I32" s="6" t="n"/>
      <c r="J32" s="6" t="n"/>
      <c r="K32" s="6" t="n"/>
      <c r="L32" s="6" t="n"/>
      <c r="M32" s="10" t="n"/>
      <c r="N32" s="6" t="n"/>
      <c r="O32" s="11" t="n"/>
      <c r="P32" s="6" t="n"/>
      <c r="Q32" s="23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</row>
    <row r="33" ht="16.5" customHeight="1" s="237">
      <c r="A33" s="6" t="n"/>
      <c r="B33" s="6" t="n"/>
      <c r="C33" s="6" t="n"/>
      <c r="D33" s="6" t="n"/>
      <c r="E33" s="6" t="inlineStr">
        <is>
          <t>NJ</t>
        </is>
      </c>
      <c r="F33" s="6" t="n"/>
      <c r="G33" s="6" t="n"/>
      <c r="H33" s="6" t="n"/>
      <c r="I33" s="6" t="n"/>
      <c r="J33" s="6" t="n"/>
      <c r="K33" s="6" t="n"/>
      <c r="L33" s="6" t="n"/>
      <c r="M33" s="10" t="n"/>
      <c r="N33" s="6" t="n"/>
      <c r="O33" s="11" t="n"/>
      <c r="P33" s="6" t="n"/>
      <c r="Q33" s="23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</row>
    <row r="34" ht="16.5" customHeight="1" s="237">
      <c r="A34" s="6" t="n"/>
      <c r="B34" s="6" t="n"/>
      <c r="C34" s="6" t="n"/>
      <c r="D34" s="6" t="n"/>
      <c r="E34" s="6" t="inlineStr">
        <is>
          <t>NM</t>
        </is>
      </c>
      <c r="F34" s="6" t="n"/>
      <c r="G34" s="6" t="n"/>
      <c r="H34" s="6" t="n"/>
      <c r="I34" s="6" t="n"/>
      <c r="J34" s="6" t="n"/>
      <c r="K34" s="6" t="n"/>
      <c r="L34" s="6" t="n"/>
      <c r="M34" s="10" t="n"/>
      <c r="N34" s="6" t="n"/>
      <c r="O34" s="11" t="n"/>
      <c r="P34" s="6" t="n"/>
      <c r="Q34" s="23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</row>
    <row r="35" ht="16.5" customHeight="1" s="237">
      <c r="A35" s="6" t="n"/>
      <c r="B35" s="6" t="n"/>
      <c r="C35" s="6" t="n"/>
      <c r="D35" s="6" t="n"/>
      <c r="E35" s="6" t="inlineStr">
        <is>
          <t>NY</t>
        </is>
      </c>
      <c r="F35" s="6" t="n"/>
      <c r="G35" s="6" t="n"/>
      <c r="H35" s="6" t="n"/>
      <c r="I35" s="6" t="n"/>
      <c r="J35" s="6" t="n"/>
      <c r="K35" s="6" t="n"/>
      <c r="L35" s="6" t="n"/>
      <c r="M35" s="10" t="n"/>
      <c r="N35" s="6" t="n"/>
      <c r="O35" s="11" t="n"/>
      <c r="P35" s="6" t="n"/>
      <c r="Q35" s="23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</row>
    <row r="36" ht="16.5" customHeight="1" s="237">
      <c r="A36" s="6" t="n"/>
      <c r="B36" s="6" t="n"/>
      <c r="C36" s="6" t="n"/>
      <c r="D36" s="6" t="n"/>
      <c r="E36" s="6" t="inlineStr">
        <is>
          <t>NC</t>
        </is>
      </c>
      <c r="F36" s="6" t="n"/>
      <c r="G36" s="6" t="n"/>
      <c r="H36" s="6" t="n"/>
      <c r="I36" s="6" t="n"/>
      <c r="J36" s="6" t="n"/>
      <c r="K36" s="6" t="n"/>
      <c r="L36" s="6" t="n"/>
      <c r="M36" s="10" t="n"/>
      <c r="N36" s="6" t="n"/>
      <c r="O36" s="11" t="n"/>
      <c r="P36" s="6" t="n"/>
      <c r="Q36" s="23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</row>
    <row r="37" ht="16.5" customHeight="1" s="237">
      <c r="A37" s="6" t="n"/>
      <c r="B37" s="6" t="n"/>
      <c r="C37" s="6" t="n"/>
      <c r="D37" s="6" t="n"/>
      <c r="E37" s="6" t="inlineStr">
        <is>
          <t>ND</t>
        </is>
      </c>
      <c r="F37" s="6" t="n"/>
      <c r="G37" s="6" t="n"/>
      <c r="H37" s="6" t="n"/>
      <c r="I37" s="6" t="n"/>
      <c r="J37" s="6" t="n"/>
      <c r="K37" s="6" t="n"/>
      <c r="L37" s="6" t="n"/>
      <c r="M37" s="10" t="n"/>
      <c r="N37" s="6" t="n"/>
      <c r="O37" s="11" t="n"/>
      <c r="P37" s="6" t="n"/>
      <c r="Q37" s="236" t="n"/>
      <c r="R37" s="6" t="n"/>
      <c r="S37" s="6" t="n"/>
      <c r="T37" s="6" t="n"/>
      <c r="U37" s="6" t="n"/>
      <c r="V37" s="6" t="n"/>
      <c r="W37" s="6" t="n"/>
      <c r="X37" s="6" t="n"/>
      <c r="Y37" s="6" t="n"/>
      <c r="Z37" s="6" t="n"/>
    </row>
    <row r="38" ht="16.5" customHeight="1" s="237">
      <c r="A38" s="6" t="n"/>
      <c r="B38" s="6" t="n"/>
      <c r="C38" s="6" t="n"/>
      <c r="D38" s="6" t="n"/>
      <c r="E38" s="6" t="inlineStr">
        <is>
          <t>OH</t>
        </is>
      </c>
      <c r="F38" s="6" t="n"/>
      <c r="G38" s="6" t="n"/>
      <c r="H38" s="6" t="n"/>
      <c r="I38" s="6" t="n"/>
      <c r="J38" s="6" t="n"/>
      <c r="K38" s="6" t="n"/>
      <c r="L38" s="6" t="n"/>
      <c r="M38" s="10" t="n"/>
      <c r="N38" s="6" t="n"/>
      <c r="O38" s="11" t="n"/>
      <c r="P38" s="6" t="n"/>
      <c r="Q38" s="236" t="n"/>
      <c r="R38" s="6" t="n"/>
      <c r="S38" s="6" t="n"/>
      <c r="T38" s="6" t="n"/>
      <c r="U38" s="6" t="n"/>
      <c r="V38" s="6" t="n"/>
      <c r="W38" s="6" t="n"/>
      <c r="X38" s="6" t="n"/>
      <c r="Y38" s="6" t="n"/>
      <c r="Z38" s="6" t="n"/>
    </row>
    <row r="39" ht="16.5" customHeight="1" s="237">
      <c r="A39" s="6" t="n"/>
      <c r="B39" s="6" t="n"/>
      <c r="C39" s="6" t="n"/>
      <c r="D39" s="6" t="n"/>
      <c r="E39" s="6" t="inlineStr">
        <is>
          <t>OK</t>
        </is>
      </c>
      <c r="F39" s="6" t="n"/>
      <c r="G39" s="6" t="n"/>
      <c r="H39" s="6" t="n"/>
      <c r="I39" s="6" t="n"/>
      <c r="J39" s="6" t="n"/>
      <c r="K39" s="6" t="n"/>
      <c r="L39" s="6" t="n"/>
      <c r="M39" s="10" t="n"/>
      <c r="N39" s="6" t="n"/>
      <c r="O39" s="11" t="n"/>
      <c r="P39" s="6" t="n"/>
      <c r="Q39" s="23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</row>
    <row r="40" ht="16.5" customHeight="1" s="237">
      <c r="A40" s="6" t="n"/>
      <c r="B40" s="6" t="n"/>
      <c r="C40" s="6" t="n"/>
      <c r="D40" s="6" t="n"/>
      <c r="E40" s="6" t="inlineStr">
        <is>
          <t>OR</t>
        </is>
      </c>
      <c r="F40" s="6" t="n"/>
      <c r="G40" s="6" t="n"/>
      <c r="H40" s="6" t="n"/>
      <c r="I40" s="6" t="n"/>
      <c r="J40" s="6" t="n"/>
      <c r="K40" s="6" t="n"/>
      <c r="L40" s="6" t="n"/>
      <c r="M40" s="10" t="n"/>
      <c r="N40" s="6" t="n"/>
      <c r="O40" s="11" t="n"/>
      <c r="P40" s="6" t="n"/>
      <c r="Q40" s="23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</row>
    <row r="41" ht="16.5" customHeight="1" s="237">
      <c r="A41" s="6" t="n"/>
      <c r="B41" s="6" t="n"/>
      <c r="C41" s="6" t="n"/>
      <c r="D41" s="6" t="n"/>
      <c r="E41" s="6" t="inlineStr">
        <is>
          <t>PA</t>
        </is>
      </c>
      <c r="F41" s="6" t="n"/>
      <c r="G41" s="6" t="n"/>
      <c r="H41" s="6" t="n"/>
      <c r="I41" s="6" t="n"/>
      <c r="J41" s="6" t="n"/>
      <c r="K41" s="6" t="n"/>
      <c r="L41" s="6" t="n"/>
      <c r="M41" s="10" t="n"/>
      <c r="N41" s="6" t="n"/>
      <c r="O41" s="11" t="n"/>
      <c r="P41" s="6" t="n"/>
      <c r="Q41" s="23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</row>
    <row r="42" ht="16.5" customHeight="1" s="237">
      <c r="A42" s="6" t="n"/>
      <c r="B42" s="6" t="n"/>
      <c r="C42" s="6" t="n"/>
      <c r="D42" s="6" t="n"/>
      <c r="E42" s="6" t="inlineStr">
        <is>
          <t>RI</t>
        </is>
      </c>
      <c r="F42" s="6" t="n"/>
      <c r="G42" s="6" t="n"/>
      <c r="H42" s="6" t="n"/>
      <c r="I42" s="6" t="n"/>
      <c r="J42" s="6" t="n"/>
      <c r="K42" s="6" t="n"/>
      <c r="L42" s="6" t="n"/>
      <c r="M42" s="10" t="n"/>
      <c r="N42" s="6" t="n"/>
      <c r="O42" s="11" t="n"/>
      <c r="P42" s="6" t="n"/>
      <c r="Q42" s="23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</row>
    <row r="43" ht="16.5" customHeight="1" s="237">
      <c r="A43" s="6" t="n"/>
      <c r="B43" s="6" t="n"/>
      <c r="C43" s="6" t="n"/>
      <c r="D43" s="6" t="n"/>
      <c r="E43" s="6" t="inlineStr">
        <is>
          <t>SC</t>
        </is>
      </c>
      <c r="F43" s="6" t="n"/>
      <c r="G43" s="6" t="n"/>
      <c r="H43" s="6" t="n"/>
      <c r="I43" s="6" t="n"/>
      <c r="J43" s="6" t="n"/>
      <c r="K43" s="6" t="n"/>
      <c r="L43" s="6" t="n"/>
      <c r="M43" s="10" t="n"/>
      <c r="N43" s="6" t="n"/>
      <c r="O43" s="11" t="n"/>
      <c r="P43" s="6" t="n"/>
      <c r="Q43" s="23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</row>
    <row r="44" ht="16.5" customHeight="1" s="237">
      <c r="A44" s="6" t="n"/>
      <c r="B44" s="6" t="n"/>
      <c r="C44" s="6" t="n"/>
      <c r="D44" s="6" t="n"/>
      <c r="E44" s="6" t="inlineStr">
        <is>
          <t>SD</t>
        </is>
      </c>
      <c r="F44" s="6" t="n"/>
      <c r="G44" s="6" t="n"/>
      <c r="H44" s="6" t="n"/>
      <c r="I44" s="6" t="n"/>
      <c r="J44" s="6" t="n"/>
      <c r="K44" s="6" t="n"/>
      <c r="L44" s="6" t="n"/>
      <c r="M44" s="10" t="n"/>
      <c r="N44" s="6" t="n"/>
      <c r="O44" s="11" t="n"/>
      <c r="P44" s="6" t="n"/>
      <c r="Q44" s="23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</row>
    <row r="45" ht="16.5" customHeight="1" s="237">
      <c r="A45" s="6" t="n"/>
      <c r="B45" s="6" t="n"/>
      <c r="C45" s="6" t="n"/>
      <c r="D45" s="6" t="n"/>
      <c r="E45" s="6" t="inlineStr">
        <is>
          <t>TN</t>
        </is>
      </c>
      <c r="F45" s="6" t="n"/>
      <c r="G45" s="6" t="n"/>
      <c r="H45" s="6" t="n"/>
      <c r="I45" s="6" t="n"/>
      <c r="J45" s="6" t="n"/>
      <c r="K45" s="6" t="n"/>
      <c r="L45" s="6" t="n"/>
      <c r="M45" s="10" t="n"/>
      <c r="N45" s="6" t="n"/>
      <c r="O45" s="11" t="n"/>
      <c r="P45" s="6" t="n"/>
      <c r="Q45" s="23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</row>
    <row r="46" ht="16.5" customHeight="1" s="237">
      <c r="A46" s="6" t="n"/>
      <c r="B46" s="6" t="n"/>
      <c r="C46" s="6" t="n"/>
      <c r="D46" s="6" t="n"/>
      <c r="E46" s="6" t="inlineStr">
        <is>
          <t>TX</t>
        </is>
      </c>
      <c r="F46" s="6" t="n"/>
      <c r="G46" s="6" t="n"/>
      <c r="H46" s="6" t="n"/>
      <c r="I46" s="6" t="n"/>
      <c r="J46" s="6" t="n"/>
      <c r="K46" s="6" t="n"/>
      <c r="L46" s="6" t="n"/>
      <c r="M46" s="10" t="n"/>
      <c r="N46" s="6" t="n"/>
      <c r="O46" s="11" t="n"/>
      <c r="P46" s="6" t="n"/>
      <c r="Q46" s="23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</row>
    <row r="47" ht="16.5" customHeight="1" s="237">
      <c r="A47" s="6" t="n"/>
      <c r="B47" s="6" t="n"/>
      <c r="C47" s="6" t="n"/>
      <c r="D47" s="6" t="n"/>
      <c r="E47" s="6" t="inlineStr">
        <is>
          <t>UT</t>
        </is>
      </c>
      <c r="F47" s="6" t="n"/>
      <c r="G47" s="6" t="n"/>
      <c r="H47" s="6" t="n"/>
      <c r="I47" s="6" t="n"/>
      <c r="J47" s="6" t="n"/>
      <c r="K47" s="6" t="n"/>
      <c r="L47" s="6" t="n"/>
      <c r="M47" s="10" t="n"/>
      <c r="N47" s="6" t="n"/>
      <c r="O47" s="11" t="n"/>
      <c r="P47" s="6" t="n"/>
      <c r="Q47" s="23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</row>
    <row r="48" ht="16.5" customHeight="1" s="237">
      <c r="A48" s="6" t="n"/>
      <c r="B48" s="6" t="n"/>
      <c r="C48" s="6" t="n"/>
      <c r="D48" s="6" t="n"/>
      <c r="E48" s="6" t="inlineStr">
        <is>
          <t>VT</t>
        </is>
      </c>
      <c r="F48" s="6" t="n"/>
      <c r="G48" s="6" t="n"/>
      <c r="H48" s="6" t="n"/>
      <c r="I48" s="6" t="n"/>
      <c r="J48" s="6" t="n"/>
      <c r="K48" s="6" t="n"/>
      <c r="L48" s="6" t="n"/>
      <c r="M48" s="10" t="n"/>
      <c r="N48" s="6" t="n"/>
      <c r="O48" s="11" t="n"/>
      <c r="P48" s="6" t="n"/>
      <c r="Q48" s="23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</row>
    <row r="49" ht="16.5" customHeight="1" s="237">
      <c r="A49" s="6" t="n"/>
      <c r="B49" s="6" t="n"/>
      <c r="C49" s="6" t="n"/>
      <c r="D49" s="6" t="n"/>
      <c r="E49" s="6" t="inlineStr">
        <is>
          <t>VA</t>
        </is>
      </c>
      <c r="F49" s="6" t="n"/>
      <c r="G49" s="6" t="n"/>
      <c r="H49" s="6" t="n"/>
      <c r="I49" s="6" t="n"/>
      <c r="J49" s="6" t="n"/>
      <c r="K49" s="6" t="n"/>
      <c r="L49" s="6" t="n"/>
      <c r="M49" s="10" t="n"/>
      <c r="N49" s="6" t="n"/>
      <c r="O49" s="11" t="n"/>
      <c r="P49" s="6" t="n"/>
      <c r="Q49" s="23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</row>
    <row r="50" ht="16.5" customHeight="1" s="237">
      <c r="A50" s="6" t="n"/>
      <c r="B50" s="6" t="n"/>
      <c r="C50" s="6" t="n"/>
      <c r="D50" s="6" t="n"/>
      <c r="E50" s="6" t="inlineStr">
        <is>
          <t>WA</t>
        </is>
      </c>
      <c r="F50" s="6" t="n"/>
      <c r="G50" s="6" t="n"/>
      <c r="H50" s="6" t="n"/>
      <c r="I50" s="6" t="n"/>
      <c r="J50" s="6" t="n"/>
      <c r="K50" s="6" t="n"/>
      <c r="L50" s="6" t="n"/>
      <c r="M50" s="10" t="n"/>
      <c r="N50" s="6" t="n"/>
      <c r="O50" s="11" t="n"/>
      <c r="P50" s="6" t="n"/>
      <c r="Q50" s="23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</row>
    <row r="51" ht="16.5" customHeight="1" s="237">
      <c r="A51" s="6" t="n"/>
      <c r="B51" s="6" t="n"/>
      <c r="C51" s="6" t="n"/>
      <c r="D51" s="6" t="n"/>
      <c r="E51" s="6" t="inlineStr">
        <is>
          <t>WV</t>
        </is>
      </c>
      <c r="F51" s="6" t="n"/>
      <c r="G51" s="6" t="n"/>
      <c r="H51" s="6" t="n"/>
      <c r="I51" s="6" t="n"/>
      <c r="J51" s="6" t="n"/>
      <c r="K51" s="6" t="n"/>
      <c r="L51" s="6" t="n"/>
      <c r="M51" s="10" t="n"/>
      <c r="N51" s="6" t="n"/>
      <c r="O51" s="11" t="n"/>
      <c r="P51" s="6" t="n"/>
      <c r="Q51" s="23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</row>
    <row r="52" ht="16.5" customHeight="1" s="237">
      <c r="A52" s="6" t="n"/>
      <c r="B52" s="6" t="n"/>
      <c r="C52" s="6" t="n"/>
      <c r="D52" s="6" t="n"/>
      <c r="E52" s="6" t="inlineStr">
        <is>
          <t>WI</t>
        </is>
      </c>
      <c r="F52" s="6" t="n"/>
      <c r="G52" s="6" t="n"/>
      <c r="H52" s="6" t="n"/>
      <c r="I52" s="6" t="n"/>
      <c r="J52" s="6" t="n"/>
      <c r="K52" s="6" t="n"/>
      <c r="L52" s="6" t="n"/>
      <c r="M52" s="10" t="n"/>
      <c r="N52" s="6" t="n"/>
      <c r="O52" s="11" t="n"/>
      <c r="P52" s="6" t="n"/>
      <c r="Q52" s="23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</row>
    <row r="53" ht="16.5" customHeight="1" s="237">
      <c r="A53" s="6" t="n"/>
      <c r="B53" s="6" t="n"/>
      <c r="C53" s="6" t="n"/>
      <c r="D53" s="6" t="n"/>
      <c r="E53" s="6" t="inlineStr">
        <is>
          <t>WY</t>
        </is>
      </c>
      <c r="F53" s="6" t="n"/>
      <c r="G53" s="6" t="n"/>
      <c r="H53" s="6" t="n"/>
      <c r="I53" s="6" t="n"/>
      <c r="J53" s="6" t="n"/>
      <c r="K53" s="6" t="n"/>
      <c r="L53" s="6" t="n"/>
      <c r="M53" s="10" t="n"/>
      <c r="N53" s="6" t="n"/>
      <c r="O53" s="11" t="n"/>
      <c r="P53" s="6" t="n"/>
      <c r="Q53" s="23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</row>
    <row r="54" ht="16.5" customHeight="1" s="237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  <c r="M54" s="10" t="n"/>
      <c r="N54" s="6" t="n"/>
      <c r="O54" s="11" t="n"/>
      <c r="P54" s="6" t="n"/>
      <c r="Q54" s="23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</row>
    <row r="55" ht="16.5" customHeight="1" s="237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  <c r="M55" s="10" t="n"/>
      <c r="N55" s="6" t="n"/>
      <c r="O55" s="11" t="n"/>
      <c r="P55" s="6" t="n"/>
      <c r="Q55" s="23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</row>
    <row r="56" ht="16.5" customHeight="1" s="237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  <c r="M56" s="10" t="n"/>
      <c r="N56" s="6" t="n"/>
      <c r="O56" s="11" t="n"/>
      <c r="P56" s="6" t="n"/>
      <c r="Q56" s="23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</row>
    <row r="57" ht="16.5" customHeight="1" s="237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  <c r="M57" s="10" t="n"/>
      <c r="N57" s="6" t="n"/>
      <c r="O57" s="11" t="n"/>
      <c r="P57" s="6" t="n"/>
      <c r="Q57" s="23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</row>
    <row r="58" ht="16.5" customHeight="1" s="237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  <c r="M58" s="10" t="n"/>
      <c r="N58" s="6" t="n"/>
      <c r="O58" s="11" t="n"/>
      <c r="P58" s="6" t="n"/>
      <c r="Q58" s="23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</row>
    <row r="59" ht="16.5" customHeight="1" s="237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  <c r="M59" s="10" t="n"/>
      <c r="N59" s="6" t="n"/>
      <c r="O59" s="11" t="n"/>
      <c r="P59" s="6" t="n"/>
      <c r="Q59" s="23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</row>
    <row r="60" ht="16.5" customHeight="1" s="237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  <c r="M60" s="10" t="n"/>
      <c r="N60" s="6" t="n"/>
      <c r="O60" s="11" t="n"/>
      <c r="P60" s="6" t="n"/>
      <c r="Q60" s="23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</row>
    <row r="61" ht="16.5" customHeight="1" s="237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  <c r="M61" s="10" t="n"/>
      <c r="N61" s="6" t="n"/>
      <c r="O61" s="11" t="n"/>
      <c r="P61" s="6" t="n"/>
      <c r="Q61" s="23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</row>
    <row r="62" ht="16.5" customHeight="1" s="237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  <c r="M62" s="10" t="n"/>
      <c r="N62" s="6" t="n"/>
      <c r="O62" s="11" t="n"/>
      <c r="P62" s="6" t="n"/>
      <c r="Q62" s="23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</row>
    <row r="63" ht="16.5" customHeight="1" s="237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  <c r="M63" s="10" t="n"/>
      <c r="N63" s="6" t="n"/>
      <c r="O63" s="11" t="n"/>
      <c r="P63" s="6" t="n"/>
      <c r="Q63" s="23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</row>
    <row r="64" ht="16.5" customHeight="1" s="237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  <c r="M64" s="10" t="n"/>
      <c r="N64" s="6" t="n"/>
      <c r="O64" s="11" t="n"/>
      <c r="P64" s="6" t="n"/>
      <c r="Q64" s="23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</row>
    <row r="65" ht="16.5" customHeight="1" s="237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  <c r="M65" s="10" t="n"/>
      <c r="N65" s="6" t="n"/>
      <c r="O65" s="11" t="n"/>
      <c r="P65" s="6" t="n"/>
      <c r="Q65" s="23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</row>
    <row r="66" ht="16.5" customHeight="1" s="237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  <c r="M66" s="10" t="n"/>
      <c r="N66" s="6" t="n"/>
      <c r="O66" s="11" t="n"/>
      <c r="P66" s="6" t="n"/>
      <c r="Q66" s="23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</row>
    <row r="67" ht="16.5" customHeight="1" s="237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  <c r="M67" s="10" t="n"/>
      <c r="N67" s="6" t="n"/>
      <c r="O67" s="11" t="n"/>
      <c r="P67" s="6" t="n"/>
      <c r="Q67" s="23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</row>
    <row r="68" ht="16.5" customHeight="1" s="237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  <c r="M68" s="10" t="n"/>
      <c r="N68" s="6" t="n"/>
      <c r="O68" s="11" t="n"/>
      <c r="P68" s="6" t="n"/>
      <c r="Q68" s="23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</row>
    <row r="69" ht="16.5" customHeight="1" s="237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  <c r="M69" s="10" t="n"/>
      <c r="N69" s="6" t="n"/>
      <c r="O69" s="11" t="n"/>
      <c r="P69" s="6" t="n"/>
      <c r="Q69" s="23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</row>
    <row r="70" ht="16.5" customHeight="1" s="237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  <c r="M70" s="10" t="n"/>
      <c r="N70" s="6" t="n"/>
      <c r="O70" s="11" t="n"/>
      <c r="P70" s="6" t="n"/>
      <c r="Q70" s="23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</row>
    <row r="71" ht="16.5" customHeight="1" s="237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  <c r="M71" s="10" t="n"/>
      <c r="N71" s="6" t="n"/>
      <c r="O71" s="11" t="n"/>
      <c r="P71" s="6" t="n"/>
      <c r="Q71" s="23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</row>
    <row r="72" ht="16.5" customHeight="1" s="237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  <c r="M72" s="10" t="n"/>
      <c r="N72" s="6" t="n"/>
      <c r="O72" s="11" t="n"/>
      <c r="P72" s="6" t="n"/>
      <c r="Q72" s="23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</row>
    <row r="73" ht="16.5" customHeight="1" s="237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  <c r="M73" s="10" t="n"/>
      <c r="N73" s="6" t="n"/>
      <c r="O73" s="11" t="n"/>
      <c r="P73" s="6" t="n"/>
      <c r="Q73" s="23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</row>
    <row r="74" ht="16.5" customHeight="1" s="237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  <c r="M74" s="10" t="n"/>
      <c r="N74" s="6" t="n"/>
      <c r="O74" s="11" t="n"/>
      <c r="P74" s="6" t="n"/>
      <c r="Q74" s="23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</row>
    <row r="75" ht="16.5" customHeight="1" s="237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  <c r="M75" s="10" t="n"/>
      <c r="N75" s="6" t="n"/>
      <c r="O75" s="11" t="n"/>
      <c r="P75" s="6" t="n"/>
      <c r="Q75" s="23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</row>
    <row r="76" ht="16.5" customHeight="1" s="237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  <c r="M76" s="10" t="n"/>
      <c r="N76" s="6" t="n"/>
      <c r="O76" s="11" t="n"/>
      <c r="P76" s="6" t="n"/>
      <c r="Q76" s="23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</row>
    <row r="77" ht="16.5" customHeight="1" s="237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  <c r="M77" s="10" t="n"/>
      <c r="N77" s="6" t="n"/>
      <c r="O77" s="11" t="n"/>
      <c r="P77" s="6" t="n"/>
      <c r="Q77" s="23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</row>
    <row r="78" ht="16.5" customHeight="1" s="237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  <c r="M78" s="10" t="n"/>
      <c r="N78" s="6" t="n"/>
      <c r="O78" s="11" t="n"/>
      <c r="P78" s="6" t="n"/>
      <c r="Q78" s="23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</row>
    <row r="79" ht="16.5" customHeight="1" s="237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  <c r="M79" s="10" t="n"/>
      <c r="N79" s="6" t="n"/>
      <c r="O79" s="11" t="n"/>
      <c r="P79" s="6" t="n"/>
      <c r="Q79" s="23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</row>
    <row r="80" ht="16.5" customHeight="1" s="237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  <c r="M80" s="10" t="n"/>
      <c r="N80" s="6" t="n"/>
      <c r="O80" s="11" t="n"/>
      <c r="P80" s="6" t="n"/>
      <c r="Q80" s="23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</row>
    <row r="81" ht="16.5" customHeight="1" s="237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  <c r="M81" s="10" t="n"/>
      <c r="N81" s="6" t="n"/>
      <c r="O81" s="11" t="n"/>
      <c r="P81" s="6" t="n"/>
      <c r="Q81" s="23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</row>
    <row r="82" ht="16.5" customHeight="1" s="237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  <c r="M82" s="10" t="n"/>
      <c r="N82" s="6" t="n"/>
      <c r="O82" s="11" t="n"/>
      <c r="P82" s="6" t="n"/>
      <c r="Q82" s="23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</row>
    <row r="83" ht="16.5" customHeight="1" s="237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  <c r="M83" s="10" t="n"/>
      <c r="N83" s="6" t="n"/>
      <c r="O83" s="11" t="n"/>
      <c r="P83" s="6" t="n"/>
      <c r="Q83" s="23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</row>
    <row r="84" ht="16.5" customHeight="1" s="237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  <c r="M84" s="10" t="n"/>
      <c r="N84" s="6" t="n"/>
      <c r="O84" s="11" t="n"/>
      <c r="P84" s="6" t="n"/>
      <c r="Q84" s="23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</row>
    <row r="85" ht="16.5" customHeight="1" s="237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  <c r="M85" s="10" t="n"/>
      <c r="N85" s="6" t="n"/>
      <c r="O85" s="11" t="n"/>
      <c r="P85" s="6" t="n"/>
      <c r="Q85" s="23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</row>
    <row r="86" ht="16.5" customHeight="1" s="237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  <c r="M86" s="10" t="n"/>
      <c r="N86" s="6" t="n"/>
      <c r="O86" s="11" t="n"/>
      <c r="P86" s="6" t="n"/>
      <c r="Q86" s="23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</row>
    <row r="87" ht="16.5" customHeight="1" s="237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10" t="n"/>
      <c r="N87" s="6" t="n"/>
      <c r="O87" s="11" t="n"/>
      <c r="P87" s="6" t="n"/>
      <c r="Q87" s="23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</row>
    <row r="88" ht="16.5" customHeight="1" s="237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  <c r="M88" s="10" t="n"/>
      <c r="N88" s="6" t="n"/>
      <c r="O88" s="11" t="n"/>
      <c r="P88" s="6" t="n"/>
      <c r="Q88" s="23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</row>
    <row r="89" ht="16.5" customHeight="1" s="237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  <c r="M89" s="10" t="n"/>
      <c r="N89" s="6" t="n"/>
      <c r="O89" s="11" t="n"/>
      <c r="P89" s="6" t="n"/>
      <c r="Q89" s="23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</row>
    <row r="90" ht="16.5" customHeight="1" s="237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  <c r="M90" s="10" t="n"/>
      <c r="N90" s="6" t="n"/>
      <c r="O90" s="11" t="n"/>
      <c r="P90" s="6" t="n"/>
      <c r="Q90" s="23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</row>
    <row r="91" ht="16.5" customHeight="1" s="237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  <c r="M91" s="10" t="n"/>
      <c r="N91" s="6" t="n"/>
      <c r="O91" s="11" t="n"/>
      <c r="P91" s="6" t="n"/>
      <c r="Q91" s="23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</row>
    <row r="92" ht="16.5" customHeight="1" s="237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  <c r="M92" s="10" t="n"/>
      <c r="N92" s="6" t="n"/>
      <c r="O92" s="11" t="n"/>
      <c r="P92" s="6" t="n"/>
      <c r="Q92" s="23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</row>
    <row r="93" ht="16.5" customHeight="1" s="237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  <c r="M93" s="10" t="n"/>
      <c r="N93" s="6" t="n"/>
      <c r="O93" s="11" t="n"/>
      <c r="P93" s="6" t="n"/>
      <c r="Q93" s="23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</row>
    <row r="94" ht="16.5" customHeight="1" s="237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  <c r="M94" s="10" t="n"/>
      <c r="N94" s="6" t="n"/>
      <c r="O94" s="11" t="n"/>
      <c r="P94" s="6" t="n"/>
      <c r="Q94" s="23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</row>
    <row r="95" ht="16.5" customHeight="1" s="237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  <c r="M95" s="10" t="n"/>
      <c r="N95" s="6" t="n"/>
      <c r="O95" s="11" t="n"/>
      <c r="P95" s="6" t="n"/>
      <c r="Q95" s="23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</row>
    <row r="96" ht="16.5" customHeight="1" s="237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  <c r="M96" s="10" t="n"/>
      <c r="N96" s="6" t="n"/>
      <c r="O96" s="11" t="n"/>
      <c r="P96" s="6" t="n"/>
      <c r="Q96" s="23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</row>
    <row r="97" ht="16.5" customHeight="1" s="237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  <c r="M97" s="10" t="n"/>
      <c r="N97" s="6" t="n"/>
      <c r="O97" s="11" t="n"/>
      <c r="P97" s="6" t="n"/>
      <c r="Q97" s="23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</row>
    <row r="98" ht="16.5" customHeight="1" s="237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  <c r="M98" s="10" t="n"/>
      <c r="N98" s="6" t="n"/>
      <c r="O98" s="11" t="n"/>
      <c r="P98" s="6" t="n"/>
      <c r="Q98" s="23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</row>
    <row r="99" ht="16.5" customHeight="1" s="237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10" t="n"/>
      <c r="N99" s="6" t="n"/>
      <c r="O99" s="11" t="n"/>
      <c r="P99" s="6" t="n"/>
      <c r="Q99" s="23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</row>
    <row r="100" ht="16.5" customHeight="1" s="237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10" t="n"/>
      <c r="N100" s="6" t="n"/>
      <c r="O100" s="11" t="n"/>
      <c r="P100" s="6" t="n"/>
      <c r="Q100" s="23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</row>
    <row r="101" ht="16.5" customHeight="1" s="237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10" t="n"/>
      <c r="N101" s="6" t="n"/>
      <c r="O101" s="11" t="n"/>
      <c r="P101" s="6" t="n"/>
      <c r="Q101" s="23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</row>
    <row r="102" ht="16.5" customHeight="1" s="237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10" t="n"/>
      <c r="N102" s="6" t="n"/>
      <c r="O102" s="11" t="n"/>
      <c r="P102" s="6" t="n"/>
      <c r="Q102" s="23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</row>
    <row r="103" ht="16.5" customHeight="1" s="237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10" t="n"/>
      <c r="N103" s="6" t="n"/>
      <c r="O103" s="11" t="n"/>
      <c r="P103" s="6" t="n"/>
      <c r="Q103" s="23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</row>
    <row r="104" ht="16.5" customHeight="1" s="237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10" t="n"/>
      <c r="N104" s="6" t="n"/>
      <c r="O104" s="11" t="n"/>
      <c r="P104" s="6" t="n"/>
      <c r="Q104" s="23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</row>
    <row r="105" ht="16.5" customHeight="1" s="237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10" t="n"/>
      <c r="N105" s="6" t="n"/>
      <c r="O105" s="11" t="n"/>
      <c r="P105" s="6" t="n"/>
      <c r="Q105" s="23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</row>
    <row r="106" ht="16.5" customHeight="1" s="237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10" t="n"/>
      <c r="N106" s="6" t="n"/>
      <c r="O106" s="11" t="n"/>
      <c r="P106" s="6" t="n"/>
      <c r="Q106" s="23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</row>
    <row r="107" ht="16.5" customHeight="1" s="237">
      <c r="A107" s="6" t="n"/>
      <c r="B107" s="6" t="n"/>
      <c r="C107" s="6" t="n"/>
      <c r="D107" s="6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10" t="n"/>
      <c r="N107" s="6" t="n"/>
      <c r="O107" s="11" t="n"/>
      <c r="P107" s="6" t="n"/>
      <c r="Q107" s="23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</row>
    <row r="108" ht="16.5" customHeight="1" s="237">
      <c r="A108" s="6" t="n"/>
      <c r="B108" s="6" t="n"/>
      <c r="C108" s="6" t="n"/>
      <c r="D108" s="6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10" t="n"/>
      <c r="N108" s="6" t="n"/>
      <c r="O108" s="11" t="n"/>
      <c r="P108" s="6" t="n"/>
      <c r="Q108" s="23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</row>
    <row r="109" ht="16.5" customHeight="1" s="237">
      <c r="A109" s="6" t="n"/>
      <c r="B109" s="6" t="n"/>
      <c r="C109" s="6" t="n"/>
      <c r="D109" s="6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10" t="n"/>
      <c r="N109" s="6" t="n"/>
      <c r="O109" s="11" t="n"/>
      <c r="P109" s="6" t="n"/>
      <c r="Q109" s="23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</row>
    <row r="110" ht="16.5" customHeight="1" s="237">
      <c r="A110" s="6" t="n"/>
      <c r="B110" s="6" t="n"/>
      <c r="C110" s="6" t="n"/>
      <c r="D110" s="6" t="n"/>
      <c r="E110" s="6" t="n"/>
      <c r="F110" s="6" t="n"/>
      <c r="G110" s="6" t="n"/>
      <c r="H110" s="6" t="n"/>
      <c r="I110" s="6" t="n"/>
      <c r="J110" s="6" t="n"/>
      <c r="K110" s="6" t="n"/>
      <c r="L110" s="6" t="n"/>
      <c r="M110" s="10" t="n"/>
      <c r="N110" s="6" t="n"/>
      <c r="O110" s="11" t="n"/>
      <c r="P110" s="6" t="n"/>
      <c r="Q110" s="23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</row>
    <row r="111" ht="16.5" customHeight="1" s="237">
      <c r="A111" s="6" t="n"/>
      <c r="B111" s="6" t="n"/>
      <c r="C111" s="6" t="n"/>
      <c r="D111" s="6" t="n"/>
      <c r="E111" s="6" t="n"/>
      <c r="F111" s="6" t="n"/>
      <c r="G111" s="6" t="n"/>
      <c r="H111" s="6" t="n"/>
      <c r="I111" s="6" t="n"/>
      <c r="J111" s="6" t="n"/>
      <c r="K111" s="6" t="n"/>
      <c r="L111" s="6" t="n"/>
      <c r="M111" s="10" t="n"/>
      <c r="N111" s="6" t="n"/>
      <c r="O111" s="11" t="n"/>
      <c r="P111" s="6" t="n"/>
      <c r="Q111" s="23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</row>
    <row r="112" ht="16.5" customHeight="1" s="237">
      <c r="A112" s="6" t="n"/>
      <c r="B112" s="6" t="n"/>
      <c r="C112" s="6" t="n"/>
      <c r="D112" s="6" t="n"/>
      <c r="E112" s="6" t="n"/>
      <c r="F112" s="6" t="n"/>
      <c r="G112" s="6" t="n"/>
      <c r="H112" s="6" t="n"/>
      <c r="I112" s="6" t="n"/>
      <c r="J112" s="6" t="n"/>
      <c r="K112" s="6" t="n"/>
      <c r="L112" s="6" t="n"/>
      <c r="M112" s="10" t="n"/>
      <c r="N112" s="6" t="n"/>
      <c r="O112" s="11" t="n"/>
      <c r="P112" s="6" t="n"/>
      <c r="Q112" s="23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</row>
    <row r="113" ht="16.5" customHeight="1" s="237">
      <c r="A113" s="6" t="n"/>
      <c r="B113" s="6" t="n"/>
      <c r="C113" s="6" t="n"/>
      <c r="D113" s="6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10" t="n"/>
      <c r="N113" s="6" t="n"/>
      <c r="O113" s="11" t="n"/>
      <c r="P113" s="6" t="n"/>
      <c r="Q113" s="23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</row>
    <row r="114" ht="16.5" customHeight="1" s="237">
      <c r="A114" s="6" t="n"/>
      <c r="B114" s="6" t="n"/>
      <c r="C114" s="6" t="n"/>
      <c r="D114" s="6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10" t="n"/>
      <c r="N114" s="6" t="n"/>
      <c r="O114" s="11" t="n"/>
      <c r="P114" s="6" t="n"/>
      <c r="Q114" s="23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</row>
    <row r="115" ht="16.5" customHeight="1" s="237">
      <c r="A115" s="6" t="n"/>
      <c r="B115" s="6" t="n"/>
      <c r="C115" s="6" t="n"/>
      <c r="D115" s="6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10" t="n"/>
      <c r="N115" s="6" t="n"/>
      <c r="O115" s="11" t="n"/>
      <c r="P115" s="6" t="n"/>
      <c r="Q115" s="23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</row>
    <row r="116" ht="16.5" customHeight="1" s="237">
      <c r="A116" s="6" t="n"/>
      <c r="B116" s="6" t="n"/>
      <c r="C116" s="6" t="n"/>
      <c r="D116" s="6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10" t="n"/>
      <c r="N116" s="6" t="n"/>
      <c r="O116" s="11" t="n"/>
      <c r="P116" s="6" t="n"/>
      <c r="Q116" s="23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</row>
    <row r="117" ht="16.5" customHeight="1" s="237">
      <c r="A117" s="6" t="n"/>
      <c r="B117" s="6" t="n"/>
      <c r="C117" s="6" t="n"/>
      <c r="D117" s="6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10" t="n"/>
      <c r="N117" s="6" t="n"/>
      <c r="O117" s="11" t="n"/>
      <c r="P117" s="6" t="n"/>
      <c r="Q117" s="23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</row>
    <row r="118" ht="16.5" customHeight="1" s="237">
      <c r="A118" s="6" t="n"/>
      <c r="B118" s="6" t="n"/>
      <c r="C118" s="6" t="n"/>
      <c r="D118" s="6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10" t="n"/>
      <c r="N118" s="6" t="n"/>
      <c r="O118" s="11" t="n"/>
      <c r="P118" s="6" t="n"/>
      <c r="Q118" s="23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</row>
    <row r="119" ht="16.5" customHeight="1" s="237">
      <c r="A119" s="6" t="n"/>
      <c r="B119" s="6" t="n"/>
      <c r="C119" s="6" t="n"/>
      <c r="D119" s="6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10" t="n"/>
      <c r="N119" s="6" t="n"/>
      <c r="O119" s="11" t="n"/>
      <c r="P119" s="6" t="n"/>
      <c r="Q119" s="23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</row>
    <row r="120" ht="16.5" customHeight="1" s="237">
      <c r="A120" s="6" t="n"/>
      <c r="B120" s="6" t="n"/>
      <c r="C120" s="6" t="n"/>
      <c r="D120" s="6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10" t="n"/>
      <c r="N120" s="6" t="n"/>
      <c r="O120" s="11" t="n"/>
      <c r="P120" s="6" t="n"/>
      <c r="Q120" s="23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</row>
    <row r="121" ht="16.5" customHeight="1" s="237">
      <c r="A121" s="6" t="n"/>
      <c r="B121" s="6" t="n"/>
      <c r="C121" s="6" t="n"/>
      <c r="D121" s="6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10" t="n"/>
      <c r="N121" s="6" t="n"/>
      <c r="O121" s="11" t="n"/>
      <c r="P121" s="6" t="n"/>
      <c r="Q121" s="23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</row>
    <row r="122" ht="16.5" customHeight="1" s="237">
      <c r="A122" s="6" t="n"/>
      <c r="B122" s="6" t="n"/>
      <c r="C122" s="6" t="n"/>
      <c r="D122" s="6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10" t="n"/>
      <c r="N122" s="6" t="n"/>
      <c r="O122" s="11" t="n"/>
      <c r="P122" s="6" t="n"/>
      <c r="Q122" s="23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</row>
    <row r="123" ht="16.5" customHeight="1" s="237">
      <c r="A123" s="6" t="n"/>
      <c r="B123" s="6" t="n"/>
      <c r="C123" s="6" t="n"/>
      <c r="D123" s="6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10" t="n"/>
      <c r="N123" s="6" t="n"/>
      <c r="O123" s="11" t="n"/>
      <c r="P123" s="6" t="n"/>
      <c r="Q123" s="23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</row>
    <row r="124" ht="16.5" customHeight="1" s="237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10" t="n"/>
      <c r="N124" s="6" t="n"/>
      <c r="O124" s="11" t="n"/>
      <c r="P124" s="6" t="n"/>
      <c r="Q124" s="23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</row>
    <row r="125" ht="16.5" customHeight="1" s="237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10" t="n"/>
      <c r="N125" s="6" t="n"/>
      <c r="O125" s="11" t="n"/>
      <c r="P125" s="6" t="n"/>
      <c r="Q125" s="23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</row>
    <row r="126" ht="16.5" customHeight="1" s="237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10" t="n"/>
      <c r="N126" s="6" t="n"/>
      <c r="O126" s="11" t="n"/>
      <c r="P126" s="6" t="n"/>
      <c r="Q126" s="23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</row>
    <row r="127" ht="16.5" customHeight="1" s="23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10" t="n"/>
      <c r="N127" s="6" t="n"/>
      <c r="O127" s="11" t="n"/>
      <c r="P127" s="6" t="n"/>
      <c r="Q127" s="23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</row>
    <row r="128" ht="16.5" customHeight="1" s="237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10" t="n"/>
      <c r="N128" s="6" t="n"/>
      <c r="O128" s="11" t="n"/>
      <c r="P128" s="6" t="n"/>
      <c r="Q128" s="23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</row>
    <row r="129" ht="16.5" customHeight="1" s="237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10" t="n"/>
      <c r="N129" s="6" t="n"/>
      <c r="O129" s="11" t="n"/>
      <c r="P129" s="6" t="n"/>
      <c r="Q129" s="23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</row>
    <row r="130" ht="16.5" customHeight="1" s="237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10" t="n"/>
      <c r="N130" s="6" t="n"/>
      <c r="O130" s="11" t="n"/>
      <c r="P130" s="6" t="n"/>
      <c r="Q130" s="23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</row>
    <row r="131" ht="16.5" customHeight="1" s="237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10" t="n"/>
      <c r="N131" s="6" t="n"/>
      <c r="O131" s="11" t="n"/>
      <c r="P131" s="6" t="n"/>
      <c r="Q131" s="23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</row>
    <row r="132" ht="16.5" customHeight="1" s="237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10" t="n"/>
      <c r="N132" s="6" t="n"/>
      <c r="O132" s="11" t="n"/>
      <c r="P132" s="6" t="n"/>
      <c r="Q132" s="23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</row>
    <row r="133" ht="16.5" customHeight="1" s="237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10" t="n"/>
      <c r="N133" s="6" t="n"/>
      <c r="O133" s="11" t="n"/>
      <c r="P133" s="6" t="n"/>
      <c r="Q133" s="23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</row>
    <row r="134" ht="16.5" customHeight="1" s="237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10" t="n"/>
      <c r="N134" s="6" t="n"/>
      <c r="O134" s="11" t="n"/>
      <c r="P134" s="6" t="n"/>
      <c r="Q134" s="23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</row>
    <row r="135" ht="16.5" customHeight="1" s="237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10" t="n"/>
      <c r="N135" s="6" t="n"/>
      <c r="O135" s="11" t="n"/>
      <c r="P135" s="6" t="n"/>
      <c r="Q135" s="23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</row>
    <row r="136" ht="16.5" customHeight="1" s="237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10" t="n"/>
      <c r="N136" s="6" t="n"/>
      <c r="O136" s="11" t="n"/>
      <c r="P136" s="6" t="n"/>
      <c r="Q136" s="23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</row>
    <row r="137" ht="16.5" customHeight="1" s="2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10" t="n"/>
      <c r="N137" s="6" t="n"/>
      <c r="O137" s="11" t="n"/>
      <c r="P137" s="6" t="n"/>
      <c r="Q137" s="23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</row>
    <row r="138" ht="16.5" customHeight="1" s="237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10" t="n"/>
      <c r="N138" s="6" t="n"/>
      <c r="O138" s="11" t="n"/>
      <c r="P138" s="6" t="n"/>
      <c r="Q138" s="23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</row>
    <row r="139" ht="16.5" customHeight="1" s="237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10" t="n"/>
      <c r="N139" s="6" t="n"/>
      <c r="O139" s="11" t="n"/>
      <c r="P139" s="6" t="n"/>
      <c r="Q139" s="23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</row>
    <row r="140" ht="16.5" customHeight="1" s="237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10" t="n"/>
      <c r="N140" s="6" t="n"/>
      <c r="O140" s="11" t="n"/>
      <c r="P140" s="6" t="n"/>
      <c r="Q140" s="23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</row>
    <row r="141" ht="16.5" customHeight="1" s="237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10" t="n"/>
      <c r="N141" s="6" t="n"/>
      <c r="O141" s="11" t="n"/>
      <c r="P141" s="6" t="n"/>
      <c r="Q141" s="23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</row>
    <row r="142" ht="16.5" customHeight="1" s="237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10" t="n"/>
      <c r="N142" s="6" t="n"/>
      <c r="O142" s="11" t="n"/>
      <c r="P142" s="6" t="n"/>
      <c r="Q142" s="23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</row>
    <row r="143" ht="16.5" customHeight="1" s="237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10" t="n"/>
      <c r="N143" s="6" t="n"/>
      <c r="O143" s="11" t="n"/>
      <c r="P143" s="6" t="n"/>
      <c r="Q143" s="23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</row>
    <row r="144" ht="16.5" customHeight="1" s="237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10" t="n"/>
      <c r="N144" s="6" t="n"/>
      <c r="O144" s="11" t="n"/>
      <c r="P144" s="6" t="n"/>
      <c r="Q144" s="23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</row>
    <row r="145" ht="16.5" customHeight="1" s="237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10" t="n"/>
      <c r="N145" s="6" t="n"/>
      <c r="O145" s="11" t="n"/>
      <c r="P145" s="6" t="n"/>
      <c r="Q145" s="23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</row>
    <row r="146" ht="16.5" customHeight="1" s="237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10" t="n"/>
      <c r="N146" s="6" t="n"/>
      <c r="O146" s="11" t="n"/>
      <c r="P146" s="6" t="n"/>
      <c r="Q146" s="23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</row>
    <row r="147" ht="16.5" customHeight="1" s="23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10" t="n"/>
      <c r="N147" s="6" t="n"/>
      <c r="O147" s="11" t="n"/>
      <c r="P147" s="6" t="n"/>
      <c r="Q147" s="23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</row>
    <row r="148" ht="16.5" customHeight="1" s="237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10" t="n"/>
      <c r="N148" s="6" t="n"/>
      <c r="O148" s="11" t="n"/>
      <c r="P148" s="6" t="n"/>
      <c r="Q148" s="23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</row>
    <row r="149" ht="16.5" customHeight="1" s="237">
      <c r="A149" s="6" t="n"/>
      <c r="B149" s="6" t="n"/>
      <c r="C149" s="6" t="n"/>
      <c r="D149" s="6" t="n"/>
      <c r="E149" s="6" t="n"/>
      <c r="F149" s="6" t="n"/>
      <c r="G149" s="6" t="n"/>
      <c r="H149" s="6" t="n"/>
      <c r="I149" s="6" t="n"/>
      <c r="J149" s="6" t="n"/>
      <c r="K149" s="6" t="n"/>
      <c r="L149" s="6" t="n"/>
      <c r="M149" s="10" t="n"/>
      <c r="N149" s="6" t="n"/>
      <c r="O149" s="11" t="n"/>
      <c r="P149" s="6" t="n"/>
      <c r="Q149" s="236" t="n"/>
      <c r="R149" s="6" t="n"/>
      <c r="S149" s="6" t="n"/>
      <c r="T149" s="6" t="n"/>
      <c r="U149" s="6" t="n"/>
      <c r="V149" s="6" t="n"/>
      <c r="W149" s="6" t="n"/>
      <c r="X149" s="6" t="n"/>
      <c r="Y149" s="6" t="n"/>
      <c r="Z149" s="6" t="n"/>
    </row>
    <row r="150" ht="16.5" customHeight="1" s="237">
      <c r="A150" s="6" t="n"/>
      <c r="B150" s="6" t="n"/>
      <c r="C150" s="6" t="n"/>
      <c r="D150" s="6" t="n"/>
      <c r="E150" s="6" t="n"/>
      <c r="F150" s="6" t="n"/>
      <c r="G150" s="6" t="n"/>
      <c r="H150" s="6" t="n"/>
      <c r="I150" s="6" t="n"/>
      <c r="J150" s="6" t="n"/>
      <c r="K150" s="6" t="n"/>
      <c r="L150" s="6" t="n"/>
      <c r="M150" s="10" t="n"/>
      <c r="N150" s="6" t="n"/>
      <c r="O150" s="11" t="n"/>
      <c r="P150" s="6" t="n"/>
      <c r="Q150" s="236" t="n"/>
      <c r="R150" s="6" t="n"/>
      <c r="S150" s="6" t="n"/>
      <c r="T150" s="6" t="n"/>
      <c r="U150" s="6" t="n"/>
      <c r="V150" s="6" t="n"/>
      <c r="W150" s="6" t="n"/>
      <c r="X150" s="6" t="n"/>
      <c r="Y150" s="6" t="n"/>
      <c r="Z150" s="6" t="n"/>
    </row>
    <row r="151" ht="16.5" customHeight="1" s="237">
      <c r="A151" s="6" t="n"/>
      <c r="B151" s="6" t="n"/>
      <c r="C151" s="6" t="n"/>
      <c r="D151" s="6" t="n"/>
      <c r="E151" s="6" t="n"/>
      <c r="F151" s="6" t="n"/>
      <c r="G151" s="6" t="n"/>
      <c r="H151" s="6" t="n"/>
      <c r="I151" s="6" t="n"/>
      <c r="J151" s="6" t="n"/>
      <c r="K151" s="6" t="n"/>
      <c r="L151" s="6" t="n"/>
      <c r="M151" s="10" t="n"/>
      <c r="N151" s="6" t="n"/>
      <c r="O151" s="11" t="n"/>
      <c r="P151" s="6" t="n"/>
      <c r="Q151" s="236" t="n"/>
      <c r="R151" s="6" t="n"/>
      <c r="S151" s="6" t="n"/>
      <c r="T151" s="6" t="n"/>
      <c r="U151" s="6" t="n"/>
      <c r="V151" s="6" t="n"/>
      <c r="W151" s="6" t="n"/>
      <c r="X151" s="6" t="n"/>
      <c r="Y151" s="6" t="n"/>
      <c r="Z151" s="6" t="n"/>
    </row>
    <row r="152" ht="16.5" customHeight="1" s="237">
      <c r="A152" s="6" t="n"/>
      <c r="B152" s="6" t="n"/>
      <c r="C152" s="6" t="n"/>
      <c r="D152" s="6" t="n"/>
      <c r="E152" s="6" t="n"/>
      <c r="F152" s="6" t="n"/>
      <c r="G152" s="6" t="n"/>
      <c r="H152" s="6" t="n"/>
      <c r="I152" s="6" t="n"/>
      <c r="J152" s="6" t="n"/>
      <c r="K152" s="6" t="n"/>
      <c r="L152" s="6" t="n"/>
      <c r="M152" s="10" t="n"/>
      <c r="N152" s="6" t="n"/>
      <c r="O152" s="11" t="n"/>
      <c r="P152" s="6" t="n"/>
      <c r="Q152" s="236" t="n"/>
      <c r="R152" s="6" t="n"/>
      <c r="S152" s="6" t="n"/>
      <c r="T152" s="6" t="n"/>
      <c r="U152" s="6" t="n"/>
      <c r="V152" s="6" t="n"/>
      <c r="W152" s="6" t="n"/>
      <c r="X152" s="6" t="n"/>
      <c r="Y152" s="6" t="n"/>
      <c r="Z152" s="6" t="n"/>
    </row>
    <row r="153" ht="16.5" customHeight="1" s="237">
      <c r="A153" s="6" t="n"/>
      <c r="B153" s="6" t="n"/>
      <c r="C153" s="6" t="n"/>
      <c r="D153" s="6" t="n"/>
      <c r="E153" s="6" t="n"/>
      <c r="F153" s="6" t="n"/>
      <c r="G153" s="6" t="n"/>
      <c r="H153" s="6" t="n"/>
      <c r="I153" s="6" t="n"/>
      <c r="J153" s="6" t="n"/>
      <c r="K153" s="6" t="n"/>
      <c r="L153" s="6" t="n"/>
      <c r="M153" s="10" t="n"/>
      <c r="N153" s="6" t="n"/>
      <c r="O153" s="11" t="n"/>
      <c r="P153" s="6" t="n"/>
      <c r="Q153" s="236" t="n"/>
      <c r="R153" s="6" t="n"/>
      <c r="S153" s="6" t="n"/>
      <c r="T153" s="6" t="n"/>
      <c r="U153" s="6" t="n"/>
      <c r="V153" s="6" t="n"/>
      <c r="W153" s="6" t="n"/>
      <c r="X153" s="6" t="n"/>
      <c r="Y153" s="6" t="n"/>
      <c r="Z153" s="6" t="n"/>
    </row>
    <row r="154" ht="16.5" customHeight="1" s="237">
      <c r="A154" s="6" t="n"/>
      <c r="B154" s="6" t="n"/>
      <c r="C154" s="6" t="n"/>
      <c r="D154" s="6" t="n"/>
      <c r="E154" s="6" t="n"/>
      <c r="F154" s="6" t="n"/>
      <c r="G154" s="6" t="n"/>
      <c r="H154" s="6" t="n"/>
      <c r="I154" s="6" t="n"/>
      <c r="J154" s="6" t="n"/>
      <c r="K154" s="6" t="n"/>
      <c r="L154" s="6" t="n"/>
      <c r="M154" s="10" t="n"/>
      <c r="N154" s="6" t="n"/>
      <c r="O154" s="11" t="n"/>
      <c r="P154" s="6" t="n"/>
      <c r="Q154" s="236" t="n"/>
      <c r="R154" s="6" t="n"/>
      <c r="S154" s="6" t="n"/>
      <c r="T154" s="6" t="n"/>
      <c r="U154" s="6" t="n"/>
      <c r="V154" s="6" t="n"/>
      <c r="W154" s="6" t="n"/>
      <c r="X154" s="6" t="n"/>
      <c r="Y154" s="6" t="n"/>
      <c r="Z154" s="6" t="n"/>
    </row>
    <row r="155" ht="16.5" customHeight="1" s="237">
      <c r="A155" s="6" t="n"/>
      <c r="B155" s="6" t="n"/>
      <c r="C155" s="6" t="n"/>
      <c r="D155" s="6" t="n"/>
      <c r="E155" s="6" t="n"/>
      <c r="F155" s="6" t="n"/>
      <c r="G155" s="6" t="n"/>
      <c r="H155" s="6" t="n"/>
      <c r="I155" s="6" t="n"/>
      <c r="J155" s="6" t="n"/>
      <c r="K155" s="6" t="n"/>
      <c r="L155" s="6" t="n"/>
      <c r="M155" s="10" t="n"/>
      <c r="N155" s="6" t="n"/>
      <c r="O155" s="11" t="n"/>
      <c r="P155" s="6" t="n"/>
      <c r="Q155" s="236" t="n"/>
      <c r="R155" s="6" t="n"/>
      <c r="S155" s="6" t="n"/>
      <c r="T155" s="6" t="n"/>
      <c r="U155" s="6" t="n"/>
      <c r="V155" s="6" t="n"/>
      <c r="W155" s="6" t="n"/>
      <c r="X155" s="6" t="n"/>
      <c r="Y155" s="6" t="n"/>
      <c r="Z155" s="6" t="n"/>
    </row>
    <row r="156" ht="16.5" customHeight="1" s="237">
      <c r="A156" s="6" t="n"/>
      <c r="B156" s="6" t="n"/>
      <c r="C156" s="6" t="n"/>
      <c r="D156" s="6" t="n"/>
      <c r="E156" s="6" t="n"/>
      <c r="F156" s="6" t="n"/>
      <c r="G156" s="6" t="n"/>
      <c r="H156" s="6" t="n"/>
      <c r="I156" s="6" t="n"/>
      <c r="J156" s="6" t="n"/>
      <c r="K156" s="6" t="n"/>
      <c r="L156" s="6" t="n"/>
      <c r="M156" s="10" t="n"/>
      <c r="N156" s="6" t="n"/>
      <c r="O156" s="11" t="n"/>
      <c r="P156" s="6" t="n"/>
      <c r="Q156" s="236" t="n"/>
      <c r="R156" s="6" t="n"/>
      <c r="S156" s="6" t="n"/>
      <c r="T156" s="6" t="n"/>
      <c r="U156" s="6" t="n"/>
      <c r="V156" s="6" t="n"/>
      <c r="W156" s="6" t="n"/>
      <c r="X156" s="6" t="n"/>
      <c r="Y156" s="6" t="n"/>
      <c r="Z156" s="6" t="n"/>
    </row>
    <row r="157" ht="16.5" customHeight="1" s="237">
      <c r="A157" s="6" t="n"/>
      <c r="B157" s="6" t="n"/>
      <c r="C157" s="6" t="n"/>
      <c r="D157" s="6" t="n"/>
      <c r="E157" s="6" t="n"/>
      <c r="F157" s="6" t="n"/>
      <c r="G157" s="6" t="n"/>
      <c r="H157" s="6" t="n"/>
      <c r="I157" s="6" t="n"/>
      <c r="J157" s="6" t="n"/>
      <c r="K157" s="6" t="n"/>
      <c r="L157" s="6" t="n"/>
      <c r="M157" s="10" t="n"/>
      <c r="N157" s="6" t="n"/>
      <c r="O157" s="11" t="n"/>
      <c r="P157" s="6" t="n"/>
      <c r="Q157" s="236" t="n"/>
      <c r="R157" s="6" t="n"/>
      <c r="S157" s="6" t="n"/>
      <c r="T157" s="6" t="n"/>
      <c r="U157" s="6" t="n"/>
      <c r="V157" s="6" t="n"/>
      <c r="W157" s="6" t="n"/>
      <c r="X157" s="6" t="n"/>
      <c r="Y157" s="6" t="n"/>
      <c r="Z157" s="6" t="n"/>
    </row>
    <row r="158" ht="16.5" customHeight="1" s="237">
      <c r="A158" s="6" t="n"/>
      <c r="B158" s="6" t="n"/>
      <c r="C158" s="6" t="n"/>
      <c r="D158" s="6" t="n"/>
      <c r="E158" s="6" t="n"/>
      <c r="F158" s="6" t="n"/>
      <c r="G158" s="6" t="n"/>
      <c r="H158" s="6" t="n"/>
      <c r="I158" s="6" t="n"/>
      <c r="J158" s="6" t="n"/>
      <c r="K158" s="6" t="n"/>
      <c r="L158" s="6" t="n"/>
      <c r="M158" s="10" t="n"/>
      <c r="N158" s="6" t="n"/>
      <c r="O158" s="11" t="n"/>
      <c r="P158" s="6" t="n"/>
      <c r="Q158" s="236" t="n"/>
      <c r="R158" s="6" t="n"/>
      <c r="S158" s="6" t="n"/>
      <c r="T158" s="6" t="n"/>
      <c r="U158" s="6" t="n"/>
      <c r="V158" s="6" t="n"/>
      <c r="W158" s="6" t="n"/>
      <c r="X158" s="6" t="n"/>
      <c r="Y158" s="6" t="n"/>
      <c r="Z158" s="6" t="n"/>
    </row>
    <row r="159" ht="16.5" customHeight="1" s="237">
      <c r="A159" s="6" t="n"/>
      <c r="B159" s="6" t="n"/>
      <c r="C159" s="6" t="n"/>
      <c r="D159" s="6" t="n"/>
      <c r="E159" s="6" t="n"/>
      <c r="F159" s="6" t="n"/>
      <c r="G159" s="6" t="n"/>
      <c r="H159" s="6" t="n"/>
      <c r="I159" s="6" t="n"/>
      <c r="J159" s="6" t="n"/>
      <c r="K159" s="6" t="n"/>
      <c r="L159" s="6" t="n"/>
      <c r="M159" s="10" t="n"/>
      <c r="N159" s="6" t="n"/>
      <c r="O159" s="11" t="n"/>
      <c r="P159" s="6" t="n"/>
      <c r="Q159" s="236" t="n"/>
      <c r="R159" s="6" t="n"/>
      <c r="S159" s="6" t="n"/>
      <c r="T159" s="6" t="n"/>
      <c r="U159" s="6" t="n"/>
      <c r="V159" s="6" t="n"/>
      <c r="W159" s="6" t="n"/>
      <c r="X159" s="6" t="n"/>
      <c r="Y159" s="6" t="n"/>
      <c r="Z159" s="6" t="n"/>
    </row>
    <row r="160" ht="16.5" customHeight="1" s="237">
      <c r="A160" s="6" t="n"/>
      <c r="B160" s="6" t="n"/>
      <c r="C160" s="6" t="n"/>
      <c r="D160" s="6" t="n"/>
      <c r="E160" s="6" t="n"/>
      <c r="F160" s="6" t="n"/>
      <c r="G160" s="6" t="n"/>
      <c r="H160" s="6" t="n"/>
      <c r="I160" s="6" t="n"/>
      <c r="J160" s="6" t="n"/>
      <c r="K160" s="6" t="n"/>
      <c r="L160" s="6" t="n"/>
      <c r="M160" s="10" t="n"/>
      <c r="N160" s="6" t="n"/>
      <c r="O160" s="11" t="n"/>
      <c r="P160" s="6" t="n"/>
      <c r="Q160" s="236" t="n"/>
      <c r="R160" s="6" t="n"/>
      <c r="S160" s="6" t="n"/>
      <c r="T160" s="6" t="n"/>
      <c r="U160" s="6" t="n"/>
      <c r="V160" s="6" t="n"/>
      <c r="W160" s="6" t="n"/>
      <c r="X160" s="6" t="n"/>
      <c r="Y160" s="6" t="n"/>
      <c r="Z160" s="6" t="n"/>
    </row>
    <row r="161" ht="16.5" customHeight="1" s="237">
      <c r="A161" s="6" t="n"/>
      <c r="B161" s="6" t="n"/>
      <c r="C161" s="6" t="n"/>
      <c r="D161" s="6" t="n"/>
      <c r="E161" s="6" t="n"/>
      <c r="F161" s="6" t="n"/>
      <c r="G161" s="6" t="n"/>
      <c r="H161" s="6" t="n"/>
      <c r="I161" s="6" t="n"/>
      <c r="J161" s="6" t="n"/>
      <c r="K161" s="6" t="n"/>
      <c r="L161" s="6" t="n"/>
      <c r="M161" s="10" t="n"/>
      <c r="N161" s="6" t="n"/>
      <c r="O161" s="11" t="n"/>
      <c r="P161" s="6" t="n"/>
      <c r="Q161" s="236" t="n"/>
      <c r="R161" s="6" t="n"/>
      <c r="S161" s="6" t="n"/>
      <c r="T161" s="6" t="n"/>
      <c r="U161" s="6" t="n"/>
      <c r="V161" s="6" t="n"/>
      <c r="W161" s="6" t="n"/>
      <c r="X161" s="6" t="n"/>
      <c r="Y161" s="6" t="n"/>
      <c r="Z161" s="6" t="n"/>
    </row>
    <row r="162" ht="16.5" customHeight="1" s="237">
      <c r="A162" s="6" t="n"/>
      <c r="B162" s="6" t="n"/>
      <c r="C162" s="6" t="n"/>
      <c r="D162" s="6" t="n"/>
      <c r="E162" s="6" t="n"/>
      <c r="F162" s="6" t="n"/>
      <c r="G162" s="6" t="n"/>
      <c r="H162" s="6" t="n"/>
      <c r="I162" s="6" t="n"/>
      <c r="J162" s="6" t="n"/>
      <c r="K162" s="6" t="n"/>
      <c r="L162" s="6" t="n"/>
      <c r="M162" s="10" t="n"/>
      <c r="N162" s="6" t="n"/>
      <c r="O162" s="11" t="n"/>
      <c r="P162" s="6" t="n"/>
      <c r="Q162" s="236" t="n"/>
      <c r="R162" s="6" t="n"/>
      <c r="S162" s="6" t="n"/>
      <c r="T162" s="6" t="n"/>
      <c r="U162" s="6" t="n"/>
      <c r="V162" s="6" t="n"/>
      <c r="W162" s="6" t="n"/>
      <c r="X162" s="6" t="n"/>
      <c r="Y162" s="6" t="n"/>
      <c r="Z162" s="6" t="n"/>
    </row>
    <row r="163" ht="16.5" customHeight="1" s="237">
      <c r="A163" s="6" t="n"/>
      <c r="B163" s="6" t="n"/>
      <c r="C163" s="6" t="n"/>
      <c r="D163" s="6" t="n"/>
      <c r="E163" s="6" t="n"/>
      <c r="F163" s="6" t="n"/>
      <c r="G163" s="6" t="n"/>
      <c r="H163" s="6" t="n"/>
      <c r="I163" s="6" t="n"/>
      <c r="J163" s="6" t="n"/>
      <c r="K163" s="6" t="n"/>
      <c r="L163" s="6" t="n"/>
      <c r="M163" s="10" t="n"/>
      <c r="N163" s="6" t="n"/>
      <c r="O163" s="11" t="n"/>
      <c r="P163" s="6" t="n"/>
      <c r="Q163" s="236" t="n"/>
      <c r="R163" s="6" t="n"/>
      <c r="S163" s="6" t="n"/>
      <c r="T163" s="6" t="n"/>
      <c r="U163" s="6" t="n"/>
      <c r="V163" s="6" t="n"/>
      <c r="W163" s="6" t="n"/>
      <c r="X163" s="6" t="n"/>
      <c r="Y163" s="6" t="n"/>
      <c r="Z163" s="6" t="n"/>
    </row>
    <row r="164" ht="16.5" customHeight="1" s="237">
      <c r="A164" s="6" t="n"/>
      <c r="B164" s="6" t="n"/>
      <c r="C164" s="6" t="n"/>
      <c r="D164" s="6" t="n"/>
      <c r="E164" s="6" t="n"/>
      <c r="F164" s="6" t="n"/>
      <c r="G164" s="6" t="n"/>
      <c r="H164" s="6" t="n"/>
      <c r="I164" s="6" t="n"/>
      <c r="J164" s="6" t="n"/>
      <c r="K164" s="6" t="n"/>
      <c r="L164" s="6" t="n"/>
      <c r="M164" s="10" t="n"/>
      <c r="N164" s="6" t="n"/>
      <c r="O164" s="11" t="n"/>
      <c r="P164" s="6" t="n"/>
      <c r="Q164" s="236" t="n"/>
      <c r="R164" s="6" t="n"/>
      <c r="S164" s="6" t="n"/>
      <c r="T164" s="6" t="n"/>
      <c r="U164" s="6" t="n"/>
      <c r="V164" s="6" t="n"/>
      <c r="W164" s="6" t="n"/>
      <c r="X164" s="6" t="n"/>
      <c r="Y164" s="6" t="n"/>
      <c r="Z164" s="6" t="n"/>
    </row>
    <row r="165" ht="16.5" customHeight="1" s="237">
      <c r="A165" s="6" t="n"/>
      <c r="B165" s="6" t="n"/>
      <c r="C165" s="6" t="n"/>
      <c r="D165" s="6" t="n"/>
      <c r="E165" s="6" t="n"/>
      <c r="F165" s="6" t="n"/>
      <c r="G165" s="6" t="n"/>
      <c r="H165" s="6" t="n"/>
      <c r="I165" s="6" t="n"/>
      <c r="J165" s="6" t="n"/>
      <c r="K165" s="6" t="n"/>
      <c r="L165" s="6" t="n"/>
      <c r="M165" s="10" t="n"/>
      <c r="N165" s="6" t="n"/>
      <c r="O165" s="11" t="n"/>
      <c r="P165" s="6" t="n"/>
      <c r="Q165" s="236" t="n"/>
      <c r="R165" s="6" t="n"/>
      <c r="S165" s="6" t="n"/>
      <c r="T165" s="6" t="n"/>
      <c r="U165" s="6" t="n"/>
      <c r="V165" s="6" t="n"/>
      <c r="W165" s="6" t="n"/>
      <c r="X165" s="6" t="n"/>
      <c r="Y165" s="6" t="n"/>
      <c r="Z165" s="6" t="n"/>
    </row>
    <row r="166" ht="16.5" customHeight="1" s="237">
      <c r="A166" s="6" t="n"/>
      <c r="B166" s="6" t="n"/>
      <c r="C166" s="6" t="n"/>
      <c r="D166" s="6" t="n"/>
      <c r="E166" s="6" t="n"/>
      <c r="F166" s="6" t="n"/>
      <c r="G166" s="6" t="n"/>
      <c r="H166" s="6" t="n"/>
      <c r="I166" s="6" t="n"/>
      <c r="J166" s="6" t="n"/>
      <c r="K166" s="6" t="n"/>
      <c r="L166" s="6" t="n"/>
      <c r="M166" s="10" t="n"/>
      <c r="N166" s="6" t="n"/>
      <c r="O166" s="11" t="n"/>
      <c r="P166" s="6" t="n"/>
      <c r="Q166" s="236" t="n"/>
      <c r="R166" s="6" t="n"/>
      <c r="S166" s="6" t="n"/>
      <c r="T166" s="6" t="n"/>
      <c r="U166" s="6" t="n"/>
      <c r="V166" s="6" t="n"/>
      <c r="W166" s="6" t="n"/>
      <c r="X166" s="6" t="n"/>
      <c r="Y166" s="6" t="n"/>
      <c r="Z166" s="6" t="n"/>
    </row>
    <row r="167" ht="16.5" customHeight="1" s="237">
      <c r="A167" s="6" t="n"/>
      <c r="B167" s="6" t="n"/>
      <c r="C167" s="6" t="n"/>
      <c r="D167" s="6" t="n"/>
      <c r="E167" s="6" t="n"/>
      <c r="F167" s="6" t="n"/>
      <c r="G167" s="6" t="n"/>
      <c r="H167" s="6" t="n"/>
      <c r="I167" s="6" t="n"/>
      <c r="J167" s="6" t="n"/>
      <c r="K167" s="6" t="n"/>
      <c r="L167" s="6" t="n"/>
      <c r="M167" s="10" t="n"/>
      <c r="N167" s="6" t="n"/>
      <c r="O167" s="11" t="n"/>
      <c r="P167" s="6" t="n"/>
      <c r="Q167" s="236" t="n"/>
      <c r="R167" s="6" t="n"/>
      <c r="S167" s="6" t="n"/>
      <c r="T167" s="6" t="n"/>
      <c r="U167" s="6" t="n"/>
      <c r="V167" s="6" t="n"/>
      <c r="W167" s="6" t="n"/>
      <c r="X167" s="6" t="n"/>
      <c r="Y167" s="6" t="n"/>
      <c r="Z167" s="6" t="n"/>
    </row>
    <row r="168" ht="16.5" customHeight="1" s="237">
      <c r="A168" s="6" t="n"/>
      <c r="B168" s="6" t="n"/>
      <c r="C168" s="6" t="n"/>
      <c r="D168" s="6" t="n"/>
      <c r="E168" s="6" t="n"/>
      <c r="F168" s="6" t="n"/>
      <c r="G168" s="6" t="n"/>
      <c r="H168" s="6" t="n"/>
      <c r="I168" s="6" t="n"/>
      <c r="J168" s="6" t="n"/>
      <c r="K168" s="6" t="n"/>
      <c r="L168" s="6" t="n"/>
      <c r="M168" s="10" t="n"/>
      <c r="N168" s="6" t="n"/>
      <c r="O168" s="11" t="n"/>
      <c r="P168" s="6" t="n"/>
      <c r="Q168" s="236" t="n"/>
      <c r="R168" s="6" t="n"/>
      <c r="S168" s="6" t="n"/>
      <c r="T168" s="6" t="n"/>
      <c r="U168" s="6" t="n"/>
      <c r="V168" s="6" t="n"/>
      <c r="W168" s="6" t="n"/>
      <c r="X168" s="6" t="n"/>
      <c r="Y168" s="6" t="n"/>
      <c r="Z168" s="6" t="n"/>
    </row>
    <row r="169" ht="16.5" customHeight="1" s="237">
      <c r="A169" s="6" t="n"/>
      <c r="B169" s="6" t="n"/>
      <c r="C169" s="6" t="n"/>
      <c r="D169" s="6" t="n"/>
      <c r="E169" s="6" t="n"/>
      <c r="F169" s="6" t="n"/>
      <c r="G169" s="6" t="n"/>
      <c r="H169" s="6" t="n"/>
      <c r="I169" s="6" t="n"/>
      <c r="J169" s="6" t="n"/>
      <c r="K169" s="6" t="n"/>
      <c r="L169" s="6" t="n"/>
      <c r="M169" s="10" t="n"/>
      <c r="N169" s="6" t="n"/>
      <c r="O169" s="11" t="n"/>
      <c r="P169" s="6" t="n"/>
      <c r="Q169" s="236" t="n"/>
      <c r="R169" s="6" t="n"/>
      <c r="S169" s="6" t="n"/>
      <c r="T169" s="6" t="n"/>
      <c r="U169" s="6" t="n"/>
      <c r="V169" s="6" t="n"/>
      <c r="W169" s="6" t="n"/>
      <c r="X169" s="6" t="n"/>
      <c r="Y169" s="6" t="n"/>
      <c r="Z169" s="6" t="n"/>
    </row>
    <row r="170" ht="16.5" customHeight="1" s="237">
      <c r="A170" s="6" t="n"/>
      <c r="B170" s="6" t="n"/>
      <c r="C170" s="6" t="n"/>
      <c r="D170" s="6" t="n"/>
      <c r="E170" s="6" t="n"/>
      <c r="F170" s="6" t="n"/>
      <c r="G170" s="6" t="n"/>
      <c r="H170" s="6" t="n"/>
      <c r="I170" s="6" t="n"/>
      <c r="J170" s="6" t="n"/>
      <c r="K170" s="6" t="n"/>
      <c r="L170" s="6" t="n"/>
      <c r="M170" s="10" t="n"/>
      <c r="N170" s="6" t="n"/>
      <c r="O170" s="11" t="n"/>
      <c r="P170" s="6" t="n"/>
      <c r="Q170" s="236" t="n"/>
      <c r="R170" s="6" t="n"/>
      <c r="S170" s="6" t="n"/>
      <c r="T170" s="6" t="n"/>
      <c r="U170" s="6" t="n"/>
      <c r="V170" s="6" t="n"/>
      <c r="W170" s="6" t="n"/>
      <c r="X170" s="6" t="n"/>
      <c r="Y170" s="6" t="n"/>
      <c r="Z170" s="6" t="n"/>
    </row>
    <row r="171" ht="16.5" customHeight="1" s="237">
      <c r="A171" s="6" t="n"/>
      <c r="B171" s="6" t="n"/>
      <c r="C171" s="6" t="n"/>
      <c r="D171" s="6" t="n"/>
      <c r="E171" s="6" t="n"/>
      <c r="F171" s="6" t="n"/>
      <c r="G171" s="6" t="n"/>
      <c r="H171" s="6" t="n"/>
      <c r="I171" s="6" t="n"/>
      <c r="J171" s="6" t="n"/>
      <c r="K171" s="6" t="n"/>
      <c r="L171" s="6" t="n"/>
      <c r="M171" s="10" t="n"/>
      <c r="N171" s="6" t="n"/>
      <c r="O171" s="11" t="n"/>
      <c r="P171" s="6" t="n"/>
      <c r="Q171" s="236" t="n"/>
      <c r="R171" s="6" t="n"/>
      <c r="S171" s="6" t="n"/>
      <c r="T171" s="6" t="n"/>
      <c r="U171" s="6" t="n"/>
      <c r="V171" s="6" t="n"/>
      <c r="W171" s="6" t="n"/>
      <c r="X171" s="6" t="n"/>
      <c r="Y171" s="6" t="n"/>
      <c r="Z171" s="6" t="n"/>
    </row>
    <row r="172" ht="16.5" customHeight="1" s="237">
      <c r="A172" s="6" t="n"/>
      <c r="B172" s="6" t="n"/>
      <c r="C172" s="6" t="n"/>
      <c r="D172" s="6" t="n"/>
      <c r="E172" s="6" t="n"/>
      <c r="F172" s="6" t="n"/>
      <c r="G172" s="6" t="n"/>
      <c r="H172" s="6" t="n"/>
      <c r="I172" s="6" t="n"/>
      <c r="J172" s="6" t="n"/>
      <c r="K172" s="6" t="n"/>
      <c r="L172" s="6" t="n"/>
      <c r="M172" s="10" t="n"/>
      <c r="N172" s="6" t="n"/>
      <c r="O172" s="11" t="n"/>
      <c r="P172" s="6" t="n"/>
      <c r="Q172" s="236" t="n"/>
      <c r="R172" s="6" t="n"/>
      <c r="S172" s="6" t="n"/>
      <c r="T172" s="6" t="n"/>
      <c r="U172" s="6" t="n"/>
      <c r="V172" s="6" t="n"/>
      <c r="W172" s="6" t="n"/>
      <c r="X172" s="6" t="n"/>
      <c r="Y172" s="6" t="n"/>
      <c r="Z172" s="6" t="n"/>
    </row>
    <row r="173" ht="16.5" customHeight="1" s="237">
      <c r="A173" s="6" t="n"/>
      <c r="B173" s="6" t="n"/>
      <c r="C173" s="6" t="n"/>
      <c r="D173" s="6" t="n"/>
      <c r="E173" s="6" t="n"/>
      <c r="F173" s="6" t="n"/>
      <c r="G173" s="6" t="n"/>
      <c r="H173" s="6" t="n"/>
      <c r="I173" s="6" t="n"/>
      <c r="J173" s="6" t="n"/>
      <c r="K173" s="6" t="n"/>
      <c r="L173" s="6" t="n"/>
      <c r="M173" s="10" t="n"/>
      <c r="N173" s="6" t="n"/>
      <c r="O173" s="11" t="n"/>
      <c r="P173" s="6" t="n"/>
      <c r="Q173" s="236" t="n"/>
      <c r="R173" s="6" t="n"/>
      <c r="S173" s="6" t="n"/>
      <c r="T173" s="6" t="n"/>
      <c r="U173" s="6" t="n"/>
      <c r="V173" s="6" t="n"/>
      <c r="W173" s="6" t="n"/>
      <c r="X173" s="6" t="n"/>
      <c r="Y173" s="6" t="n"/>
      <c r="Z173" s="6" t="n"/>
    </row>
    <row r="174" ht="16.5" customHeight="1" s="237">
      <c r="A174" s="6" t="n"/>
      <c r="B174" s="6" t="n"/>
      <c r="C174" s="6" t="n"/>
      <c r="D174" s="6" t="n"/>
      <c r="E174" s="6" t="n"/>
      <c r="F174" s="6" t="n"/>
      <c r="G174" s="6" t="n"/>
      <c r="H174" s="6" t="n"/>
      <c r="I174" s="6" t="n"/>
      <c r="J174" s="6" t="n"/>
      <c r="K174" s="6" t="n"/>
      <c r="L174" s="6" t="n"/>
      <c r="M174" s="10" t="n"/>
      <c r="N174" s="6" t="n"/>
      <c r="O174" s="11" t="n"/>
      <c r="P174" s="6" t="n"/>
      <c r="Q174" s="236" t="n"/>
      <c r="R174" s="6" t="n"/>
      <c r="S174" s="6" t="n"/>
      <c r="T174" s="6" t="n"/>
      <c r="U174" s="6" t="n"/>
      <c r="V174" s="6" t="n"/>
      <c r="W174" s="6" t="n"/>
      <c r="X174" s="6" t="n"/>
      <c r="Y174" s="6" t="n"/>
      <c r="Z174" s="6" t="n"/>
    </row>
    <row r="175" ht="16.5" customHeight="1" s="237">
      <c r="A175" s="6" t="n"/>
      <c r="B175" s="6" t="n"/>
      <c r="C175" s="6" t="n"/>
      <c r="D175" s="6" t="n"/>
      <c r="E175" s="6" t="n"/>
      <c r="F175" s="6" t="n"/>
      <c r="G175" s="6" t="n"/>
      <c r="H175" s="6" t="n"/>
      <c r="I175" s="6" t="n"/>
      <c r="J175" s="6" t="n"/>
      <c r="K175" s="6" t="n"/>
      <c r="L175" s="6" t="n"/>
      <c r="M175" s="10" t="n"/>
      <c r="N175" s="6" t="n"/>
      <c r="O175" s="11" t="n"/>
      <c r="P175" s="6" t="n"/>
      <c r="Q175" s="236" t="n"/>
      <c r="R175" s="6" t="n"/>
      <c r="S175" s="6" t="n"/>
      <c r="T175" s="6" t="n"/>
      <c r="U175" s="6" t="n"/>
      <c r="V175" s="6" t="n"/>
      <c r="W175" s="6" t="n"/>
      <c r="X175" s="6" t="n"/>
      <c r="Y175" s="6" t="n"/>
      <c r="Z175" s="6" t="n"/>
    </row>
    <row r="176" ht="16.5" customHeight="1" s="237">
      <c r="A176" s="6" t="n"/>
      <c r="B176" s="6" t="n"/>
      <c r="C176" s="6" t="n"/>
      <c r="D176" s="6" t="n"/>
      <c r="E176" s="6" t="n"/>
      <c r="F176" s="6" t="n"/>
      <c r="G176" s="6" t="n"/>
      <c r="H176" s="6" t="n"/>
      <c r="I176" s="6" t="n"/>
      <c r="J176" s="6" t="n"/>
      <c r="K176" s="6" t="n"/>
      <c r="L176" s="6" t="n"/>
      <c r="M176" s="10" t="n"/>
      <c r="N176" s="6" t="n"/>
      <c r="O176" s="11" t="n"/>
      <c r="P176" s="6" t="n"/>
      <c r="Q176" s="236" t="n"/>
      <c r="R176" s="6" t="n"/>
      <c r="S176" s="6" t="n"/>
      <c r="T176" s="6" t="n"/>
      <c r="U176" s="6" t="n"/>
      <c r="V176" s="6" t="n"/>
      <c r="W176" s="6" t="n"/>
      <c r="X176" s="6" t="n"/>
      <c r="Y176" s="6" t="n"/>
      <c r="Z176" s="6" t="n"/>
    </row>
    <row r="177" ht="16.5" customHeight="1" s="237">
      <c r="A177" s="6" t="n"/>
      <c r="B177" s="6" t="n"/>
      <c r="C177" s="6" t="n"/>
      <c r="D177" s="6" t="n"/>
      <c r="E177" s="6" t="n"/>
      <c r="F177" s="6" t="n"/>
      <c r="G177" s="6" t="n"/>
      <c r="H177" s="6" t="n"/>
      <c r="I177" s="6" t="n"/>
      <c r="J177" s="6" t="n"/>
      <c r="K177" s="6" t="n"/>
      <c r="L177" s="6" t="n"/>
      <c r="M177" s="10" t="n"/>
      <c r="N177" s="6" t="n"/>
      <c r="O177" s="11" t="n"/>
      <c r="P177" s="6" t="n"/>
      <c r="Q177" s="236" t="n"/>
      <c r="R177" s="6" t="n"/>
      <c r="S177" s="6" t="n"/>
      <c r="T177" s="6" t="n"/>
      <c r="U177" s="6" t="n"/>
      <c r="V177" s="6" t="n"/>
      <c r="W177" s="6" t="n"/>
      <c r="X177" s="6" t="n"/>
      <c r="Y177" s="6" t="n"/>
      <c r="Z177" s="6" t="n"/>
    </row>
    <row r="178" ht="16.5" customHeight="1" s="237">
      <c r="A178" s="6" t="n"/>
      <c r="B178" s="6" t="n"/>
      <c r="C178" s="6" t="n"/>
      <c r="D178" s="6" t="n"/>
      <c r="E178" s="6" t="n"/>
      <c r="F178" s="6" t="n"/>
      <c r="G178" s="6" t="n"/>
      <c r="H178" s="6" t="n"/>
      <c r="I178" s="6" t="n"/>
      <c r="J178" s="6" t="n"/>
      <c r="K178" s="6" t="n"/>
      <c r="L178" s="6" t="n"/>
      <c r="M178" s="10" t="n"/>
      <c r="N178" s="6" t="n"/>
      <c r="O178" s="11" t="n"/>
      <c r="P178" s="6" t="n"/>
      <c r="Q178" s="236" t="n"/>
      <c r="R178" s="6" t="n"/>
      <c r="S178" s="6" t="n"/>
      <c r="T178" s="6" t="n"/>
      <c r="U178" s="6" t="n"/>
      <c r="V178" s="6" t="n"/>
      <c r="W178" s="6" t="n"/>
      <c r="X178" s="6" t="n"/>
      <c r="Y178" s="6" t="n"/>
      <c r="Z178" s="6" t="n"/>
    </row>
    <row r="179" ht="16.5" customHeight="1" s="237">
      <c r="A179" s="6" t="n"/>
      <c r="B179" s="6" t="n"/>
      <c r="C179" s="6" t="n"/>
      <c r="D179" s="6" t="n"/>
      <c r="E179" s="6" t="n"/>
      <c r="F179" s="6" t="n"/>
      <c r="G179" s="6" t="n"/>
      <c r="H179" s="6" t="n"/>
      <c r="I179" s="6" t="n"/>
      <c r="J179" s="6" t="n"/>
      <c r="K179" s="6" t="n"/>
      <c r="L179" s="6" t="n"/>
      <c r="M179" s="10" t="n"/>
      <c r="N179" s="6" t="n"/>
      <c r="O179" s="11" t="n"/>
      <c r="P179" s="6" t="n"/>
      <c r="Q179" s="236" t="n"/>
      <c r="R179" s="6" t="n"/>
      <c r="S179" s="6" t="n"/>
      <c r="T179" s="6" t="n"/>
      <c r="U179" s="6" t="n"/>
      <c r="V179" s="6" t="n"/>
      <c r="W179" s="6" t="n"/>
      <c r="X179" s="6" t="n"/>
      <c r="Y179" s="6" t="n"/>
      <c r="Z179" s="6" t="n"/>
    </row>
    <row r="180" ht="16.5" customHeight="1" s="237">
      <c r="A180" s="6" t="n"/>
      <c r="B180" s="6" t="n"/>
      <c r="C180" s="6" t="n"/>
      <c r="D180" s="6" t="n"/>
      <c r="E180" s="6" t="n"/>
      <c r="F180" s="6" t="n"/>
      <c r="G180" s="6" t="n"/>
      <c r="H180" s="6" t="n"/>
      <c r="I180" s="6" t="n"/>
      <c r="J180" s="6" t="n"/>
      <c r="K180" s="6" t="n"/>
      <c r="L180" s="6" t="n"/>
      <c r="M180" s="10" t="n"/>
      <c r="N180" s="6" t="n"/>
      <c r="O180" s="11" t="n"/>
      <c r="P180" s="6" t="n"/>
      <c r="Q180" s="236" t="n"/>
      <c r="R180" s="6" t="n"/>
      <c r="S180" s="6" t="n"/>
      <c r="T180" s="6" t="n"/>
      <c r="U180" s="6" t="n"/>
      <c r="V180" s="6" t="n"/>
      <c r="W180" s="6" t="n"/>
      <c r="X180" s="6" t="n"/>
      <c r="Y180" s="6" t="n"/>
      <c r="Z180" s="6" t="n"/>
    </row>
    <row r="181" ht="16.5" customHeight="1" s="237">
      <c r="A181" s="6" t="n"/>
      <c r="B181" s="6" t="n"/>
      <c r="C181" s="6" t="n"/>
      <c r="D181" s="6" t="n"/>
      <c r="E181" s="6" t="n"/>
      <c r="F181" s="6" t="n"/>
      <c r="G181" s="6" t="n"/>
      <c r="H181" s="6" t="n"/>
      <c r="I181" s="6" t="n"/>
      <c r="J181" s="6" t="n"/>
      <c r="K181" s="6" t="n"/>
      <c r="L181" s="6" t="n"/>
      <c r="M181" s="10" t="n"/>
      <c r="N181" s="6" t="n"/>
      <c r="O181" s="11" t="n"/>
      <c r="P181" s="6" t="n"/>
      <c r="Q181" s="236" t="n"/>
      <c r="R181" s="6" t="n"/>
      <c r="S181" s="6" t="n"/>
      <c r="T181" s="6" t="n"/>
      <c r="U181" s="6" t="n"/>
      <c r="V181" s="6" t="n"/>
      <c r="W181" s="6" t="n"/>
      <c r="X181" s="6" t="n"/>
      <c r="Y181" s="6" t="n"/>
      <c r="Z181" s="6" t="n"/>
    </row>
    <row r="182" ht="16.5" customHeight="1" s="237">
      <c r="A182" s="6" t="n"/>
      <c r="B182" s="6" t="n"/>
      <c r="C182" s="6" t="n"/>
      <c r="D182" s="6" t="n"/>
      <c r="E182" s="6" t="n"/>
      <c r="F182" s="6" t="n"/>
      <c r="G182" s="6" t="n"/>
      <c r="H182" s="6" t="n"/>
      <c r="I182" s="6" t="n"/>
      <c r="J182" s="6" t="n"/>
      <c r="K182" s="6" t="n"/>
      <c r="L182" s="6" t="n"/>
      <c r="M182" s="10" t="n"/>
      <c r="N182" s="6" t="n"/>
      <c r="O182" s="11" t="n"/>
      <c r="P182" s="6" t="n"/>
      <c r="Q182" s="236" t="n"/>
      <c r="R182" s="6" t="n"/>
      <c r="S182" s="6" t="n"/>
      <c r="T182" s="6" t="n"/>
      <c r="U182" s="6" t="n"/>
      <c r="V182" s="6" t="n"/>
      <c r="W182" s="6" t="n"/>
      <c r="X182" s="6" t="n"/>
      <c r="Y182" s="6" t="n"/>
      <c r="Z182" s="6" t="n"/>
    </row>
    <row r="183" ht="16.5" customHeight="1" s="237">
      <c r="A183" s="6" t="n"/>
      <c r="B183" s="6" t="n"/>
      <c r="C183" s="6" t="n"/>
      <c r="D183" s="6" t="n"/>
      <c r="E183" s="6" t="n"/>
      <c r="F183" s="6" t="n"/>
      <c r="G183" s="6" t="n"/>
      <c r="H183" s="6" t="n"/>
      <c r="I183" s="6" t="n"/>
      <c r="J183" s="6" t="n"/>
      <c r="K183" s="6" t="n"/>
      <c r="L183" s="6" t="n"/>
      <c r="M183" s="10" t="n"/>
      <c r="N183" s="6" t="n"/>
      <c r="O183" s="11" t="n"/>
      <c r="P183" s="6" t="n"/>
      <c r="Q183" s="236" t="n"/>
      <c r="R183" s="6" t="n"/>
      <c r="S183" s="6" t="n"/>
      <c r="T183" s="6" t="n"/>
      <c r="U183" s="6" t="n"/>
      <c r="V183" s="6" t="n"/>
      <c r="W183" s="6" t="n"/>
      <c r="X183" s="6" t="n"/>
      <c r="Y183" s="6" t="n"/>
      <c r="Z183" s="6" t="n"/>
    </row>
    <row r="184" ht="16.5" customHeight="1" s="237">
      <c r="A184" s="6" t="n"/>
      <c r="B184" s="6" t="n"/>
      <c r="C184" s="6" t="n"/>
      <c r="D184" s="6" t="n"/>
      <c r="E184" s="6" t="n"/>
      <c r="F184" s="6" t="n"/>
      <c r="G184" s="6" t="n"/>
      <c r="H184" s="6" t="n"/>
      <c r="I184" s="6" t="n"/>
      <c r="J184" s="6" t="n"/>
      <c r="K184" s="6" t="n"/>
      <c r="L184" s="6" t="n"/>
      <c r="M184" s="10" t="n"/>
      <c r="N184" s="6" t="n"/>
      <c r="O184" s="11" t="n"/>
      <c r="P184" s="6" t="n"/>
      <c r="Q184" s="236" t="n"/>
      <c r="R184" s="6" t="n"/>
      <c r="S184" s="6" t="n"/>
      <c r="T184" s="6" t="n"/>
      <c r="U184" s="6" t="n"/>
      <c r="V184" s="6" t="n"/>
      <c r="W184" s="6" t="n"/>
      <c r="X184" s="6" t="n"/>
      <c r="Y184" s="6" t="n"/>
      <c r="Z184" s="6" t="n"/>
    </row>
    <row r="185" ht="16.5" customHeight="1" s="237">
      <c r="A185" s="6" t="n"/>
      <c r="B185" s="6" t="n"/>
      <c r="C185" s="6" t="n"/>
      <c r="D185" s="6" t="n"/>
      <c r="E185" s="6" t="n"/>
      <c r="F185" s="6" t="n"/>
      <c r="G185" s="6" t="n"/>
      <c r="H185" s="6" t="n"/>
      <c r="I185" s="6" t="n"/>
      <c r="J185" s="6" t="n"/>
      <c r="K185" s="6" t="n"/>
      <c r="L185" s="6" t="n"/>
      <c r="M185" s="10" t="n"/>
      <c r="N185" s="6" t="n"/>
      <c r="O185" s="11" t="n"/>
      <c r="P185" s="6" t="n"/>
      <c r="Q185" s="236" t="n"/>
      <c r="R185" s="6" t="n"/>
      <c r="S185" s="6" t="n"/>
      <c r="T185" s="6" t="n"/>
      <c r="U185" s="6" t="n"/>
      <c r="V185" s="6" t="n"/>
      <c r="W185" s="6" t="n"/>
      <c r="X185" s="6" t="n"/>
      <c r="Y185" s="6" t="n"/>
      <c r="Z185" s="6" t="n"/>
    </row>
    <row r="186" ht="16.5" customHeight="1" s="237">
      <c r="A186" s="6" t="n"/>
      <c r="B186" s="6" t="n"/>
      <c r="C186" s="6" t="n"/>
      <c r="D186" s="6" t="n"/>
      <c r="E186" s="6" t="n"/>
      <c r="F186" s="6" t="n"/>
      <c r="G186" s="6" t="n"/>
      <c r="H186" s="6" t="n"/>
      <c r="I186" s="6" t="n"/>
      <c r="J186" s="6" t="n"/>
      <c r="K186" s="6" t="n"/>
      <c r="L186" s="6" t="n"/>
      <c r="M186" s="10" t="n"/>
      <c r="N186" s="6" t="n"/>
      <c r="O186" s="11" t="n"/>
      <c r="P186" s="6" t="n"/>
      <c r="Q186" s="236" t="n"/>
      <c r="R186" s="6" t="n"/>
      <c r="S186" s="6" t="n"/>
      <c r="T186" s="6" t="n"/>
      <c r="U186" s="6" t="n"/>
      <c r="V186" s="6" t="n"/>
      <c r="W186" s="6" t="n"/>
      <c r="X186" s="6" t="n"/>
      <c r="Y186" s="6" t="n"/>
      <c r="Z186" s="6" t="n"/>
    </row>
    <row r="187" ht="16.5" customHeight="1" s="237">
      <c r="A187" s="6" t="n"/>
      <c r="B187" s="6" t="n"/>
      <c r="C187" s="6" t="n"/>
      <c r="D187" s="6" t="n"/>
      <c r="E187" s="6" t="n"/>
      <c r="F187" s="6" t="n"/>
      <c r="G187" s="6" t="n"/>
      <c r="H187" s="6" t="n"/>
      <c r="I187" s="6" t="n"/>
      <c r="J187" s="6" t="n"/>
      <c r="K187" s="6" t="n"/>
      <c r="L187" s="6" t="n"/>
      <c r="M187" s="10" t="n"/>
      <c r="N187" s="6" t="n"/>
      <c r="O187" s="11" t="n"/>
      <c r="P187" s="6" t="n"/>
      <c r="Q187" s="236" t="n"/>
      <c r="R187" s="6" t="n"/>
      <c r="S187" s="6" t="n"/>
      <c r="T187" s="6" t="n"/>
      <c r="U187" s="6" t="n"/>
      <c r="V187" s="6" t="n"/>
      <c r="W187" s="6" t="n"/>
      <c r="X187" s="6" t="n"/>
      <c r="Y187" s="6" t="n"/>
      <c r="Z187" s="6" t="n"/>
    </row>
    <row r="188" ht="16.5" customHeight="1" s="237">
      <c r="A188" s="6" t="n"/>
      <c r="B188" s="6" t="n"/>
      <c r="C188" s="6" t="n"/>
      <c r="D188" s="6" t="n"/>
      <c r="E188" s="6" t="n"/>
      <c r="F188" s="6" t="n"/>
      <c r="G188" s="6" t="n"/>
      <c r="H188" s="6" t="n"/>
      <c r="I188" s="6" t="n"/>
      <c r="J188" s="6" t="n"/>
      <c r="K188" s="6" t="n"/>
      <c r="L188" s="6" t="n"/>
      <c r="M188" s="10" t="n"/>
      <c r="N188" s="6" t="n"/>
      <c r="O188" s="11" t="n"/>
      <c r="P188" s="6" t="n"/>
      <c r="Q188" s="236" t="n"/>
      <c r="R188" s="6" t="n"/>
      <c r="S188" s="6" t="n"/>
      <c r="T188" s="6" t="n"/>
      <c r="U188" s="6" t="n"/>
      <c r="V188" s="6" t="n"/>
      <c r="W188" s="6" t="n"/>
      <c r="X188" s="6" t="n"/>
      <c r="Y188" s="6" t="n"/>
      <c r="Z188" s="6" t="n"/>
    </row>
    <row r="189" ht="16.5" customHeight="1" s="237">
      <c r="A189" s="6" t="n"/>
      <c r="B189" s="6" t="n"/>
      <c r="C189" s="6" t="n"/>
      <c r="D189" s="6" t="n"/>
      <c r="E189" s="6" t="n"/>
      <c r="F189" s="6" t="n"/>
      <c r="G189" s="6" t="n"/>
      <c r="H189" s="6" t="n"/>
      <c r="I189" s="6" t="n"/>
      <c r="J189" s="6" t="n"/>
      <c r="K189" s="6" t="n"/>
      <c r="L189" s="6" t="n"/>
      <c r="M189" s="10" t="n"/>
      <c r="N189" s="6" t="n"/>
      <c r="O189" s="11" t="n"/>
      <c r="P189" s="6" t="n"/>
      <c r="Q189" s="236" t="n"/>
      <c r="R189" s="6" t="n"/>
      <c r="S189" s="6" t="n"/>
      <c r="T189" s="6" t="n"/>
      <c r="U189" s="6" t="n"/>
      <c r="V189" s="6" t="n"/>
      <c r="W189" s="6" t="n"/>
      <c r="X189" s="6" t="n"/>
      <c r="Y189" s="6" t="n"/>
      <c r="Z189" s="6" t="n"/>
    </row>
    <row r="190" ht="16.5" customHeight="1" s="237">
      <c r="A190" s="6" t="n"/>
      <c r="B190" s="6" t="n"/>
      <c r="C190" s="6" t="n"/>
      <c r="D190" s="6" t="n"/>
      <c r="E190" s="6" t="n"/>
      <c r="F190" s="6" t="n"/>
      <c r="G190" s="6" t="n"/>
      <c r="H190" s="6" t="n"/>
      <c r="I190" s="6" t="n"/>
      <c r="J190" s="6" t="n"/>
      <c r="K190" s="6" t="n"/>
      <c r="L190" s="6" t="n"/>
      <c r="M190" s="10" t="n"/>
      <c r="N190" s="6" t="n"/>
      <c r="O190" s="11" t="n"/>
      <c r="P190" s="6" t="n"/>
      <c r="Q190" s="236" t="n"/>
      <c r="R190" s="6" t="n"/>
      <c r="S190" s="6" t="n"/>
      <c r="T190" s="6" t="n"/>
      <c r="U190" s="6" t="n"/>
      <c r="V190" s="6" t="n"/>
      <c r="W190" s="6" t="n"/>
      <c r="X190" s="6" t="n"/>
      <c r="Y190" s="6" t="n"/>
      <c r="Z190" s="6" t="n"/>
    </row>
    <row r="191" ht="16.5" customHeight="1" s="237">
      <c r="A191" s="6" t="n"/>
      <c r="B191" s="6" t="n"/>
      <c r="C191" s="6" t="n"/>
      <c r="D191" s="6" t="n"/>
      <c r="E191" s="6" t="n"/>
      <c r="F191" s="6" t="n"/>
      <c r="G191" s="6" t="n"/>
      <c r="H191" s="6" t="n"/>
      <c r="I191" s="6" t="n"/>
      <c r="J191" s="6" t="n"/>
      <c r="K191" s="6" t="n"/>
      <c r="L191" s="6" t="n"/>
      <c r="M191" s="10" t="n"/>
      <c r="N191" s="6" t="n"/>
      <c r="O191" s="11" t="n"/>
      <c r="P191" s="6" t="n"/>
      <c r="Q191" s="236" t="n"/>
      <c r="R191" s="6" t="n"/>
      <c r="S191" s="6" t="n"/>
      <c r="T191" s="6" t="n"/>
      <c r="U191" s="6" t="n"/>
      <c r="V191" s="6" t="n"/>
      <c r="W191" s="6" t="n"/>
      <c r="X191" s="6" t="n"/>
      <c r="Y191" s="6" t="n"/>
      <c r="Z191" s="6" t="n"/>
    </row>
    <row r="192" ht="16.5" customHeight="1" s="237">
      <c r="A192" s="6" t="n"/>
      <c r="B192" s="6" t="n"/>
      <c r="C192" s="6" t="n"/>
      <c r="D192" s="6" t="n"/>
      <c r="E192" s="6" t="n"/>
      <c r="F192" s="6" t="n"/>
      <c r="G192" s="6" t="n"/>
      <c r="H192" s="6" t="n"/>
      <c r="I192" s="6" t="n"/>
      <c r="J192" s="6" t="n"/>
      <c r="K192" s="6" t="n"/>
      <c r="L192" s="6" t="n"/>
      <c r="M192" s="10" t="n"/>
      <c r="N192" s="6" t="n"/>
      <c r="O192" s="11" t="n"/>
      <c r="P192" s="6" t="n"/>
      <c r="Q192" s="236" t="n"/>
      <c r="R192" s="6" t="n"/>
      <c r="S192" s="6" t="n"/>
      <c r="T192" s="6" t="n"/>
      <c r="U192" s="6" t="n"/>
      <c r="V192" s="6" t="n"/>
      <c r="W192" s="6" t="n"/>
      <c r="X192" s="6" t="n"/>
      <c r="Y192" s="6" t="n"/>
      <c r="Z192" s="6" t="n"/>
    </row>
    <row r="193" ht="16.5" customHeight="1" s="237">
      <c r="A193" s="6" t="n"/>
      <c r="B193" s="6" t="n"/>
      <c r="C193" s="6" t="n"/>
      <c r="D193" s="6" t="n"/>
      <c r="E193" s="6" t="n"/>
      <c r="F193" s="6" t="n"/>
      <c r="G193" s="6" t="n"/>
      <c r="H193" s="6" t="n"/>
      <c r="I193" s="6" t="n"/>
      <c r="J193" s="6" t="n"/>
      <c r="K193" s="6" t="n"/>
      <c r="L193" s="6" t="n"/>
      <c r="M193" s="10" t="n"/>
      <c r="N193" s="6" t="n"/>
      <c r="O193" s="11" t="n"/>
      <c r="P193" s="6" t="n"/>
      <c r="Q193" s="236" t="n"/>
      <c r="R193" s="6" t="n"/>
      <c r="S193" s="6" t="n"/>
      <c r="T193" s="6" t="n"/>
      <c r="U193" s="6" t="n"/>
      <c r="V193" s="6" t="n"/>
      <c r="W193" s="6" t="n"/>
      <c r="X193" s="6" t="n"/>
      <c r="Y193" s="6" t="n"/>
      <c r="Z193" s="6" t="n"/>
    </row>
    <row r="194" ht="16.5" customHeight="1" s="237">
      <c r="A194" s="6" t="n"/>
      <c r="B194" s="6" t="n"/>
      <c r="C194" s="6" t="n"/>
      <c r="D194" s="6" t="n"/>
      <c r="E194" s="6" t="n"/>
      <c r="F194" s="6" t="n"/>
      <c r="G194" s="6" t="n"/>
      <c r="H194" s="6" t="n"/>
      <c r="I194" s="6" t="n"/>
      <c r="J194" s="6" t="n"/>
      <c r="K194" s="6" t="n"/>
      <c r="L194" s="6" t="n"/>
      <c r="M194" s="10" t="n"/>
      <c r="N194" s="6" t="n"/>
      <c r="O194" s="11" t="n"/>
      <c r="P194" s="6" t="n"/>
      <c r="Q194" s="236" t="n"/>
      <c r="R194" s="6" t="n"/>
      <c r="S194" s="6" t="n"/>
      <c r="T194" s="6" t="n"/>
      <c r="U194" s="6" t="n"/>
      <c r="V194" s="6" t="n"/>
      <c r="W194" s="6" t="n"/>
      <c r="X194" s="6" t="n"/>
      <c r="Y194" s="6" t="n"/>
      <c r="Z194" s="6" t="n"/>
    </row>
    <row r="195" ht="16.5" customHeight="1" s="237">
      <c r="A195" s="6" t="n"/>
      <c r="B195" s="6" t="n"/>
      <c r="C195" s="6" t="n"/>
      <c r="D195" s="6" t="n"/>
      <c r="E195" s="6" t="n"/>
      <c r="F195" s="6" t="n"/>
      <c r="G195" s="6" t="n"/>
      <c r="H195" s="6" t="n"/>
      <c r="I195" s="6" t="n"/>
      <c r="J195" s="6" t="n"/>
      <c r="K195" s="6" t="n"/>
      <c r="L195" s="6" t="n"/>
      <c r="M195" s="10" t="n"/>
      <c r="N195" s="6" t="n"/>
      <c r="O195" s="11" t="n"/>
      <c r="P195" s="6" t="n"/>
      <c r="Q195" s="236" t="n"/>
      <c r="R195" s="6" t="n"/>
      <c r="S195" s="6" t="n"/>
      <c r="T195" s="6" t="n"/>
      <c r="U195" s="6" t="n"/>
      <c r="V195" s="6" t="n"/>
      <c r="W195" s="6" t="n"/>
      <c r="X195" s="6" t="n"/>
      <c r="Y195" s="6" t="n"/>
      <c r="Z195" s="6" t="n"/>
    </row>
    <row r="196" ht="16.5" customHeight="1" s="237">
      <c r="A196" s="6" t="n"/>
      <c r="B196" s="6" t="n"/>
      <c r="C196" s="6" t="n"/>
      <c r="D196" s="6" t="n"/>
      <c r="E196" s="6" t="n"/>
      <c r="F196" s="6" t="n"/>
      <c r="G196" s="6" t="n"/>
      <c r="H196" s="6" t="n"/>
      <c r="I196" s="6" t="n"/>
      <c r="J196" s="6" t="n"/>
      <c r="K196" s="6" t="n"/>
      <c r="L196" s="6" t="n"/>
      <c r="M196" s="10" t="n"/>
      <c r="N196" s="6" t="n"/>
      <c r="O196" s="11" t="n"/>
      <c r="P196" s="6" t="n"/>
      <c r="Q196" s="236" t="n"/>
      <c r="R196" s="6" t="n"/>
      <c r="S196" s="6" t="n"/>
      <c r="T196" s="6" t="n"/>
      <c r="U196" s="6" t="n"/>
      <c r="V196" s="6" t="n"/>
      <c r="W196" s="6" t="n"/>
      <c r="X196" s="6" t="n"/>
      <c r="Y196" s="6" t="n"/>
      <c r="Z196" s="6" t="n"/>
    </row>
    <row r="197" ht="16.5" customHeight="1" s="237">
      <c r="A197" s="6" t="n"/>
      <c r="B197" s="6" t="n"/>
      <c r="C197" s="6" t="n"/>
      <c r="D197" s="6" t="n"/>
      <c r="E197" s="6" t="n"/>
      <c r="F197" s="6" t="n"/>
      <c r="G197" s="6" t="n"/>
      <c r="H197" s="6" t="n"/>
      <c r="I197" s="6" t="n"/>
      <c r="J197" s="6" t="n"/>
      <c r="K197" s="6" t="n"/>
      <c r="L197" s="6" t="n"/>
      <c r="M197" s="10" t="n"/>
      <c r="N197" s="6" t="n"/>
      <c r="O197" s="11" t="n"/>
      <c r="P197" s="6" t="n"/>
      <c r="Q197" s="236" t="n"/>
      <c r="R197" s="6" t="n"/>
      <c r="S197" s="6" t="n"/>
      <c r="T197" s="6" t="n"/>
      <c r="U197" s="6" t="n"/>
      <c r="V197" s="6" t="n"/>
      <c r="W197" s="6" t="n"/>
      <c r="X197" s="6" t="n"/>
      <c r="Y197" s="6" t="n"/>
      <c r="Z197" s="6" t="n"/>
    </row>
    <row r="198" ht="16.5" customHeight="1" s="237">
      <c r="A198" s="6" t="n"/>
      <c r="B198" s="6" t="n"/>
      <c r="C198" s="6" t="n"/>
      <c r="D198" s="6" t="n"/>
      <c r="E198" s="6" t="n"/>
      <c r="F198" s="6" t="n"/>
      <c r="G198" s="6" t="n"/>
      <c r="H198" s="6" t="n"/>
      <c r="I198" s="6" t="n"/>
      <c r="J198" s="6" t="n"/>
      <c r="K198" s="6" t="n"/>
      <c r="L198" s="6" t="n"/>
      <c r="M198" s="10" t="n"/>
      <c r="N198" s="6" t="n"/>
      <c r="O198" s="11" t="n"/>
      <c r="P198" s="6" t="n"/>
      <c r="Q198" s="236" t="n"/>
      <c r="R198" s="6" t="n"/>
      <c r="S198" s="6" t="n"/>
      <c r="T198" s="6" t="n"/>
      <c r="U198" s="6" t="n"/>
      <c r="V198" s="6" t="n"/>
      <c r="W198" s="6" t="n"/>
      <c r="X198" s="6" t="n"/>
      <c r="Y198" s="6" t="n"/>
      <c r="Z198" s="6" t="n"/>
    </row>
    <row r="199" ht="16.5" customHeight="1" s="237">
      <c r="A199" s="6" t="n"/>
      <c r="B199" s="6" t="n"/>
      <c r="C199" s="6" t="n"/>
      <c r="D199" s="6" t="n"/>
      <c r="E199" s="6" t="n"/>
      <c r="F199" s="6" t="n"/>
      <c r="G199" s="6" t="n"/>
      <c r="H199" s="6" t="n"/>
      <c r="I199" s="6" t="n"/>
      <c r="J199" s="6" t="n"/>
      <c r="K199" s="6" t="n"/>
      <c r="L199" s="6" t="n"/>
      <c r="M199" s="10" t="n"/>
      <c r="N199" s="6" t="n"/>
      <c r="O199" s="11" t="n"/>
      <c r="P199" s="6" t="n"/>
      <c r="Q199" s="236" t="n"/>
      <c r="R199" s="6" t="n"/>
      <c r="S199" s="6" t="n"/>
      <c r="T199" s="6" t="n"/>
      <c r="U199" s="6" t="n"/>
      <c r="V199" s="6" t="n"/>
      <c r="W199" s="6" t="n"/>
      <c r="X199" s="6" t="n"/>
      <c r="Y199" s="6" t="n"/>
      <c r="Z199" s="6" t="n"/>
    </row>
    <row r="200" ht="16.5" customHeight="1" s="237">
      <c r="A200" s="6" t="n"/>
      <c r="B200" s="6" t="n"/>
      <c r="C200" s="6" t="n"/>
      <c r="D200" s="6" t="n"/>
      <c r="E200" s="6" t="n"/>
      <c r="F200" s="6" t="n"/>
      <c r="G200" s="6" t="n"/>
      <c r="H200" s="6" t="n"/>
      <c r="I200" s="6" t="n"/>
      <c r="J200" s="6" t="n"/>
      <c r="K200" s="6" t="n"/>
      <c r="L200" s="6" t="n"/>
      <c r="M200" s="10" t="n"/>
      <c r="N200" s="6" t="n"/>
      <c r="O200" s="11" t="n"/>
      <c r="P200" s="6" t="n"/>
      <c r="Q200" s="236" t="n"/>
      <c r="R200" s="6" t="n"/>
      <c r="S200" s="6" t="n"/>
      <c r="T200" s="6" t="n"/>
      <c r="U200" s="6" t="n"/>
      <c r="V200" s="6" t="n"/>
      <c r="W200" s="6" t="n"/>
      <c r="X200" s="6" t="n"/>
      <c r="Y200" s="6" t="n"/>
      <c r="Z200" s="6" t="n"/>
    </row>
    <row r="201" ht="16.5" customHeight="1" s="237">
      <c r="A201" s="6" t="n"/>
      <c r="B201" s="6" t="n"/>
      <c r="C201" s="6" t="n"/>
      <c r="D201" s="6" t="n"/>
      <c r="E201" s="6" t="n"/>
      <c r="F201" s="6" t="n"/>
      <c r="G201" s="6" t="n"/>
      <c r="H201" s="6" t="n"/>
      <c r="I201" s="6" t="n"/>
      <c r="J201" s="6" t="n"/>
      <c r="K201" s="6" t="n"/>
      <c r="L201" s="6" t="n"/>
      <c r="M201" s="10" t="n"/>
      <c r="N201" s="6" t="n"/>
      <c r="O201" s="11" t="n"/>
      <c r="P201" s="6" t="n"/>
      <c r="Q201" s="236" t="n"/>
      <c r="R201" s="6" t="n"/>
      <c r="S201" s="6" t="n"/>
      <c r="T201" s="6" t="n"/>
      <c r="U201" s="6" t="n"/>
      <c r="V201" s="6" t="n"/>
      <c r="W201" s="6" t="n"/>
      <c r="X201" s="6" t="n"/>
      <c r="Y201" s="6" t="n"/>
      <c r="Z201" s="6" t="n"/>
    </row>
    <row r="202" ht="16.5" customHeight="1" s="237">
      <c r="A202" s="6" t="n"/>
      <c r="B202" s="6" t="n"/>
      <c r="C202" s="6" t="n"/>
      <c r="D202" s="6" t="n"/>
      <c r="E202" s="6" t="n"/>
      <c r="F202" s="6" t="n"/>
      <c r="G202" s="6" t="n"/>
      <c r="H202" s="6" t="n"/>
      <c r="I202" s="6" t="n"/>
      <c r="J202" s="6" t="n"/>
      <c r="K202" s="6" t="n"/>
      <c r="L202" s="6" t="n"/>
      <c r="M202" s="10" t="n"/>
      <c r="N202" s="6" t="n"/>
      <c r="O202" s="11" t="n"/>
      <c r="P202" s="6" t="n"/>
      <c r="Q202" s="236" t="n"/>
      <c r="R202" s="6" t="n"/>
      <c r="S202" s="6" t="n"/>
      <c r="T202" s="6" t="n"/>
      <c r="U202" s="6" t="n"/>
      <c r="V202" s="6" t="n"/>
      <c r="W202" s="6" t="n"/>
      <c r="X202" s="6" t="n"/>
      <c r="Y202" s="6" t="n"/>
      <c r="Z202" s="6" t="n"/>
    </row>
    <row r="203" ht="16.5" customHeight="1" s="237">
      <c r="A203" s="6" t="n"/>
      <c r="B203" s="6" t="n"/>
      <c r="C203" s="6" t="n"/>
      <c r="D203" s="6" t="n"/>
      <c r="E203" s="6" t="n"/>
      <c r="F203" s="6" t="n"/>
      <c r="G203" s="6" t="n"/>
      <c r="H203" s="6" t="n"/>
      <c r="I203" s="6" t="n"/>
      <c r="J203" s="6" t="n"/>
      <c r="K203" s="6" t="n"/>
      <c r="L203" s="6" t="n"/>
      <c r="M203" s="10" t="n"/>
      <c r="N203" s="6" t="n"/>
      <c r="O203" s="11" t="n"/>
      <c r="P203" s="6" t="n"/>
      <c r="Q203" s="236" t="n"/>
      <c r="R203" s="6" t="n"/>
      <c r="S203" s="6" t="n"/>
      <c r="T203" s="6" t="n"/>
      <c r="U203" s="6" t="n"/>
      <c r="V203" s="6" t="n"/>
      <c r="W203" s="6" t="n"/>
      <c r="X203" s="6" t="n"/>
      <c r="Y203" s="6" t="n"/>
      <c r="Z203" s="6" t="n"/>
    </row>
    <row r="204" ht="16.5" customHeight="1" s="237">
      <c r="A204" s="6" t="n"/>
      <c r="B204" s="6" t="n"/>
      <c r="C204" s="6" t="n"/>
      <c r="D204" s="6" t="n"/>
      <c r="E204" s="6" t="n"/>
      <c r="F204" s="6" t="n"/>
      <c r="G204" s="6" t="n"/>
      <c r="H204" s="6" t="n"/>
      <c r="I204" s="6" t="n"/>
      <c r="J204" s="6" t="n"/>
      <c r="K204" s="6" t="n"/>
      <c r="L204" s="6" t="n"/>
      <c r="M204" s="10" t="n"/>
      <c r="N204" s="6" t="n"/>
      <c r="O204" s="11" t="n"/>
      <c r="P204" s="6" t="n"/>
      <c r="Q204" s="236" t="n"/>
      <c r="R204" s="6" t="n"/>
      <c r="S204" s="6" t="n"/>
      <c r="T204" s="6" t="n"/>
      <c r="U204" s="6" t="n"/>
      <c r="V204" s="6" t="n"/>
      <c r="W204" s="6" t="n"/>
      <c r="X204" s="6" t="n"/>
      <c r="Y204" s="6" t="n"/>
      <c r="Z204" s="6" t="n"/>
    </row>
    <row r="205" ht="16.5" customHeight="1" s="237">
      <c r="A205" s="6" t="n"/>
      <c r="B205" s="6" t="n"/>
      <c r="C205" s="6" t="n"/>
      <c r="D205" s="6" t="n"/>
      <c r="E205" s="6" t="n"/>
      <c r="F205" s="6" t="n"/>
      <c r="G205" s="6" t="n"/>
      <c r="H205" s="6" t="n"/>
      <c r="I205" s="6" t="n"/>
      <c r="J205" s="6" t="n"/>
      <c r="K205" s="6" t="n"/>
      <c r="L205" s="6" t="n"/>
      <c r="M205" s="10" t="n"/>
      <c r="N205" s="6" t="n"/>
      <c r="O205" s="11" t="n"/>
      <c r="P205" s="6" t="n"/>
      <c r="Q205" s="236" t="n"/>
      <c r="R205" s="6" t="n"/>
      <c r="S205" s="6" t="n"/>
      <c r="T205" s="6" t="n"/>
      <c r="U205" s="6" t="n"/>
      <c r="V205" s="6" t="n"/>
      <c r="W205" s="6" t="n"/>
      <c r="X205" s="6" t="n"/>
      <c r="Y205" s="6" t="n"/>
      <c r="Z205" s="6" t="n"/>
    </row>
    <row r="206" ht="16.5" customHeight="1" s="237">
      <c r="A206" s="6" t="n"/>
      <c r="B206" s="6" t="n"/>
      <c r="C206" s="6" t="n"/>
      <c r="D206" s="6" t="n"/>
      <c r="E206" s="6" t="n"/>
      <c r="F206" s="6" t="n"/>
      <c r="G206" s="6" t="n"/>
      <c r="H206" s="6" t="n"/>
      <c r="I206" s="6" t="n"/>
      <c r="J206" s="6" t="n"/>
      <c r="K206" s="6" t="n"/>
      <c r="L206" s="6" t="n"/>
      <c r="M206" s="10" t="n"/>
      <c r="N206" s="6" t="n"/>
      <c r="O206" s="11" t="n"/>
      <c r="P206" s="6" t="n"/>
      <c r="Q206" s="236" t="n"/>
      <c r="R206" s="6" t="n"/>
      <c r="S206" s="6" t="n"/>
      <c r="T206" s="6" t="n"/>
      <c r="U206" s="6" t="n"/>
      <c r="V206" s="6" t="n"/>
      <c r="W206" s="6" t="n"/>
      <c r="X206" s="6" t="n"/>
      <c r="Y206" s="6" t="n"/>
      <c r="Z206" s="6" t="n"/>
    </row>
    <row r="207" ht="16.5" customHeight="1" s="237">
      <c r="A207" s="6" t="n"/>
      <c r="B207" s="6" t="n"/>
      <c r="C207" s="6" t="n"/>
      <c r="D207" s="6" t="n"/>
      <c r="E207" s="6" t="n"/>
      <c r="F207" s="6" t="n"/>
      <c r="G207" s="6" t="n"/>
      <c r="H207" s="6" t="n"/>
      <c r="I207" s="6" t="n"/>
      <c r="J207" s="6" t="n"/>
      <c r="K207" s="6" t="n"/>
      <c r="L207" s="6" t="n"/>
      <c r="M207" s="10" t="n"/>
      <c r="N207" s="6" t="n"/>
      <c r="O207" s="11" t="n"/>
      <c r="P207" s="6" t="n"/>
      <c r="Q207" s="236" t="n"/>
      <c r="R207" s="6" t="n"/>
      <c r="S207" s="6" t="n"/>
      <c r="T207" s="6" t="n"/>
      <c r="U207" s="6" t="n"/>
      <c r="V207" s="6" t="n"/>
      <c r="W207" s="6" t="n"/>
      <c r="X207" s="6" t="n"/>
      <c r="Y207" s="6" t="n"/>
      <c r="Z207" s="6" t="n"/>
    </row>
    <row r="208" ht="16.5" customHeight="1" s="237">
      <c r="A208" s="6" t="n"/>
      <c r="B208" s="6" t="n"/>
      <c r="C208" s="6" t="n"/>
      <c r="D208" s="6" t="n"/>
      <c r="E208" s="6" t="n"/>
      <c r="F208" s="6" t="n"/>
      <c r="G208" s="6" t="n"/>
      <c r="H208" s="6" t="n"/>
      <c r="I208" s="6" t="n"/>
      <c r="J208" s="6" t="n"/>
      <c r="K208" s="6" t="n"/>
      <c r="L208" s="6" t="n"/>
      <c r="M208" s="10" t="n"/>
      <c r="N208" s="6" t="n"/>
      <c r="O208" s="11" t="n"/>
      <c r="P208" s="6" t="n"/>
      <c r="Q208" s="236" t="n"/>
      <c r="R208" s="6" t="n"/>
      <c r="S208" s="6" t="n"/>
      <c r="T208" s="6" t="n"/>
      <c r="U208" s="6" t="n"/>
      <c r="V208" s="6" t="n"/>
      <c r="W208" s="6" t="n"/>
      <c r="X208" s="6" t="n"/>
      <c r="Y208" s="6" t="n"/>
      <c r="Z208" s="6" t="n"/>
    </row>
    <row r="209" ht="16.5" customHeight="1" s="237">
      <c r="A209" s="6" t="n"/>
      <c r="B209" s="6" t="n"/>
      <c r="C209" s="6" t="n"/>
      <c r="D209" s="6" t="n"/>
      <c r="E209" s="6" t="n"/>
      <c r="F209" s="6" t="n"/>
      <c r="G209" s="6" t="n"/>
      <c r="H209" s="6" t="n"/>
      <c r="I209" s="6" t="n"/>
      <c r="J209" s="6" t="n"/>
      <c r="K209" s="6" t="n"/>
      <c r="L209" s="6" t="n"/>
      <c r="M209" s="10" t="n"/>
      <c r="N209" s="6" t="n"/>
      <c r="O209" s="11" t="n"/>
      <c r="P209" s="6" t="n"/>
      <c r="Q209" s="236" t="n"/>
      <c r="R209" s="6" t="n"/>
      <c r="S209" s="6" t="n"/>
      <c r="T209" s="6" t="n"/>
      <c r="U209" s="6" t="n"/>
      <c r="V209" s="6" t="n"/>
      <c r="W209" s="6" t="n"/>
      <c r="X209" s="6" t="n"/>
      <c r="Y209" s="6" t="n"/>
      <c r="Z209" s="6" t="n"/>
    </row>
    <row r="210" ht="16.5" customHeight="1" s="237">
      <c r="A210" s="6" t="n"/>
      <c r="B210" s="6" t="n"/>
      <c r="C210" s="6" t="n"/>
      <c r="D210" s="6" t="n"/>
      <c r="E210" s="6" t="n"/>
      <c r="F210" s="6" t="n"/>
      <c r="G210" s="6" t="n"/>
      <c r="H210" s="6" t="n"/>
      <c r="I210" s="6" t="n"/>
      <c r="J210" s="6" t="n"/>
      <c r="K210" s="6" t="n"/>
      <c r="L210" s="6" t="n"/>
      <c r="M210" s="10" t="n"/>
      <c r="N210" s="6" t="n"/>
      <c r="O210" s="11" t="n"/>
      <c r="P210" s="6" t="n"/>
      <c r="Q210" s="236" t="n"/>
      <c r="R210" s="6" t="n"/>
      <c r="S210" s="6" t="n"/>
      <c r="T210" s="6" t="n"/>
      <c r="U210" s="6" t="n"/>
      <c r="V210" s="6" t="n"/>
      <c r="W210" s="6" t="n"/>
      <c r="X210" s="6" t="n"/>
      <c r="Y210" s="6" t="n"/>
      <c r="Z210" s="6" t="n"/>
    </row>
    <row r="211" ht="16.5" customHeight="1" s="237">
      <c r="A211" s="6" t="n"/>
      <c r="B211" s="6" t="n"/>
      <c r="C211" s="6" t="n"/>
      <c r="D211" s="6" t="n"/>
      <c r="E211" s="6" t="n"/>
      <c r="F211" s="6" t="n"/>
      <c r="G211" s="6" t="n"/>
      <c r="H211" s="6" t="n"/>
      <c r="I211" s="6" t="n"/>
      <c r="J211" s="6" t="n"/>
      <c r="K211" s="6" t="n"/>
      <c r="L211" s="6" t="n"/>
      <c r="M211" s="10" t="n"/>
      <c r="N211" s="6" t="n"/>
      <c r="O211" s="11" t="n"/>
      <c r="P211" s="6" t="n"/>
      <c r="Q211" s="236" t="n"/>
      <c r="R211" s="6" t="n"/>
      <c r="S211" s="6" t="n"/>
      <c r="T211" s="6" t="n"/>
      <c r="U211" s="6" t="n"/>
      <c r="V211" s="6" t="n"/>
      <c r="W211" s="6" t="n"/>
      <c r="X211" s="6" t="n"/>
      <c r="Y211" s="6" t="n"/>
      <c r="Z211" s="6" t="n"/>
    </row>
    <row r="212" ht="16.5" customHeight="1" s="237">
      <c r="A212" s="6" t="n"/>
      <c r="B212" s="6" t="n"/>
      <c r="C212" s="6" t="n"/>
      <c r="D212" s="6" t="n"/>
      <c r="E212" s="6" t="n"/>
      <c r="F212" s="6" t="n"/>
      <c r="G212" s="6" t="n"/>
      <c r="H212" s="6" t="n"/>
      <c r="I212" s="6" t="n"/>
      <c r="J212" s="6" t="n"/>
      <c r="K212" s="6" t="n"/>
      <c r="L212" s="6" t="n"/>
      <c r="M212" s="10" t="n"/>
      <c r="N212" s="6" t="n"/>
      <c r="O212" s="11" t="n"/>
      <c r="P212" s="6" t="n"/>
      <c r="Q212" s="236" t="n"/>
      <c r="R212" s="6" t="n"/>
      <c r="S212" s="6" t="n"/>
      <c r="T212" s="6" t="n"/>
      <c r="U212" s="6" t="n"/>
      <c r="V212" s="6" t="n"/>
      <c r="W212" s="6" t="n"/>
      <c r="X212" s="6" t="n"/>
      <c r="Y212" s="6" t="n"/>
      <c r="Z212" s="6" t="n"/>
    </row>
    <row r="213" ht="16.5" customHeight="1" s="237">
      <c r="A213" s="6" t="n"/>
      <c r="B213" s="6" t="n"/>
      <c r="C213" s="6" t="n"/>
      <c r="D213" s="6" t="n"/>
      <c r="E213" s="6" t="n"/>
      <c r="F213" s="6" t="n"/>
      <c r="G213" s="6" t="n"/>
      <c r="H213" s="6" t="n"/>
      <c r="I213" s="6" t="n"/>
      <c r="J213" s="6" t="n"/>
      <c r="K213" s="6" t="n"/>
      <c r="L213" s="6" t="n"/>
      <c r="M213" s="10" t="n"/>
      <c r="N213" s="6" t="n"/>
      <c r="O213" s="11" t="n"/>
      <c r="P213" s="6" t="n"/>
      <c r="Q213" s="236" t="n"/>
      <c r="R213" s="6" t="n"/>
      <c r="S213" s="6" t="n"/>
      <c r="T213" s="6" t="n"/>
      <c r="U213" s="6" t="n"/>
      <c r="V213" s="6" t="n"/>
      <c r="W213" s="6" t="n"/>
      <c r="X213" s="6" t="n"/>
      <c r="Y213" s="6" t="n"/>
      <c r="Z213" s="6" t="n"/>
    </row>
    <row r="214" ht="16.5" customHeight="1" s="237">
      <c r="A214" s="6" t="n"/>
      <c r="B214" s="6" t="n"/>
      <c r="C214" s="6" t="n"/>
      <c r="D214" s="6" t="n"/>
      <c r="E214" s="6" t="n"/>
      <c r="F214" s="6" t="n"/>
      <c r="G214" s="6" t="n"/>
      <c r="H214" s="6" t="n"/>
      <c r="I214" s="6" t="n"/>
      <c r="J214" s="6" t="n"/>
      <c r="K214" s="6" t="n"/>
      <c r="L214" s="6" t="n"/>
      <c r="M214" s="10" t="n"/>
      <c r="N214" s="6" t="n"/>
      <c r="O214" s="11" t="n"/>
      <c r="P214" s="6" t="n"/>
      <c r="Q214" s="236" t="n"/>
      <c r="R214" s="6" t="n"/>
      <c r="S214" s="6" t="n"/>
      <c r="T214" s="6" t="n"/>
      <c r="U214" s="6" t="n"/>
      <c r="V214" s="6" t="n"/>
      <c r="W214" s="6" t="n"/>
      <c r="X214" s="6" t="n"/>
      <c r="Y214" s="6" t="n"/>
      <c r="Z214" s="6" t="n"/>
    </row>
    <row r="215" ht="16.5" customHeight="1" s="237">
      <c r="A215" s="6" t="n"/>
      <c r="B215" s="6" t="n"/>
      <c r="C215" s="6" t="n"/>
      <c r="D215" s="6" t="n"/>
      <c r="E215" s="6" t="n"/>
      <c r="F215" s="6" t="n"/>
      <c r="G215" s="6" t="n"/>
      <c r="H215" s="6" t="n"/>
      <c r="I215" s="6" t="n"/>
      <c r="J215" s="6" t="n"/>
      <c r="K215" s="6" t="n"/>
      <c r="L215" s="6" t="n"/>
      <c r="M215" s="10" t="n"/>
      <c r="N215" s="6" t="n"/>
      <c r="O215" s="11" t="n"/>
      <c r="P215" s="6" t="n"/>
      <c r="Q215" s="236" t="n"/>
      <c r="R215" s="6" t="n"/>
      <c r="S215" s="6" t="n"/>
      <c r="T215" s="6" t="n"/>
      <c r="U215" s="6" t="n"/>
      <c r="V215" s="6" t="n"/>
      <c r="W215" s="6" t="n"/>
      <c r="X215" s="6" t="n"/>
      <c r="Y215" s="6" t="n"/>
      <c r="Z215" s="6" t="n"/>
    </row>
    <row r="216" ht="16.5" customHeight="1" s="237">
      <c r="A216" s="6" t="n"/>
      <c r="B216" s="6" t="n"/>
      <c r="C216" s="6" t="n"/>
      <c r="D216" s="6" t="n"/>
      <c r="E216" s="6" t="n"/>
      <c r="F216" s="6" t="n"/>
      <c r="G216" s="6" t="n"/>
      <c r="H216" s="6" t="n"/>
      <c r="I216" s="6" t="n"/>
      <c r="J216" s="6" t="n"/>
      <c r="K216" s="6" t="n"/>
      <c r="L216" s="6" t="n"/>
      <c r="M216" s="10" t="n"/>
      <c r="N216" s="6" t="n"/>
      <c r="O216" s="11" t="n"/>
      <c r="P216" s="6" t="n"/>
      <c r="Q216" s="236" t="n"/>
      <c r="R216" s="6" t="n"/>
      <c r="S216" s="6" t="n"/>
      <c r="T216" s="6" t="n"/>
      <c r="U216" s="6" t="n"/>
      <c r="V216" s="6" t="n"/>
      <c r="W216" s="6" t="n"/>
      <c r="X216" s="6" t="n"/>
      <c r="Y216" s="6" t="n"/>
      <c r="Z216" s="6" t="n"/>
    </row>
    <row r="217" ht="16.5" customHeight="1" s="237">
      <c r="A217" s="6" t="n"/>
      <c r="B217" s="6" t="n"/>
      <c r="C217" s="6" t="n"/>
      <c r="D217" s="6" t="n"/>
      <c r="E217" s="6" t="n"/>
      <c r="F217" s="6" t="n"/>
      <c r="G217" s="6" t="n"/>
      <c r="H217" s="6" t="n"/>
      <c r="I217" s="6" t="n"/>
      <c r="J217" s="6" t="n"/>
      <c r="K217" s="6" t="n"/>
      <c r="L217" s="6" t="n"/>
      <c r="M217" s="10" t="n"/>
      <c r="N217" s="6" t="n"/>
      <c r="O217" s="11" t="n"/>
      <c r="P217" s="6" t="n"/>
      <c r="Q217" s="236" t="n"/>
      <c r="R217" s="6" t="n"/>
      <c r="S217" s="6" t="n"/>
      <c r="T217" s="6" t="n"/>
      <c r="U217" s="6" t="n"/>
      <c r="V217" s="6" t="n"/>
      <c r="W217" s="6" t="n"/>
      <c r="X217" s="6" t="n"/>
      <c r="Y217" s="6" t="n"/>
      <c r="Z217" s="6" t="n"/>
    </row>
    <row r="218" ht="16.5" customHeight="1" s="237">
      <c r="A218" s="6" t="n"/>
      <c r="B218" s="6" t="n"/>
      <c r="C218" s="6" t="n"/>
      <c r="D218" s="6" t="n"/>
      <c r="E218" s="6" t="n"/>
      <c r="F218" s="6" t="n"/>
      <c r="G218" s="6" t="n"/>
      <c r="H218" s="6" t="n"/>
      <c r="I218" s="6" t="n"/>
      <c r="J218" s="6" t="n"/>
      <c r="K218" s="6" t="n"/>
      <c r="L218" s="6" t="n"/>
      <c r="M218" s="10" t="n"/>
      <c r="N218" s="6" t="n"/>
      <c r="O218" s="11" t="n"/>
      <c r="P218" s="6" t="n"/>
      <c r="Q218" s="236" t="n"/>
      <c r="R218" s="6" t="n"/>
      <c r="S218" s="6" t="n"/>
      <c r="T218" s="6" t="n"/>
      <c r="U218" s="6" t="n"/>
      <c r="V218" s="6" t="n"/>
      <c r="W218" s="6" t="n"/>
      <c r="X218" s="6" t="n"/>
      <c r="Y218" s="6" t="n"/>
      <c r="Z218" s="6" t="n"/>
    </row>
    <row r="219" ht="16.5" customHeight="1" s="237">
      <c r="A219" s="6" t="n"/>
      <c r="B219" s="6" t="n"/>
      <c r="C219" s="6" t="n"/>
      <c r="D219" s="6" t="n"/>
      <c r="E219" s="6" t="n"/>
      <c r="F219" s="6" t="n"/>
      <c r="G219" s="6" t="n"/>
      <c r="H219" s="6" t="n"/>
      <c r="I219" s="6" t="n"/>
      <c r="J219" s="6" t="n"/>
      <c r="K219" s="6" t="n"/>
      <c r="L219" s="6" t="n"/>
      <c r="M219" s="10" t="n"/>
      <c r="N219" s="6" t="n"/>
      <c r="O219" s="11" t="n"/>
      <c r="P219" s="6" t="n"/>
      <c r="Q219" s="236" t="n"/>
      <c r="R219" s="6" t="n"/>
      <c r="S219" s="6" t="n"/>
      <c r="T219" s="6" t="n"/>
      <c r="U219" s="6" t="n"/>
      <c r="V219" s="6" t="n"/>
      <c r="W219" s="6" t="n"/>
      <c r="X219" s="6" t="n"/>
      <c r="Y219" s="6" t="n"/>
      <c r="Z219" s="6" t="n"/>
    </row>
    <row r="220" ht="16.5" customHeight="1" s="237">
      <c r="A220" s="6" t="n"/>
      <c r="B220" s="6" t="n"/>
      <c r="C220" s="6" t="n"/>
      <c r="D220" s="6" t="n"/>
      <c r="E220" s="6" t="n"/>
      <c r="F220" s="6" t="n"/>
      <c r="G220" s="6" t="n"/>
      <c r="H220" s="6" t="n"/>
      <c r="I220" s="6" t="n"/>
      <c r="J220" s="6" t="n"/>
      <c r="K220" s="6" t="n"/>
      <c r="L220" s="6" t="n"/>
      <c r="M220" s="10" t="n"/>
      <c r="N220" s="6" t="n"/>
      <c r="O220" s="11" t="n"/>
      <c r="P220" s="6" t="n"/>
      <c r="Q220" s="236" t="n"/>
      <c r="R220" s="6" t="n"/>
      <c r="S220" s="6" t="n"/>
      <c r="T220" s="6" t="n"/>
      <c r="U220" s="6" t="n"/>
      <c r="V220" s="6" t="n"/>
      <c r="W220" s="6" t="n"/>
      <c r="X220" s="6" t="n"/>
      <c r="Y220" s="6" t="n"/>
      <c r="Z220" s="6" t="n"/>
    </row>
    <row r="221" ht="16.5" customHeight="1" s="237">
      <c r="A221" s="6" t="n"/>
      <c r="B221" s="6" t="n"/>
      <c r="C221" s="6" t="n"/>
      <c r="D221" s="6" t="n"/>
      <c r="E221" s="6" t="n"/>
      <c r="F221" s="6" t="n"/>
      <c r="G221" s="6" t="n"/>
      <c r="H221" s="6" t="n"/>
      <c r="I221" s="6" t="n"/>
      <c r="J221" s="6" t="n"/>
      <c r="K221" s="6" t="n"/>
      <c r="L221" s="6" t="n"/>
      <c r="M221" s="10" t="n"/>
      <c r="N221" s="6" t="n"/>
      <c r="O221" s="11" t="n"/>
      <c r="P221" s="6" t="n"/>
      <c r="Q221" s="236" t="n"/>
      <c r="R221" s="6" t="n"/>
      <c r="S221" s="6" t="n"/>
      <c r="T221" s="6" t="n"/>
      <c r="U221" s="6" t="n"/>
      <c r="V221" s="6" t="n"/>
      <c r="W221" s="6" t="n"/>
      <c r="X221" s="6" t="n"/>
      <c r="Y221" s="6" t="n"/>
      <c r="Z221" s="6" t="n"/>
    </row>
    <row r="222" ht="16.5" customHeight="1" s="237">
      <c r="A222" s="6" t="n"/>
      <c r="B222" s="6" t="n"/>
      <c r="C222" s="6" t="n"/>
      <c r="D222" s="6" t="n"/>
      <c r="E222" s="6" t="n"/>
      <c r="F222" s="6" t="n"/>
      <c r="G222" s="6" t="n"/>
      <c r="H222" s="6" t="n"/>
      <c r="I222" s="6" t="n"/>
      <c r="J222" s="6" t="n"/>
      <c r="K222" s="6" t="n"/>
      <c r="L222" s="6" t="n"/>
      <c r="M222" s="10" t="n"/>
      <c r="N222" s="6" t="n"/>
      <c r="O222" s="11" t="n"/>
      <c r="P222" s="6" t="n"/>
      <c r="Q222" s="236" t="n"/>
      <c r="R222" s="6" t="n"/>
      <c r="S222" s="6" t="n"/>
      <c r="T222" s="6" t="n"/>
      <c r="U222" s="6" t="n"/>
      <c r="V222" s="6" t="n"/>
      <c r="W222" s="6" t="n"/>
      <c r="X222" s="6" t="n"/>
      <c r="Y222" s="6" t="n"/>
      <c r="Z222" s="6" t="n"/>
    </row>
    <row r="223" ht="16.5" customHeight="1" s="237">
      <c r="A223" s="6" t="n"/>
      <c r="B223" s="6" t="n"/>
      <c r="C223" s="6" t="n"/>
      <c r="D223" s="6" t="n"/>
      <c r="E223" s="6" t="n"/>
      <c r="F223" s="6" t="n"/>
      <c r="G223" s="6" t="n"/>
      <c r="H223" s="6" t="n"/>
      <c r="I223" s="6" t="n"/>
      <c r="J223" s="6" t="n"/>
      <c r="K223" s="6" t="n"/>
      <c r="L223" s="6" t="n"/>
      <c r="M223" s="10" t="n"/>
      <c r="N223" s="6" t="n"/>
      <c r="O223" s="11" t="n"/>
      <c r="P223" s="6" t="n"/>
      <c r="Q223" s="236" t="n"/>
      <c r="R223" s="6" t="n"/>
      <c r="S223" s="6" t="n"/>
      <c r="T223" s="6" t="n"/>
      <c r="U223" s="6" t="n"/>
      <c r="V223" s="6" t="n"/>
      <c r="W223" s="6" t="n"/>
      <c r="X223" s="6" t="n"/>
      <c r="Y223" s="6" t="n"/>
      <c r="Z223" s="6" t="n"/>
    </row>
    <row r="224" ht="16.5" customHeight="1" s="237">
      <c r="A224" s="6" t="n"/>
      <c r="B224" s="6" t="n"/>
      <c r="C224" s="6" t="n"/>
      <c r="D224" s="6" t="n"/>
      <c r="E224" s="6" t="n"/>
      <c r="F224" s="6" t="n"/>
      <c r="G224" s="6" t="n"/>
      <c r="H224" s="6" t="n"/>
      <c r="I224" s="6" t="n"/>
      <c r="J224" s="6" t="n"/>
      <c r="K224" s="6" t="n"/>
      <c r="L224" s="6" t="n"/>
      <c r="M224" s="10" t="n"/>
      <c r="N224" s="6" t="n"/>
      <c r="O224" s="11" t="n"/>
      <c r="P224" s="6" t="n"/>
      <c r="Q224" s="236" t="n"/>
      <c r="R224" s="6" t="n"/>
      <c r="S224" s="6" t="n"/>
      <c r="T224" s="6" t="n"/>
      <c r="U224" s="6" t="n"/>
      <c r="V224" s="6" t="n"/>
      <c r="W224" s="6" t="n"/>
      <c r="X224" s="6" t="n"/>
      <c r="Y224" s="6" t="n"/>
      <c r="Z224" s="6" t="n"/>
    </row>
    <row r="225" ht="16.5" customHeight="1" s="237">
      <c r="A225" s="6" t="n"/>
      <c r="B225" s="6" t="n"/>
      <c r="C225" s="6" t="n"/>
      <c r="D225" s="6" t="n"/>
      <c r="E225" s="6" t="n"/>
      <c r="F225" s="6" t="n"/>
      <c r="G225" s="6" t="n"/>
      <c r="H225" s="6" t="n"/>
      <c r="I225" s="6" t="n"/>
      <c r="J225" s="6" t="n"/>
      <c r="K225" s="6" t="n"/>
      <c r="L225" s="6" t="n"/>
      <c r="M225" s="10" t="n"/>
      <c r="N225" s="6" t="n"/>
      <c r="O225" s="11" t="n"/>
      <c r="P225" s="6" t="n"/>
      <c r="Q225" s="236" t="n"/>
      <c r="R225" s="6" t="n"/>
      <c r="S225" s="6" t="n"/>
      <c r="T225" s="6" t="n"/>
      <c r="U225" s="6" t="n"/>
      <c r="V225" s="6" t="n"/>
      <c r="W225" s="6" t="n"/>
      <c r="X225" s="6" t="n"/>
      <c r="Y225" s="6" t="n"/>
      <c r="Z225" s="6" t="n"/>
    </row>
    <row r="226" ht="16.5" customHeight="1" s="237">
      <c r="A226" s="6" t="n"/>
      <c r="B226" s="6" t="n"/>
      <c r="C226" s="6" t="n"/>
      <c r="D226" s="6" t="n"/>
      <c r="E226" s="6" t="n"/>
      <c r="F226" s="6" t="n"/>
      <c r="G226" s="6" t="n"/>
      <c r="H226" s="6" t="n"/>
      <c r="I226" s="6" t="n"/>
      <c r="J226" s="6" t="n"/>
      <c r="K226" s="6" t="n"/>
      <c r="L226" s="6" t="n"/>
      <c r="M226" s="10" t="n"/>
      <c r="N226" s="6" t="n"/>
      <c r="O226" s="11" t="n"/>
      <c r="P226" s="6" t="n"/>
      <c r="Q226" s="236" t="n"/>
      <c r="R226" s="6" t="n"/>
      <c r="S226" s="6" t="n"/>
      <c r="T226" s="6" t="n"/>
      <c r="U226" s="6" t="n"/>
      <c r="V226" s="6" t="n"/>
      <c r="W226" s="6" t="n"/>
      <c r="X226" s="6" t="n"/>
      <c r="Y226" s="6" t="n"/>
      <c r="Z226" s="6" t="n"/>
    </row>
    <row r="227" ht="16.5" customHeight="1" s="237">
      <c r="A227" s="6" t="n"/>
      <c r="B227" s="6" t="n"/>
      <c r="C227" s="6" t="n"/>
      <c r="D227" s="6" t="n"/>
      <c r="E227" s="6" t="n"/>
      <c r="F227" s="6" t="n"/>
      <c r="G227" s="6" t="n"/>
      <c r="H227" s="6" t="n"/>
      <c r="I227" s="6" t="n"/>
      <c r="J227" s="6" t="n"/>
      <c r="K227" s="6" t="n"/>
      <c r="L227" s="6" t="n"/>
      <c r="M227" s="10" t="n"/>
      <c r="N227" s="6" t="n"/>
      <c r="O227" s="11" t="n"/>
      <c r="P227" s="6" t="n"/>
      <c r="Q227" s="236" t="n"/>
      <c r="R227" s="6" t="n"/>
      <c r="S227" s="6" t="n"/>
      <c r="T227" s="6" t="n"/>
      <c r="U227" s="6" t="n"/>
      <c r="V227" s="6" t="n"/>
      <c r="W227" s="6" t="n"/>
      <c r="X227" s="6" t="n"/>
      <c r="Y227" s="6" t="n"/>
      <c r="Z227" s="6" t="n"/>
    </row>
    <row r="228" ht="16.5" customHeight="1" s="237">
      <c r="A228" s="6" t="n"/>
      <c r="B228" s="6" t="n"/>
      <c r="C228" s="6" t="n"/>
      <c r="D228" s="6" t="n"/>
      <c r="E228" s="6" t="n"/>
      <c r="F228" s="6" t="n"/>
      <c r="G228" s="6" t="n"/>
      <c r="H228" s="6" t="n"/>
      <c r="I228" s="6" t="n"/>
      <c r="J228" s="6" t="n"/>
      <c r="K228" s="6" t="n"/>
      <c r="L228" s="6" t="n"/>
      <c r="M228" s="10" t="n"/>
      <c r="N228" s="6" t="n"/>
      <c r="O228" s="11" t="n"/>
      <c r="P228" s="6" t="n"/>
      <c r="Q228" s="236" t="n"/>
      <c r="R228" s="6" t="n"/>
      <c r="S228" s="6" t="n"/>
      <c r="T228" s="6" t="n"/>
      <c r="U228" s="6" t="n"/>
      <c r="V228" s="6" t="n"/>
      <c r="W228" s="6" t="n"/>
      <c r="X228" s="6" t="n"/>
      <c r="Y228" s="6" t="n"/>
      <c r="Z228" s="6" t="n"/>
    </row>
    <row r="229" ht="16.5" customHeight="1" s="237">
      <c r="A229" s="6" t="n"/>
      <c r="B229" s="6" t="n"/>
      <c r="C229" s="6" t="n"/>
      <c r="D229" s="6" t="n"/>
      <c r="E229" s="6" t="n"/>
      <c r="F229" s="6" t="n"/>
      <c r="G229" s="6" t="n"/>
      <c r="H229" s="6" t="n"/>
      <c r="I229" s="6" t="n"/>
      <c r="J229" s="6" t="n"/>
      <c r="K229" s="6" t="n"/>
      <c r="L229" s="6" t="n"/>
      <c r="M229" s="10" t="n"/>
      <c r="N229" s="6" t="n"/>
      <c r="O229" s="11" t="n"/>
      <c r="P229" s="6" t="n"/>
      <c r="Q229" s="236" t="n"/>
      <c r="R229" s="6" t="n"/>
      <c r="S229" s="6" t="n"/>
      <c r="T229" s="6" t="n"/>
      <c r="U229" s="6" t="n"/>
      <c r="V229" s="6" t="n"/>
      <c r="W229" s="6" t="n"/>
      <c r="X229" s="6" t="n"/>
      <c r="Y229" s="6" t="n"/>
      <c r="Z229" s="6" t="n"/>
    </row>
    <row r="230" ht="16.5" customHeight="1" s="237">
      <c r="A230" s="6" t="n"/>
      <c r="B230" s="6" t="n"/>
      <c r="C230" s="6" t="n"/>
      <c r="D230" s="6" t="n"/>
      <c r="E230" s="6" t="n"/>
      <c r="F230" s="6" t="n"/>
      <c r="G230" s="6" t="n"/>
      <c r="H230" s="6" t="n"/>
      <c r="I230" s="6" t="n"/>
      <c r="J230" s="6" t="n"/>
      <c r="K230" s="6" t="n"/>
      <c r="L230" s="6" t="n"/>
      <c r="M230" s="10" t="n"/>
      <c r="N230" s="6" t="n"/>
      <c r="O230" s="11" t="n"/>
      <c r="P230" s="6" t="n"/>
      <c r="Q230" s="236" t="n"/>
      <c r="R230" s="6" t="n"/>
      <c r="S230" s="6" t="n"/>
      <c r="T230" s="6" t="n"/>
      <c r="U230" s="6" t="n"/>
      <c r="V230" s="6" t="n"/>
      <c r="W230" s="6" t="n"/>
      <c r="X230" s="6" t="n"/>
      <c r="Y230" s="6" t="n"/>
      <c r="Z230" s="6" t="n"/>
    </row>
    <row r="231" ht="16.5" customHeight="1" s="237">
      <c r="A231" s="6" t="n"/>
      <c r="B231" s="6" t="n"/>
      <c r="C231" s="6" t="n"/>
      <c r="D231" s="6" t="n"/>
      <c r="E231" s="6" t="n"/>
      <c r="F231" s="6" t="n"/>
      <c r="G231" s="6" t="n"/>
      <c r="H231" s="6" t="n"/>
      <c r="I231" s="6" t="n"/>
      <c r="J231" s="6" t="n"/>
      <c r="K231" s="6" t="n"/>
      <c r="L231" s="6" t="n"/>
      <c r="M231" s="10" t="n"/>
      <c r="N231" s="6" t="n"/>
      <c r="O231" s="11" t="n"/>
      <c r="P231" s="6" t="n"/>
      <c r="Q231" s="236" t="n"/>
      <c r="R231" s="6" t="n"/>
      <c r="S231" s="6" t="n"/>
      <c r="T231" s="6" t="n"/>
      <c r="U231" s="6" t="n"/>
      <c r="V231" s="6" t="n"/>
      <c r="W231" s="6" t="n"/>
      <c r="X231" s="6" t="n"/>
      <c r="Y231" s="6" t="n"/>
      <c r="Z231" s="6" t="n"/>
    </row>
    <row r="232" ht="16.5" customHeight="1" s="237">
      <c r="A232" s="6" t="n"/>
      <c r="B232" s="6" t="n"/>
      <c r="C232" s="6" t="n"/>
      <c r="D232" s="6" t="n"/>
      <c r="E232" s="6" t="n"/>
      <c r="F232" s="6" t="n"/>
      <c r="G232" s="6" t="n"/>
      <c r="H232" s="6" t="n"/>
      <c r="I232" s="6" t="n"/>
      <c r="J232" s="6" t="n"/>
      <c r="K232" s="6" t="n"/>
      <c r="L232" s="6" t="n"/>
      <c r="M232" s="10" t="n"/>
      <c r="N232" s="6" t="n"/>
      <c r="O232" s="11" t="n"/>
      <c r="P232" s="6" t="n"/>
      <c r="Q232" s="236" t="n"/>
      <c r="R232" s="6" t="n"/>
      <c r="S232" s="6" t="n"/>
      <c r="T232" s="6" t="n"/>
      <c r="U232" s="6" t="n"/>
      <c r="V232" s="6" t="n"/>
      <c r="W232" s="6" t="n"/>
      <c r="X232" s="6" t="n"/>
      <c r="Y232" s="6" t="n"/>
      <c r="Z232" s="6" t="n"/>
    </row>
    <row r="233" ht="16.5" customHeight="1" s="237">
      <c r="A233" s="6" t="n"/>
      <c r="B233" s="6" t="n"/>
      <c r="C233" s="6" t="n"/>
      <c r="D233" s="6" t="n"/>
      <c r="E233" s="6" t="n"/>
      <c r="F233" s="6" t="n"/>
      <c r="G233" s="6" t="n"/>
      <c r="H233" s="6" t="n"/>
      <c r="I233" s="6" t="n"/>
      <c r="J233" s="6" t="n"/>
      <c r="K233" s="6" t="n"/>
      <c r="L233" s="6" t="n"/>
      <c r="M233" s="10" t="n"/>
      <c r="N233" s="6" t="n"/>
      <c r="O233" s="11" t="n"/>
      <c r="P233" s="6" t="n"/>
      <c r="Q233" s="236" t="n"/>
      <c r="R233" s="6" t="n"/>
      <c r="S233" s="6" t="n"/>
      <c r="T233" s="6" t="n"/>
      <c r="U233" s="6" t="n"/>
      <c r="V233" s="6" t="n"/>
      <c r="W233" s="6" t="n"/>
      <c r="X233" s="6" t="n"/>
      <c r="Y233" s="6" t="n"/>
      <c r="Z233" s="6" t="n"/>
    </row>
    <row r="234" ht="16.5" customHeight="1" s="237">
      <c r="A234" s="6" t="n"/>
      <c r="B234" s="6" t="n"/>
      <c r="C234" s="6" t="n"/>
      <c r="D234" s="6" t="n"/>
      <c r="E234" s="6" t="n"/>
      <c r="F234" s="6" t="n"/>
      <c r="G234" s="6" t="n"/>
      <c r="H234" s="6" t="n"/>
      <c r="I234" s="6" t="n"/>
      <c r="J234" s="6" t="n"/>
      <c r="K234" s="6" t="n"/>
      <c r="L234" s="6" t="n"/>
      <c r="M234" s="10" t="n"/>
      <c r="N234" s="6" t="n"/>
      <c r="O234" s="11" t="n"/>
      <c r="P234" s="6" t="n"/>
      <c r="Q234" s="236" t="n"/>
      <c r="R234" s="6" t="n"/>
      <c r="S234" s="6" t="n"/>
      <c r="T234" s="6" t="n"/>
      <c r="U234" s="6" t="n"/>
      <c r="V234" s="6" t="n"/>
      <c r="W234" s="6" t="n"/>
      <c r="X234" s="6" t="n"/>
      <c r="Y234" s="6" t="n"/>
      <c r="Z234" s="6" t="n"/>
    </row>
    <row r="235" ht="16.5" customHeight="1" s="237">
      <c r="A235" s="6" t="n"/>
      <c r="B235" s="6" t="n"/>
      <c r="C235" s="6" t="n"/>
      <c r="D235" s="6" t="n"/>
      <c r="E235" s="6" t="n"/>
      <c r="F235" s="6" t="n"/>
      <c r="G235" s="6" t="n"/>
      <c r="H235" s="6" t="n"/>
      <c r="I235" s="6" t="n"/>
      <c r="J235" s="6" t="n"/>
      <c r="K235" s="6" t="n"/>
      <c r="L235" s="6" t="n"/>
      <c r="M235" s="10" t="n"/>
      <c r="N235" s="6" t="n"/>
      <c r="O235" s="11" t="n"/>
      <c r="P235" s="6" t="n"/>
      <c r="Q235" s="236" t="n"/>
      <c r="R235" s="6" t="n"/>
      <c r="S235" s="6" t="n"/>
      <c r="T235" s="6" t="n"/>
      <c r="U235" s="6" t="n"/>
      <c r="V235" s="6" t="n"/>
      <c r="W235" s="6" t="n"/>
      <c r="X235" s="6" t="n"/>
      <c r="Y235" s="6" t="n"/>
      <c r="Z235" s="6" t="n"/>
    </row>
    <row r="236" ht="16.5" customHeight="1" s="237">
      <c r="A236" s="6" t="n"/>
      <c r="B236" s="6" t="n"/>
      <c r="C236" s="6" t="n"/>
      <c r="D236" s="6" t="n"/>
      <c r="E236" s="6" t="n"/>
      <c r="F236" s="6" t="n"/>
      <c r="G236" s="6" t="n"/>
      <c r="H236" s="6" t="n"/>
      <c r="I236" s="6" t="n"/>
      <c r="J236" s="6" t="n"/>
      <c r="K236" s="6" t="n"/>
      <c r="L236" s="6" t="n"/>
      <c r="M236" s="10" t="n"/>
      <c r="N236" s="6" t="n"/>
      <c r="O236" s="11" t="n"/>
      <c r="P236" s="6" t="n"/>
      <c r="Q236" s="236" t="n"/>
      <c r="R236" s="6" t="n"/>
      <c r="S236" s="6" t="n"/>
      <c r="T236" s="6" t="n"/>
      <c r="U236" s="6" t="n"/>
      <c r="V236" s="6" t="n"/>
      <c r="W236" s="6" t="n"/>
      <c r="X236" s="6" t="n"/>
      <c r="Y236" s="6" t="n"/>
      <c r="Z236" s="6" t="n"/>
    </row>
    <row r="237" ht="16.5" customHeight="1" s="237">
      <c r="A237" s="6" t="n"/>
      <c r="B237" s="6" t="n"/>
      <c r="C237" s="6" t="n"/>
      <c r="D237" s="6" t="n"/>
      <c r="E237" s="6" t="n"/>
      <c r="F237" s="6" t="n"/>
      <c r="G237" s="6" t="n"/>
      <c r="H237" s="6" t="n"/>
      <c r="I237" s="6" t="n"/>
      <c r="J237" s="6" t="n"/>
      <c r="K237" s="6" t="n"/>
      <c r="L237" s="6" t="n"/>
      <c r="M237" s="10" t="n"/>
      <c r="N237" s="6" t="n"/>
      <c r="O237" s="11" t="n"/>
      <c r="P237" s="6" t="n"/>
      <c r="Q237" s="236" t="n"/>
      <c r="R237" s="6" t="n"/>
      <c r="S237" s="6" t="n"/>
      <c r="T237" s="6" t="n"/>
      <c r="U237" s="6" t="n"/>
      <c r="V237" s="6" t="n"/>
      <c r="W237" s="6" t="n"/>
      <c r="X237" s="6" t="n"/>
      <c r="Y237" s="6" t="n"/>
      <c r="Z237" s="6" t="n"/>
    </row>
    <row r="238" ht="16.5" customHeight="1" s="237">
      <c r="A238" s="6" t="n"/>
      <c r="B238" s="6" t="n"/>
      <c r="C238" s="6" t="n"/>
      <c r="D238" s="6" t="n"/>
      <c r="E238" s="6" t="n"/>
      <c r="F238" s="6" t="n"/>
      <c r="G238" s="6" t="n"/>
      <c r="H238" s="6" t="n"/>
      <c r="I238" s="6" t="n"/>
      <c r="J238" s="6" t="n"/>
      <c r="K238" s="6" t="n"/>
      <c r="L238" s="6" t="n"/>
      <c r="M238" s="10" t="n"/>
      <c r="N238" s="6" t="n"/>
      <c r="O238" s="11" t="n"/>
      <c r="P238" s="6" t="n"/>
      <c r="Q238" s="236" t="n"/>
      <c r="R238" s="6" t="n"/>
      <c r="S238" s="6" t="n"/>
      <c r="T238" s="6" t="n"/>
      <c r="U238" s="6" t="n"/>
      <c r="V238" s="6" t="n"/>
      <c r="W238" s="6" t="n"/>
      <c r="X238" s="6" t="n"/>
      <c r="Y238" s="6" t="n"/>
      <c r="Z238" s="6" t="n"/>
    </row>
    <row r="239" ht="16.5" customHeight="1" s="237">
      <c r="A239" s="6" t="n"/>
      <c r="B239" s="6" t="n"/>
      <c r="C239" s="6" t="n"/>
      <c r="D239" s="6" t="n"/>
      <c r="E239" s="6" t="n"/>
      <c r="F239" s="6" t="n"/>
      <c r="G239" s="6" t="n"/>
      <c r="H239" s="6" t="n"/>
      <c r="I239" s="6" t="n"/>
      <c r="J239" s="6" t="n"/>
      <c r="K239" s="6" t="n"/>
      <c r="L239" s="6" t="n"/>
      <c r="M239" s="10" t="n"/>
      <c r="N239" s="6" t="n"/>
      <c r="O239" s="11" t="n"/>
      <c r="P239" s="6" t="n"/>
      <c r="Q239" s="236" t="n"/>
      <c r="R239" s="6" t="n"/>
      <c r="S239" s="6" t="n"/>
      <c r="T239" s="6" t="n"/>
      <c r="U239" s="6" t="n"/>
      <c r="V239" s="6" t="n"/>
      <c r="W239" s="6" t="n"/>
      <c r="X239" s="6" t="n"/>
      <c r="Y239" s="6" t="n"/>
      <c r="Z239" s="6" t="n"/>
    </row>
    <row r="240" ht="16.5" customHeight="1" s="237">
      <c r="A240" s="6" t="n"/>
      <c r="B240" s="6" t="n"/>
      <c r="C240" s="6" t="n"/>
      <c r="D240" s="6" t="n"/>
      <c r="E240" s="6" t="n"/>
      <c r="F240" s="6" t="n"/>
      <c r="G240" s="6" t="n"/>
      <c r="H240" s="6" t="n"/>
      <c r="I240" s="6" t="n"/>
      <c r="J240" s="6" t="n"/>
      <c r="K240" s="6" t="n"/>
      <c r="L240" s="6" t="n"/>
      <c r="M240" s="10" t="n"/>
      <c r="N240" s="6" t="n"/>
      <c r="O240" s="11" t="n"/>
      <c r="P240" s="6" t="n"/>
      <c r="Q240" s="236" t="n"/>
      <c r="R240" s="6" t="n"/>
      <c r="S240" s="6" t="n"/>
      <c r="T240" s="6" t="n"/>
      <c r="U240" s="6" t="n"/>
      <c r="V240" s="6" t="n"/>
      <c r="W240" s="6" t="n"/>
      <c r="X240" s="6" t="n"/>
      <c r="Y240" s="6" t="n"/>
      <c r="Z240" s="6" t="n"/>
    </row>
    <row r="241" ht="16.5" customHeight="1" s="237">
      <c r="A241" s="6" t="n"/>
      <c r="B241" s="6" t="n"/>
      <c r="C241" s="6" t="n"/>
      <c r="D241" s="6" t="n"/>
      <c r="E241" s="6" t="n"/>
      <c r="F241" s="6" t="n"/>
      <c r="G241" s="6" t="n"/>
      <c r="H241" s="6" t="n"/>
      <c r="I241" s="6" t="n"/>
      <c r="J241" s="6" t="n"/>
      <c r="K241" s="6" t="n"/>
      <c r="L241" s="6" t="n"/>
      <c r="M241" s="10" t="n"/>
      <c r="N241" s="6" t="n"/>
      <c r="O241" s="11" t="n"/>
      <c r="P241" s="6" t="n"/>
      <c r="Q241" s="236" t="n"/>
      <c r="R241" s="6" t="n"/>
      <c r="S241" s="6" t="n"/>
      <c r="T241" s="6" t="n"/>
      <c r="U241" s="6" t="n"/>
      <c r="V241" s="6" t="n"/>
      <c r="W241" s="6" t="n"/>
      <c r="X241" s="6" t="n"/>
      <c r="Y241" s="6" t="n"/>
      <c r="Z241" s="6" t="n"/>
    </row>
    <row r="242" ht="16.5" customHeight="1" s="237">
      <c r="A242" s="6" t="n"/>
      <c r="B242" s="6" t="n"/>
      <c r="C242" s="6" t="n"/>
      <c r="D242" s="6" t="n"/>
      <c r="E242" s="6" t="n"/>
      <c r="F242" s="6" t="n"/>
      <c r="G242" s="6" t="n"/>
      <c r="H242" s="6" t="n"/>
      <c r="I242" s="6" t="n"/>
      <c r="J242" s="6" t="n"/>
      <c r="K242" s="6" t="n"/>
      <c r="L242" s="6" t="n"/>
      <c r="M242" s="10" t="n"/>
      <c r="N242" s="6" t="n"/>
      <c r="O242" s="11" t="n"/>
      <c r="P242" s="6" t="n"/>
      <c r="Q242" s="236" t="n"/>
      <c r="R242" s="6" t="n"/>
      <c r="S242" s="6" t="n"/>
      <c r="T242" s="6" t="n"/>
      <c r="U242" s="6" t="n"/>
      <c r="V242" s="6" t="n"/>
      <c r="W242" s="6" t="n"/>
      <c r="X242" s="6" t="n"/>
      <c r="Y242" s="6" t="n"/>
      <c r="Z242" s="6" t="n"/>
    </row>
    <row r="243" ht="16.5" customHeight="1" s="237">
      <c r="A243" s="6" t="n"/>
      <c r="B243" s="6" t="n"/>
      <c r="C243" s="6" t="n"/>
      <c r="D243" s="6" t="n"/>
      <c r="E243" s="6" t="n"/>
      <c r="F243" s="6" t="n"/>
      <c r="G243" s="6" t="n"/>
      <c r="H243" s="6" t="n"/>
      <c r="I243" s="6" t="n"/>
      <c r="J243" s="6" t="n"/>
      <c r="K243" s="6" t="n"/>
      <c r="L243" s="6" t="n"/>
      <c r="M243" s="10" t="n"/>
      <c r="N243" s="6" t="n"/>
      <c r="O243" s="11" t="n"/>
      <c r="P243" s="6" t="n"/>
      <c r="Q243" s="236" t="n"/>
      <c r="R243" s="6" t="n"/>
      <c r="S243" s="6" t="n"/>
      <c r="T243" s="6" t="n"/>
      <c r="U243" s="6" t="n"/>
      <c r="V243" s="6" t="n"/>
      <c r="W243" s="6" t="n"/>
      <c r="X243" s="6" t="n"/>
      <c r="Y243" s="6" t="n"/>
      <c r="Z243" s="6" t="n"/>
    </row>
    <row r="244" ht="16.5" customHeight="1" s="237">
      <c r="A244" s="6" t="n"/>
      <c r="B244" s="6" t="n"/>
      <c r="C244" s="6" t="n"/>
      <c r="D244" s="6" t="n"/>
      <c r="E244" s="6" t="n"/>
      <c r="F244" s="6" t="n"/>
      <c r="G244" s="6" t="n"/>
      <c r="H244" s="6" t="n"/>
      <c r="I244" s="6" t="n"/>
      <c r="J244" s="6" t="n"/>
      <c r="K244" s="6" t="n"/>
      <c r="L244" s="6" t="n"/>
      <c r="M244" s="10" t="n"/>
      <c r="N244" s="6" t="n"/>
      <c r="O244" s="11" t="n"/>
      <c r="P244" s="6" t="n"/>
      <c r="Q244" s="236" t="n"/>
      <c r="R244" s="6" t="n"/>
      <c r="S244" s="6" t="n"/>
      <c r="T244" s="6" t="n"/>
      <c r="U244" s="6" t="n"/>
      <c r="V244" s="6" t="n"/>
      <c r="W244" s="6" t="n"/>
      <c r="X244" s="6" t="n"/>
      <c r="Y244" s="6" t="n"/>
      <c r="Z244" s="6" t="n"/>
    </row>
    <row r="245" ht="16.5" customHeight="1" s="237">
      <c r="A245" s="6" t="n"/>
      <c r="B245" s="6" t="n"/>
      <c r="C245" s="6" t="n"/>
      <c r="D245" s="6" t="n"/>
      <c r="E245" s="6" t="n"/>
      <c r="F245" s="6" t="n"/>
      <c r="G245" s="6" t="n"/>
      <c r="H245" s="6" t="n"/>
      <c r="I245" s="6" t="n"/>
      <c r="J245" s="6" t="n"/>
      <c r="K245" s="6" t="n"/>
      <c r="L245" s="6" t="n"/>
      <c r="M245" s="10" t="n"/>
      <c r="N245" s="6" t="n"/>
      <c r="O245" s="11" t="n"/>
      <c r="P245" s="6" t="n"/>
      <c r="Q245" s="236" t="n"/>
      <c r="R245" s="6" t="n"/>
      <c r="S245" s="6" t="n"/>
      <c r="T245" s="6" t="n"/>
      <c r="U245" s="6" t="n"/>
      <c r="V245" s="6" t="n"/>
      <c r="W245" s="6" t="n"/>
      <c r="X245" s="6" t="n"/>
      <c r="Y245" s="6" t="n"/>
      <c r="Z245" s="6" t="n"/>
    </row>
    <row r="246" ht="16.5" customHeight="1" s="237">
      <c r="A246" s="6" t="n"/>
      <c r="B246" s="6" t="n"/>
      <c r="C246" s="6" t="n"/>
      <c r="D246" s="6" t="n"/>
      <c r="E246" s="6" t="n"/>
      <c r="F246" s="6" t="n"/>
      <c r="G246" s="6" t="n"/>
      <c r="H246" s="6" t="n"/>
      <c r="I246" s="6" t="n"/>
      <c r="J246" s="6" t="n"/>
      <c r="K246" s="6" t="n"/>
      <c r="L246" s="6" t="n"/>
      <c r="M246" s="10" t="n"/>
      <c r="N246" s="6" t="n"/>
      <c r="O246" s="11" t="n"/>
      <c r="P246" s="6" t="n"/>
      <c r="Q246" s="236" t="n"/>
      <c r="R246" s="6" t="n"/>
      <c r="S246" s="6" t="n"/>
      <c r="T246" s="6" t="n"/>
      <c r="U246" s="6" t="n"/>
      <c r="V246" s="6" t="n"/>
      <c r="W246" s="6" t="n"/>
      <c r="X246" s="6" t="n"/>
      <c r="Y246" s="6" t="n"/>
      <c r="Z246" s="6" t="n"/>
    </row>
    <row r="247" ht="16.5" customHeight="1" s="237">
      <c r="A247" s="6" t="n"/>
      <c r="B247" s="6" t="n"/>
      <c r="C247" s="6" t="n"/>
      <c r="D247" s="6" t="n"/>
      <c r="E247" s="6" t="n"/>
      <c r="F247" s="6" t="n"/>
      <c r="G247" s="6" t="n"/>
      <c r="H247" s="6" t="n"/>
      <c r="I247" s="6" t="n"/>
      <c r="J247" s="6" t="n"/>
      <c r="K247" s="6" t="n"/>
      <c r="L247" s="6" t="n"/>
      <c r="M247" s="10" t="n"/>
      <c r="N247" s="6" t="n"/>
      <c r="O247" s="11" t="n"/>
      <c r="P247" s="6" t="n"/>
      <c r="Q247" s="236" t="n"/>
      <c r="R247" s="6" t="n"/>
      <c r="S247" s="6" t="n"/>
      <c r="T247" s="6" t="n"/>
      <c r="U247" s="6" t="n"/>
      <c r="V247" s="6" t="n"/>
      <c r="W247" s="6" t="n"/>
      <c r="X247" s="6" t="n"/>
      <c r="Y247" s="6" t="n"/>
      <c r="Z247" s="6" t="n"/>
    </row>
    <row r="248" ht="16.5" customHeight="1" s="237">
      <c r="A248" s="6" t="n"/>
      <c r="B248" s="6" t="n"/>
      <c r="C248" s="6" t="n"/>
      <c r="D248" s="6" t="n"/>
      <c r="E248" s="6" t="n"/>
      <c r="F248" s="6" t="n"/>
      <c r="G248" s="6" t="n"/>
      <c r="H248" s="6" t="n"/>
      <c r="I248" s="6" t="n"/>
      <c r="J248" s="6" t="n"/>
      <c r="K248" s="6" t="n"/>
      <c r="L248" s="6" t="n"/>
      <c r="M248" s="10" t="n"/>
      <c r="N248" s="6" t="n"/>
      <c r="O248" s="11" t="n"/>
      <c r="P248" s="6" t="n"/>
      <c r="Q248" s="236" t="n"/>
      <c r="R248" s="6" t="n"/>
      <c r="S248" s="6" t="n"/>
      <c r="T248" s="6" t="n"/>
      <c r="U248" s="6" t="n"/>
      <c r="V248" s="6" t="n"/>
      <c r="W248" s="6" t="n"/>
      <c r="X248" s="6" t="n"/>
      <c r="Y248" s="6" t="n"/>
      <c r="Z248" s="6" t="n"/>
    </row>
    <row r="249" ht="16.5" customHeight="1" s="237">
      <c r="A249" s="6" t="n"/>
      <c r="B249" s="6" t="n"/>
      <c r="C249" s="6" t="n"/>
      <c r="D249" s="6" t="n"/>
      <c r="E249" s="6" t="n"/>
      <c r="F249" s="6" t="n"/>
      <c r="G249" s="6" t="n"/>
      <c r="H249" s="6" t="n"/>
      <c r="I249" s="6" t="n"/>
      <c r="J249" s="6" t="n"/>
      <c r="K249" s="6" t="n"/>
      <c r="L249" s="6" t="n"/>
      <c r="M249" s="10" t="n"/>
      <c r="N249" s="6" t="n"/>
      <c r="O249" s="11" t="n"/>
      <c r="P249" s="6" t="n"/>
      <c r="Q249" s="236" t="n"/>
      <c r="R249" s="6" t="n"/>
      <c r="S249" s="6" t="n"/>
      <c r="T249" s="6" t="n"/>
      <c r="U249" s="6" t="n"/>
      <c r="V249" s="6" t="n"/>
      <c r="W249" s="6" t="n"/>
      <c r="X249" s="6" t="n"/>
      <c r="Y249" s="6" t="n"/>
      <c r="Z249" s="6" t="n"/>
    </row>
    <row r="250" ht="16.5" customHeight="1" s="237">
      <c r="A250" s="6" t="n"/>
      <c r="B250" s="6" t="n"/>
      <c r="C250" s="6" t="n"/>
      <c r="D250" s="6" t="n"/>
      <c r="E250" s="6" t="n"/>
      <c r="F250" s="6" t="n"/>
      <c r="G250" s="6" t="n"/>
      <c r="H250" s="6" t="n"/>
      <c r="I250" s="6" t="n"/>
      <c r="J250" s="6" t="n"/>
      <c r="K250" s="6" t="n"/>
      <c r="L250" s="6" t="n"/>
      <c r="M250" s="10" t="n"/>
      <c r="N250" s="6" t="n"/>
      <c r="O250" s="11" t="n"/>
      <c r="P250" s="6" t="n"/>
      <c r="Q250" s="236" t="n"/>
      <c r="R250" s="6" t="n"/>
      <c r="S250" s="6" t="n"/>
      <c r="T250" s="6" t="n"/>
      <c r="U250" s="6" t="n"/>
      <c r="V250" s="6" t="n"/>
      <c r="W250" s="6" t="n"/>
      <c r="X250" s="6" t="n"/>
      <c r="Y250" s="6" t="n"/>
      <c r="Z250" s="6" t="n"/>
    </row>
    <row r="251" ht="16.5" customHeight="1" s="237">
      <c r="A251" s="6" t="n"/>
      <c r="B251" s="6" t="n"/>
      <c r="C251" s="6" t="n"/>
      <c r="D251" s="6" t="n"/>
      <c r="E251" s="6" t="n"/>
      <c r="F251" s="6" t="n"/>
      <c r="G251" s="6" t="n"/>
      <c r="H251" s="6" t="n"/>
      <c r="I251" s="6" t="n"/>
      <c r="J251" s="6" t="n"/>
      <c r="K251" s="6" t="n"/>
      <c r="L251" s="6" t="n"/>
      <c r="M251" s="10" t="n"/>
      <c r="N251" s="6" t="n"/>
      <c r="O251" s="11" t="n"/>
      <c r="P251" s="6" t="n"/>
      <c r="Q251" s="236" t="n"/>
      <c r="R251" s="6" t="n"/>
      <c r="S251" s="6" t="n"/>
      <c r="T251" s="6" t="n"/>
      <c r="U251" s="6" t="n"/>
      <c r="V251" s="6" t="n"/>
      <c r="W251" s="6" t="n"/>
      <c r="X251" s="6" t="n"/>
      <c r="Y251" s="6" t="n"/>
      <c r="Z251" s="6" t="n"/>
    </row>
    <row r="252" ht="16.5" customHeight="1" s="237">
      <c r="A252" s="6" t="n"/>
      <c r="B252" s="6" t="n"/>
      <c r="C252" s="6" t="n"/>
      <c r="D252" s="6" t="n"/>
      <c r="E252" s="6" t="n"/>
      <c r="F252" s="6" t="n"/>
      <c r="G252" s="6" t="n"/>
      <c r="H252" s="6" t="n"/>
      <c r="I252" s="6" t="n"/>
      <c r="J252" s="6" t="n"/>
      <c r="K252" s="6" t="n"/>
      <c r="L252" s="6" t="n"/>
      <c r="M252" s="10" t="n"/>
      <c r="N252" s="6" t="n"/>
      <c r="O252" s="11" t="n"/>
      <c r="P252" s="6" t="n"/>
      <c r="Q252" s="236" t="n"/>
      <c r="R252" s="6" t="n"/>
      <c r="S252" s="6" t="n"/>
      <c r="T252" s="6" t="n"/>
      <c r="U252" s="6" t="n"/>
      <c r="V252" s="6" t="n"/>
      <c r="W252" s="6" t="n"/>
      <c r="X252" s="6" t="n"/>
      <c r="Y252" s="6" t="n"/>
      <c r="Z252" s="6" t="n"/>
    </row>
    <row r="253" ht="16.5" customHeight="1" s="237">
      <c r="A253" s="6" t="n"/>
      <c r="B253" s="6" t="n"/>
      <c r="C253" s="6" t="n"/>
      <c r="D253" s="6" t="n"/>
      <c r="E253" s="6" t="n"/>
      <c r="F253" s="6" t="n"/>
      <c r="G253" s="6" t="n"/>
      <c r="H253" s="6" t="n"/>
      <c r="I253" s="6" t="n"/>
      <c r="J253" s="6" t="n"/>
      <c r="K253" s="6" t="n"/>
      <c r="L253" s="6" t="n"/>
      <c r="M253" s="10" t="n"/>
      <c r="N253" s="6" t="n"/>
      <c r="O253" s="11" t="n"/>
      <c r="P253" s="6" t="n"/>
      <c r="Q253" s="236" t="n"/>
      <c r="R253" s="6" t="n"/>
      <c r="S253" s="6" t="n"/>
      <c r="T253" s="6" t="n"/>
      <c r="U253" s="6" t="n"/>
      <c r="V253" s="6" t="n"/>
      <c r="W253" s="6" t="n"/>
      <c r="X253" s="6" t="n"/>
      <c r="Y253" s="6" t="n"/>
      <c r="Z253" s="6" t="n"/>
    </row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  <row r="938" ht="15.75" customHeight="1" s="237"/>
    <row r="939" ht="15.75" customHeight="1" s="237"/>
    <row r="940" ht="15.75" customHeight="1" s="237"/>
    <row r="941" ht="15.75" customHeight="1" s="237"/>
    <row r="942" ht="15.75" customHeight="1" s="237"/>
    <row r="943" ht="15.75" customHeight="1" s="237"/>
    <row r="944" ht="15.75" customHeight="1" s="237"/>
    <row r="945" ht="15.75" customHeight="1" s="237"/>
    <row r="946" ht="15.75" customHeight="1" s="237"/>
    <row r="947" ht="15.75" customHeight="1" s="237"/>
    <row r="948" ht="15.75" customHeight="1" s="237"/>
    <row r="949" ht="15.75" customHeight="1" s="237"/>
    <row r="950" ht="15.75" customHeight="1" s="237"/>
    <row r="951" ht="15.75" customHeight="1" s="237"/>
    <row r="952" ht="15.75" customHeight="1" s="237"/>
    <row r="953" ht="15.75" customHeight="1" s="237"/>
    <row r="954" ht="15.75" customHeight="1" s="237"/>
    <row r="955" ht="15.75" customHeight="1" s="237"/>
    <row r="956" ht="15.75" customHeight="1" s="237"/>
    <row r="957" ht="15.75" customHeight="1" s="237"/>
    <row r="958" ht="15.75" customHeight="1" s="237"/>
    <row r="959" ht="15.75" customHeight="1" s="237"/>
    <row r="960" ht="15.75" customHeight="1" s="237"/>
    <row r="961" ht="15.75" customHeight="1" s="237"/>
    <row r="962" ht="15.75" customHeight="1" s="237"/>
    <row r="963" ht="15.75" customHeight="1" s="237"/>
    <row r="964" ht="15.75" customHeight="1" s="237"/>
    <row r="965" ht="15.75" customHeight="1" s="237"/>
    <row r="966" ht="15.75" customHeight="1" s="237"/>
    <row r="967" ht="15.75" customHeight="1" s="237"/>
    <row r="968" ht="15.75" customHeight="1" s="237"/>
    <row r="969" ht="15.75" customHeight="1" s="237"/>
    <row r="970" ht="15.75" customHeight="1" s="237"/>
    <row r="971" ht="15.75" customHeight="1" s="237"/>
    <row r="972" ht="15.75" customHeight="1" s="237"/>
    <row r="973" ht="15.75" customHeight="1" s="237"/>
    <row r="974" ht="15.75" customHeight="1" s="237"/>
    <row r="975" ht="15.75" customHeight="1" s="237"/>
    <row r="976" ht="15.75" customHeight="1" s="237"/>
    <row r="977" ht="15.75" customHeight="1" s="237"/>
    <row r="978" ht="15.75" customHeight="1" s="237"/>
    <row r="979" ht="15.75" customHeight="1" s="237"/>
    <row r="980" ht="15.75" customHeight="1" s="237"/>
    <row r="981" ht="15.75" customHeight="1" s="237"/>
    <row r="982" ht="15.75" customHeight="1" s="237"/>
    <row r="983" ht="15.75" customHeight="1" s="237"/>
    <row r="984" ht="15.75" customHeight="1" s="237"/>
    <row r="985" ht="15.75" customHeight="1" s="237"/>
    <row r="986" ht="15.75" customHeight="1" s="237"/>
    <row r="987" ht="15.75" customHeight="1" s="237"/>
    <row r="988" ht="15.75" customHeight="1" s="237"/>
    <row r="989" ht="15.75" customHeight="1" s="237"/>
    <row r="990" ht="15.75" customHeight="1" s="237"/>
    <row r="991" ht="15.75" customHeight="1" s="237"/>
    <row r="992" ht="15.75" customHeight="1" s="237"/>
    <row r="993" ht="15.75" customHeight="1" s="237"/>
    <row r="994" ht="15.75" customHeight="1" s="237"/>
    <row r="995" ht="15.75" customHeight="1" s="237"/>
    <row r="996" ht="15.75" customHeight="1" s="237"/>
    <row r="997" ht="15.75" customHeight="1" s="237"/>
    <row r="998" ht="15.75" customHeight="1" s="237"/>
    <row r="999" ht="15.75" customHeight="1" s="237"/>
    <row r="1000" ht="15.75" customHeight="1" s="237"/>
  </sheetData>
  <mergeCells count="2">
    <mergeCell ref="L1:O1"/>
    <mergeCell ref="Q1:R1"/>
  </mergeCells>
  <conditionalFormatting sqref="T4">
    <cfRule type="expression" priority="1" dxfId="0">
      <formula>T4="Expired"</formula>
    </cfRule>
  </conditionalFormatting>
  <conditionalFormatting sqref="T5">
    <cfRule type="expression" priority="2" dxfId="0">
      <formula>T5="Expired"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2025-03-12T12:13:20Z</dcterms:modified>
  <cp:lastModifiedBy>Walid Baassiri</cp:lastModifiedBy>
  <cp:lastPrinted>2025-03-04T13:11:51Z</cp:lastPrinted>
</cp:coreProperties>
</file>