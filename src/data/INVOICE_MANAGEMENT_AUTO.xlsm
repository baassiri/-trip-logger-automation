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4995" windowWidth="29040" windowHeight="15720" tabRatio="600" firstSheet="0" activeTab="5" autoFilterDateGrouping="1"/>
  </bookViews>
  <sheets>
    <sheet name="INVOICE TRACKER" sheetId="1" state="visible" r:id="rId1"/>
    <sheet name="INVOICE" sheetId="2" state="visible" r:id="rId2"/>
    <sheet name="BALANCE SHEET" sheetId="3" state="visible" r:id="rId3"/>
    <sheet name="CLIENT DATA" sheetId="4" state="visible" r:id="rId4"/>
    <sheet name="CLIENT ARCHIVE" sheetId="5" state="visible" r:id="rId5"/>
    <sheet name="TRIP LOGS" sheetId="6" state="visible" r:id="rId6"/>
    <sheet name="DESTINATION DATA" sheetId="7" state="visible" r:id="rId7"/>
    <sheet name="INSURANCE DATA" sheetId="8" state="visible" r:id="rId8"/>
    <sheet name="LISTS" sheetId="9" state="hidden" r:id="rId9"/>
  </sheets>
  <definedNames>
    <definedName name="_xleta.NOT" hidden="1" xlm="1">#NAME?</definedName>
    <definedName name="_xlnm.Print_Area" localSheetId="1">'INVOICE'!$A$1:$H$45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(&quot;$&quot;* #,##0.00_);_(&quot;$&quot;* \(#,##0.00\);_(&quot;$&quot;* &quot;-&quot;??_);_(@_)"/>
    <numFmt numFmtId="165" formatCode="mm\-dd\-yyyy"/>
    <numFmt numFmtId="166" formatCode="\(000\)\-000\-0000"/>
    <numFmt numFmtId="167" formatCode="#0&quot; Miles&quot;"/>
    <numFmt numFmtId="168" formatCode="m/d/yy"/>
    <numFmt numFmtId="169" formatCode="mm/dd/yyyy"/>
    <numFmt numFmtId="170" formatCode="mm/dd/yy"/>
    <numFmt numFmtId="171" formatCode="\(000\)000\-0000"/>
    <numFmt numFmtId="172" formatCode="&quot;&quot;"/>
  </numFmts>
  <fonts count="32">
    <font>
      <name val="Calibri"/>
      <color theme="1"/>
      <sz val="11"/>
      <scheme val="minor"/>
    </font>
    <font>
      <name val="Century Gothic"/>
      <family val="2"/>
      <color theme="1"/>
      <sz val="16"/>
    </font>
    <font>
      <name val="Century Gothic"/>
      <family val="2"/>
      <color theme="1"/>
      <sz val="11"/>
    </font>
    <font>
      <name val="Century Gothic"/>
      <family val="2"/>
      <color theme="1"/>
      <sz val="12"/>
    </font>
    <font>
      <name val="Calibri"/>
      <family val="2"/>
      <color theme="1"/>
      <sz val="11"/>
    </font>
    <font>
      <name val="Calibri"/>
      <family val="2"/>
      <sz val="11"/>
    </font>
    <font>
      <name val="Century Gothic"/>
      <family val="2"/>
      <color theme="1"/>
      <sz val="10"/>
    </font>
    <font>
      <name val="Century Gothic"/>
      <family val="2"/>
      <b val="1"/>
      <color theme="1"/>
      <sz val="11"/>
    </font>
    <font>
      <name val="Century Gothic"/>
      <family val="2"/>
      <color theme="1"/>
      <sz val="8"/>
    </font>
    <font>
      <name val="Century Gothic"/>
      <family val="2"/>
      <color rgb="FFD91919"/>
      <sz val="11"/>
    </font>
    <font>
      <name val="Century Gothic"/>
      <family val="2"/>
      <color rgb="FF00B050"/>
      <sz val="11"/>
    </font>
    <font>
      <name val="Century Gothic"/>
      <family val="2"/>
      <color theme="0"/>
      <sz val="11"/>
    </font>
    <font>
      <name val="Century Gothic"/>
      <family val="2"/>
      <b val="1"/>
      <color rgb="FF000000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entury Gothic"/>
      <family val="2"/>
      <sz val="11"/>
    </font>
    <font>
      <name val="Century Gothic"/>
      <family val="2"/>
      <sz val="28"/>
    </font>
    <font>
      <name val="Century Gothic"/>
      <family val="2"/>
      <sz val="10"/>
    </font>
    <font>
      <name val="Calibri"/>
      <family val="2"/>
      <b val="1"/>
      <sz val="11"/>
    </font>
    <font>
      <name val="Century Gothic"/>
      <family val="2"/>
      <b val="1"/>
      <color theme="1"/>
      <sz val="10"/>
    </font>
    <font>
      <name val="Century Gothic"/>
      <family val="2"/>
      <b val="1"/>
      <sz val="11"/>
    </font>
    <font>
      <name val="Century Gothic"/>
      <family val="2"/>
      <color rgb="FFFF0000"/>
      <sz val="11"/>
    </font>
    <font>
      <name val="Century Gothic"/>
      <family val="2"/>
      <b val="1"/>
      <color rgb="FF000000"/>
      <sz val="10"/>
    </font>
    <font>
      <name val="Century Gothic"/>
      <family val="2"/>
      <b val="1"/>
      <sz val="18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entury Gothic"/>
      <family val="2"/>
      <color rgb="FFFF0000"/>
      <sz val="10"/>
    </font>
    <font>
      <name val="Century Gothic"/>
      <family val="2"/>
      <b val="1"/>
      <sz val="12"/>
    </font>
    <font>
      <name val="Century Gothic"/>
      <family val="2"/>
      <b val="1"/>
      <i val="1"/>
      <sz val="12"/>
    </font>
    <font>
      <name val="Century Gothic"/>
      <family val="2"/>
      <b val="1"/>
      <i val="1"/>
      <color theme="1"/>
      <sz val="12"/>
    </font>
    <font>
      <name val="Century Gothic"/>
      <family val="2"/>
      <b val="1"/>
      <sz val="16"/>
    </font>
    <font>
      <name val="Century Gothic"/>
      <family val="2"/>
      <b val="1"/>
      <color rgb="FFFF0000"/>
      <sz val="12"/>
    </font>
  </fonts>
  <fills count="22">
    <fill>
      <patternFill/>
    </fill>
    <fill>
      <patternFill patternType="gray125"/>
    </fill>
    <fill>
      <patternFill patternType="solid">
        <fgColor rgb="FF2C416C"/>
        <bgColor rgb="FF2C416C"/>
      </patternFill>
    </fill>
    <fill>
      <patternFill patternType="solid">
        <fgColor rgb="FF92D050"/>
        <bgColor rgb="FF92D050"/>
      </patternFill>
    </fill>
    <fill>
      <patternFill patternType="solid">
        <fgColor rgb="FFED7043"/>
        <bgColor rgb="FFED7043"/>
      </patternFill>
    </fill>
    <fill>
      <patternFill patternType="solid">
        <fgColor rgb="FFFFE599"/>
        <bgColor rgb="FFFFE599"/>
      </patternFill>
    </fill>
    <fill>
      <patternFill patternType="solid">
        <fgColor rgb="FF00B0F0"/>
        <bgColor rgb="FF00B0F0"/>
      </patternFill>
    </fill>
    <fill>
      <patternFill patternType="solid">
        <fgColor rgb="FFDFE2E7"/>
        <bgColor rgb="FFDFE2E7"/>
      </patternFill>
    </fill>
    <fill>
      <patternFill patternType="solid">
        <fgColor theme="2" tint="-0.0499893185216834"/>
        <bgColor rgb="FFDFE2E7"/>
      </patternFill>
    </fill>
    <fill>
      <patternFill patternType="solid">
        <fgColor theme="2" tint="-0.0499893185216834"/>
        <bgColor indexed="64"/>
      </patternFill>
    </fill>
    <fill>
      <patternFill patternType="solid">
        <fgColor theme="2" tint="-0.0499893185216834"/>
        <bgColor rgb="FFE0E8FF"/>
      </patternFill>
    </fill>
    <fill>
      <patternFill patternType="solid">
        <fgColor theme="2" tint="-0.0499893185216834"/>
        <bgColor rgb="FF092D92"/>
      </patternFill>
    </fill>
    <fill>
      <patternFill patternType="solid">
        <fgColor theme="2" tint="-0.0499893185216834"/>
        <bgColor rgb="FFA6B1C5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2C416C"/>
      </patternFill>
    </fill>
    <fill>
      <patternFill patternType="solid">
        <fgColor theme="0" tint="-0.249977111117893"/>
        <bgColor rgb="FF2C416C"/>
      </patternFill>
    </fill>
    <fill>
      <patternFill patternType="solid">
        <fgColor theme="0" tint="-0.0499893185216834"/>
        <bgColor rgb="FFA6B1C5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rgb="FFDFE2E7"/>
      </left>
      <right/>
      <top style="thin">
        <color rgb="FFDFE2E7"/>
      </top>
      <bottom style="thin">
        <color rgb="FFDFE2E7"/>
      </bottom>
      <diagonal/>
    </border>
    <border>
      <left style="thin">
        <color rgb="FFDFE2E7"/>
      </left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 style="thin">
        <color rgb="FFDFE2E7"/>
      </top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DFE2E8"/>
      </left>
      <right/>
      <top/>
      <bottom/>
      <diagonal/>
    </border>
    <border>
      <left style="thin">
        <color rgb="FFDFE2E8"/>
      </left>
      <right style="thin">
        <color rgb="FFDFE2E8"/>
      </right>
      <top/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 style="thin">
        <color rgb="FFDFE2E7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FE2E8"/>
      </top>
      <bottom style="thin">
        <color rgb="FFDFE2E8"/>
      </bottom>
      <diagonal/>
    </border>
    <border>
      <left/>
      <right/>
      <top style="thin">
        <color rgb="FFDFE2E8"/>
      </top>
      <bottom/>
      <diagonal/>
    </border>
    <border>
      <left/>
      <right/>
      <top/>
      <bottom style="thin">
        <color rgb="FFDFE2E8"/>
      </bottom>
      <diagonal/>
    </border>
    <border>
      <left style="thin">
        <color rgb="FFDFE2E8"/>
      </left>
      <right/>
      <top style="thin">
        <color rgb="FFDFE2E8"/>
      </top>
      <bottom/>
      <diagonal/>
    </border>
    <border>
      <left style="thin">
        <color rgb="FFDFE2E8"/>
      </left>
      <right style="thin">
        <color rgb="FFDFE2E8"/>
      </right>
      <top style="thin">
        <color rgb="FFDFE2E8"/>
      </top>
      <bottom/>
      <diagonal/>
    </border>
    <border>
      <left style="thin">
        <color rgb="FFDFE2E7"/>
      </left>
      <right style="thin">
        <color rgb="FFDFE2E7"/>
      </right>
      <top style="thin">
        <color rgb="FFDFE2E7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DFE2E7"/>
      </left>
      <right style="thin">
        <color rgb="FFDFE2E7"/>
      </right>
      <top/>
      <bottom style="thin">
        <color rgb="FFDFE2E7"/>
      </bottom>
      <diagonal/>
    </border>
    <border>
      <left style="thin">
        <color rgb="FFDFE2E8"/>
      </left>
      <right style="thin">
        <color rgb="FFDFE2E8"/>
      </right>
      <top style="thin">
        <color rgb="FFDFE2E8"/>
      </top>
      <bottom style="thin">
        <color rgb="FFDFE2E8"/>
      </bottom>
      <diagonal/>
    </border>
    <border>
      <left/>
      <right style="thin">
        <color rgb="FFDFE2E7"/>
      </right>
      <top/>
      <bottom style="thin">
        <color rgb="FFDFE2E7"/>
      </bottom>
      <diagonal/>
    </border>
    <border>
      <left style="thin">
        <color rgb="FFDFE2E7"/>
      </left>
      <right/>
      <top/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/>
      <diagonal/>
    </border>
    <border>
      <left style="thin">
        <color rgb="FFDFE2E7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rgb="FFDFE2E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14"/>
    <xf numFmtId="0" fontId="13" fillId="0" borderId="14"/>
    <xf numFmtId="44" fontId="14" fillId="0" borderId="14"/>
  </cellStyleXfs>
  <cellXfs count="306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wrapText="1"/>
    </xf>
    <xf numFmtId="0" fontId="2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2" fillId="0" borderId="0" pivotButton="0" quotePrefix="0" xfId="0"/>
    <xf numFmtId="0" fontId="2" fillId="0" borderId="0" pivotButton="0" quotePrefix="0" xfId="0"/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left"/>
    </xf>
    <xf numFmtId="0" fontId="2" fillId="0" borderId="0" applyAlignment="1" pivotButton="0" quotePrefix="0" xfId="0">
      <alignment horizontal="left" vertical="center"/>
    </xf>
    <xf numFmtId="14" fontId="2" fillId="0" borderId="0" applyAlignment="1" pivotButton="0" quotePrefix="0" xfId="0">
      <alignment horizontal="center"/>
    </xf>
    <xf numFmtId="164" fontId="2" fillId="0" borderId="0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0" fontId="2" fillId="0" borderId="2" applyAlignment="1" pivotButton="0" quotePrefix="0" xfId="0">
      <alignment horizontal="left" vertical="center" wrapText="1"/>
    </xf>
    <xf numFmtId="165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2" fillId="0" borderId="2" applyAlignment="1" pivotButton="0" quotePrefix="0" xfId="0">
      <alignment vertical="center"/>
    </xf>
    <xf numFmtId="0" fontId="2" fillId="0" borderId="2" applyAlignment="1" pivotButton="0" quotePrefix="0" xfId="0">
      <alignment vertical="center" wrapText="1"/>
    </xf>
    <xf numFmtId="0" fontId="2" fillId="0" borderId="2" applyAlignment="1" pivotButton="0" quotePrefix="0" xfId="0">
      <alignment horizontal="center" vertical="center" wrapText="1"/>
    </xf>
    <xf numFmtId="0" fontId="11" fillId="2" borderId="13" applyAlignment="1" pivotButton="0" quotePrefix="0" xfId="0">
      <alignment horizontal="center" vertical="center"/>
    </xf>
    <xf numFmtId="0" fontId="11" fillId="2" borderId="18" applyAlignment="1" pivotButton="0" quotePrefix="0" xfId="0">
      <alignment horizontal="center" vertical="center"/>
    </xf>
    <xf numFmtId="0" fontId="11" fillId="2" borderId="19" applyAlignment="1" pivotButton="0" quotePrefix="0" xfId="0">
      <alignment horizontal="center" vertical="center"/>
    </xf>
    <xf numFmtId="0" fontId="2" fillId="0" borderId="16" applyAlignment="1" pivotButton="0" quotePrefix="0" xfId="0">
      <alignment horizontal="left" vertical="center"/>
    </xf>
    <xf numFmtId="0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0">
      <alignment horizontal="center" vertical="center"/>
      <protection locked="0" hidden="0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0">
      <alignment horizontal="left" vertical="center" wrapText="1"/>
      <protection locked="0" hidden="0"/>
    </xf>
    <xf numFmtId="0" fontId="2" fillId="0" borderId="14" applyAlignment="1" pivotButton="0" quotePrefix="0" xfId="0">
      <alignment horizontal="center"/>
    </xf>
    <xf numFmtId="0" fontId="2" fillId="0" borderId="14" applyAlignment="1" pivotButton="0" quotePrefix="0" xfId="0">
      <alignment horizontal="left"/>
    </xf>
    <xf numFmtId="0" fontId="2" fillId="0" borderId="14" pivotButton="0" quotePrefix="0" xfId="0"/>
    <xf numFmtId="0" fontId="7" fillId="12" borderId="14" applyAlignment="1" pivotButton="0" quotePrefix="0" xfId="0">
      <alignment horizontal="center" vertical="center"/>
    </xf>
    <xf numFmtId="0" fontId="7" fillId="12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0" fontId="2" fillId="13" borderId="0" applyAlignment="1" pivotButton="0" quotePrefix="0" xfId="0">
      <alignment horizontal="center"/>
    </xf>
    <xf numFmtId="14" fontId="2" fillId="13" borderId="0" applyAlignment="1" pivotButton="0" quotePrefix="0" xfId="0">
      <alignment horizontal="center"/>
    </xf>
    <xf numFmtId="0" fontId="0" fillId="13" borderId="0" pivotButton="0" quotePrefix="0" xfId="0"/>
    <xf numFmtId="164" fontId="2" fillId="13" borderId="0" pivotButton="0" quotePrefix="0" xfId="0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0" fontId="2" fillId="14" borderId="0" pivotButton="0" quotePrefix="0" xfId="0"/>
    <xf numFmtId="0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 vertical="center" wrapText="1"/>
    </xf>
    <xf numFmtId="0" fontId="2" fillId="14" borderId="0" applyAlignment="1" pivotButton="0" quotePrefix="0" xfId="0">
      <alignment horizontal="left" vertical="center"/>
    </xf>
    <xf numFmtId="0" fontId="2" fillId="14" borderId="14" applyAlignment="1" pivotButton="0" quotePrefix="0" xfId="0">
      <alignment horizontal="center" vertical="center"/>
    </xf>
    <xf numFmtId="0" fontId="2" fillId="14" borderId="14" pivotButton="0" quotePrefix="0" xfId="0"/>
    <xf numFmtId="0" fontId="20" fillId="13" borderId="14" applyAlignment="1" pivotButton="0" quotePrefix="0" xfId="0">
      <alignment horizontal="center" vertical="center"/>
    </xf>
    <xf numFmtId="167" fontId="2" fillId="15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left"/>
    </xf>
    <xf numFmtId="0" fontId="2" fillId="13" borderId="0" applyAlignment="1" pivotButton="0" quotePrefix="0" xfId="0">
      <alignment horizontal="center" vertical="center"/>
    </xf>
    <xf numFmtId="0" fontId="2" fillId="0" borderId="0" applyAlignment="1" pivotButton="0" quotePrefix="0" xfId="0">
      <alignment wrapText="1"/>
    </xf>
    <xf numFmtId="0" fontId="2" fillId="0" borderId="20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0" fontId="2" fillId="0" borderId="20" applyAlignment="1" applyProtection="1" pivotButton="0" quotePrefix="0" xfId="1">
      <alignment horizontal="center" vertical="center"/>
      <protection locked="0" hidden="0"/>
    </xf>
    <xf numFmtId="0" fontId="2" fillId="0" borderId="20" applyAlignment="1" applyProtection="1" pivotButton="0" quotePrefix="0" xfId="0">
      <alignment horizontal="left" vertical="center" wrapText="1"/>
      <protection locked="0" hidden="0"/>
    </xf>
    <xf numFmtId="0" fontId="2" fillId="7" borderId="20" applyAlignment="1" applyProtection="1" pivotButton="0" quotePrefix="0" xfId="0">
      <alignment horizontal="center" vertical="center"/>
      <protection locked="1" hidden="1"/>
    </xf>
    <xf numFmtId="0" fontId="2" fillId="0" borderId="20" applyAlignment="1" applyProtection="1" pivotButton="0" quotePrefix="0" xfId="0">
      <alignment horizontal="center" vertical="center" wrapText="1"/>
      <protection locked="0" hidden="0"/>
    </xf>
    <xf numFmtId="164" fontId="2" fillId="0" borderId="0" applyAlignment="1" pivotButton="0" quotePrefix="0" xfId="0">
      <alignment vertical="center"/>
    </xf>
    <xf numFmtId="164" fontId="2" fillId="0" borderId="16" applyAlignment="1" pivotButton="0" quotePrefix="0" xfId="0">
      <alignment vertical="center"/>
    </xf>
    <xf numFmtId="0" fontId="2" fillId="0" borderId="16" applyAlignment="1" pivotButton="0" quotePrefix="0" xfId="0">
      <alignment vertical="center"/>
    </xf>
    <xf numFmtId="0" fontId="2" fillId="8" borderId="14" applyAlignment="1" pivotButton="0" quotePrefix="0" xfId="0">
      <alignment vertical="center" wrapText="1"/>
    </xf>
    <xf numFmtId="0" fontId="2" fillId="0" borderId="25" applyAlignment="1" applyProtection="1" pivotButton="0" quotePrefix="0" xfId="0">
      <alignment wrapText="1"/>
      <protection locked="0" hidden="0"/>
    </xf>
    <xf numFmtId="0" fontId="2" fillId="0" borderId="1" applyAlignment="1" applyProtection="1" pivotButton="0" quotePrefix="0" xfId="0">
      <alignment horizontal="left" vertical="center"/>
      <protection locked="0" hidden="0"/>
    </xf>
    <xf numFmtId="0" fontId="2" fillId="0" borderId="29" applyAlignment="1" applyProtection="1" pivotButton="0" quotePrefix="0" xfId="0">
      <alignment horizontal="left" vertical="center"/>
      <protection locked="0" hidden="0"/>
    </xf>
    <xf numFmtId="0" fontId="7" fillId="17" borderId="26" applyAlignment="1" applyProtection="1" pivotButton="0" quotePrefix="0" xfId="0">
      <alignment horizontal="center" vertical="center"/>
      <protection locked="0" hidden="0"/>
    </xf>
    <xf numFmtId="0" fontId="7" fillId="17" borderId="24" applyAlignment="1" applyProtection="1" pivotButton="0" quotePrefix="0" xfId="0">
      <alignment horizontal="center" vertical="center"/>
      <protection locked="0" hidden="0"/>
    </xf>
    <xf numFmtId="0" fontId="7" fillId="17" borderId="27" applyAlignment="1" applyProtection="1" pivotButton="0" quotePrefix="0" xfId="0">
      <alignment horizontal="center" vertical="center"/>
      <protection locked="0" hidden="0"/>
    </xf>
    <xf numFmtId="0" fontId="2" fillId="0" borderId="4" applyAlignment="1" pivotButton="0" quotePrefix="0" xfId="0">
      <alignment horizontal="left" vertical="center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20" fillId="17" borderId="17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/>
    </xf>
    <xf numFmtId="0" fontId="20" fillId="17" borderId="8" applyAlignment="1" pivotButton="0" quotePrefix="0" xfId="0">
      <alignment horizontal="center" vertical="center" wrapText="1"/>
    </xf>
    <xf numFmtId="0" fontId="20" fillId="17" borderId="9" applyAlignment="1" pivotButton="0" quotePrefix="0" xfId="0">
      <alignment horizontal="center" vertical="center"/>
    </xf>
    <xf numFmtId="0" fontId="20" fillId="17" borderId="0" applyAlignment="1" pivotButton="0" quotePrefix="0" xfId="0">
      <alignment horizontal="center" vertical="center" wrapText="1"/>
    </xf>
    <xf numFmtId="0" fontId="20" fillId="18" borderId="13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/>
    </xf>
    <xf numFmtId="0" fontId="20" fillId="18" borderId="8" applyAlignment="1" pivotButton="0" quotePrefix="0" xfId="0">
      <alignment horizontal="center" vertical="center" wrapText="1"/>
    </xf>
    <xf numFmtId="168" fontId="20" fillId="18" borderId="8" applyAlignment="1" pivotButton="0" quotePrefix="0" xfId="0">
      <alignment horizontal="center" vertical="center"/>
    </xf>
    <xf numFmtId="169" fontId="20" fillId="18" borderId="9" applyAlignment="1" pivotButton="0" quotePrefix="0" xfId="0">
      <alignment horizontal="center" vertical="center"/>
    </xf>
    <xf numFmtId="169" fontId="20" fillId="18" borderId="13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0" fontId="2" fillId="0" borderId="15" applyAlignment="1" pivotButton="0" quotePrefix="0" xfId="0">
      <alignment wrapText="1"/>
    </xf>
    <xf numFmtId="0" fontId="2" fillId="0" borderId="2" applyAlignment="1" pivotButton="0" quotePrefix="0" xfId="0">
      <alignment horizontal="left" vertical="center"/>
    </xf>
    <xf numFmtId="0" fontId="2" fillId="0" borderId="2" applyAlignment="1" pivotButton="0" quotePrefix="0" xfId="0">
      <alignment horizontal="center" vertical="center"/>
    </xf>
    <xf numFmtId="0" fontId="2" fillId="0" borderId="2" pivotButton="0" quotePrefix="0" xfId="0"/>
    <xf numFmtId="0" fontId="2" fillId="0" borderId="2" applyAlignment="1" pivotButton="0" quotePrefix="0" xfId="0">
      <alignment horizontal="center"/>
    </xf>
    <xf numFmtId="0" fontId="2" fillId="0" borderId="2" applyAlignment="1" pivotButton="0" quotePrefix="1" xfId="0">
      <alignment horizontal="center"/>
    </xf>
    <xf numFmtId="0" fontId="2" fillId="0" borderId="20" pivotButton="0" quotePrefix="0" xfId="0"/>
    <xf numFmtId="0" fontId="2" fillId="0" borderId="20" applyAlignment="1" pivotButton="0" quotePrefix="0" xfId="0">
      <alignment horizontal="left" vertical="center"/>
    </xf>
    <xf numFmtId="0" fontId="2" fillId="0" borderId="20" applyAlignment="1" pivotButton="0" quotePrefix="0" xfId="0">
      <alignment horizontal="center"/>
    </xf>
    <xf numFmtId="166" fontId="2" fillId="0" borderId="20" applyAlignment="1" pivotButton="0" quotePrefix="0" xfId="0">
      <alignment horizontal="center" vertical="center"/>
    </xf>
    <xf numFmtId="165" fontId="2" fillId="14" borderId="0" applyAlignment="1" pivotButton="0" quotePrefix="0" xfId="0">
      <alignment horizontal="center" vertical="center"/>
    </xf>
    <xf numFmtId="0" fontId="2" fillId="14" borderId="0" applyAlignment="1" pivotButton="0" quotePrefix="0" xfId="0">
      <alignment horizontal="center"/>
    </xf>
    <xf numFmtId="0" fontId="2" fillId="15" borderId="0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/>
    </xf>
    <xf numFmtId="0" fontId="2" fillId="14" borderId="0" applyAlignment="1" pivotButton="0" quotePrefix="0" xfId="0">
      <alignment horizontal="left" wrapText="1"/>
    </xf>
    <xf numFmtId="0" fontId="2" fillId="7" borderId="30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0" fontId="2" fillId="7" borderId="30" applyAlignment="1" pivotButton="0" quotePrefix="0" xfId="0">
      <alignment horizontal="left" vertical="center"/>
    </xf>
    <xf numFmtId="164" fontId="2" fillId="7" borderId="30" applyAlignment="1" pivotButton="0" quotePrefix="0" xfId="0">
      <alignment vertical="center"/>
    </xf>
    <xf numFmtId="0" fontId="2" fillId="16" borderId="10" applyAlignment="1" pivotButton="0" quotePrefix="0" xfId="0">
      <alignment horizontal="center"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0" fontId="2" fillId="16" borderId="28" applyAlignment="1" pivotButton="0" quotePrefix="0" xfId="0">
      <alignment horizontal="left" vertical="center" wrapText="1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5" fontId="2" fillId="0" borderId="0" pivotButton="0" quotePrefix="0" xfId="0"/>
    <xf numFmtId="0" fontId="2" fillId="10" borderId="14" applyAlignment="1" pivotButton="0" quotePrefix="0" xfId="0">
      <alignment wrapText="1"/>
    </xf>
    <xf numFmtId="0" fontId="19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horizontal="center" wrapText="1"/>
    </xf>
    <xf numFmtId="0" fontId="19" fillId="0" borderId="14" applyAlignment="1" pivotButton="0" quotePrefix="0" xfId="0">
      <alignment horizontal="left" vertical="center" wrapText="1"/>
    </xf>
    <xf numFmtId="0" fontId="2" fillId="0" borderId="14" applyAlignment="1" pivotButton="0" quotePrefix="0" xfId="0">
      <alignment horizontal="left" wrapText="1"/>
    </xf>
    <xf numFmtId="170" fontId="19" fillId="0" borderId="14" applyAlignment="1" pivotButton="0" quotePrefix="0" xfId="0">
      <alignment wrapText="1"/>
    </xf>
    <xf numFmtId="0" fontId="6" fillId="0" borderId="14" applyAlignment="1" pivotButton="0" quotePrefix="0" xfId="0">
      <alignment wrapText="1"/>
    </xf>
    <xf numFmtId="0" fontId="19" fillId="0" borderId="14" applyAlignment="1" pivotButton="0" quotePrefix="0" xfId="0">
      <alignment horizontal="right" wrapText="1"/>
    </xf>
    <xf numFmtId="0" fontId="19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0" fontId="6" fillId="0" borderId="14" applyAlignment="1" pivotButton="0" quotePrefix="0" xfId="0">
      <alignment horizontal="right"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0" fontId="19" fillId="8" borderId="14" applyAlignment="1" pivotButton="0" quotePrefix="0" xfId="0">
      <alignment horizontal="center" vertical="center" wrapText="1"/>
    </xf>
    <xf numFmtId="164" fontId="6" fillId="0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0" fontId="6" fillId="0" borderId="14" applyAlignment="1" pivotButton="0" quotePrefix="0" xfId="0">
      <alignment horizontal="center" vertical="center" wrapText="1"/>
    </xf>
    <xf numFmtId="49" fontId="6" fillId="0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0" fontId="27" fillId="19" borderId="1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0" fontId="28" fillId="19" borderId="1" applyAlignment="1" pivotButton="0" quotePrefix="0" xfId="0">
      <alignment horizontal="center" vertical="center"/>
    </xf>
    <xf numFmtId="0" fontId="28" fillId="19" borderId="2" applyAlignment="1" pivotButton="0" quotePrefix="0" xfId="0">
      <alignment horizontal="center" vertical="center"/>
    </xf>
    <xf numFmtId="164" fontId="28" fillId="19" borderId="3" applyAlignment="1" pivotButton="0" quotePrefix="0" xfId="0">
      <alignment horizontal="center" vertical="center"/>
    </xf>
    <xf numFmtId="0" fontId="29" fillId="3" borderId="1" applyAlignment="1" pivotButton="0" quotePrefix="0" xfId="0">
      <alignment horizontal="center" vertical="center"/>
    </xf>
    <xf numFmtId="0" fontId="29" fillId="4" borderId="2" applyAlignment="1" pivotButton="0" quotePrefix="0" xfId="0">
      <alignment horizontal="center" vertical="center"/>
    </xf>
    <xf numFmtId="0" fontId="29" fillId="5" borderId="1" applyAlignment="1" pivotButton="0" quotePrefix="0" xfId="0">
      <alignment horizontal="center" vertical="center"/>
    </xf>
    <xf numFmtId="0" fontId="29" fillId="6" borderId="2" applyAlignment="1" pivotButton="0" quotePrefix="0" xfId="0">
      <alignment horizontal="center" vertical="center"/>
    </xf>
    <xf numFmtId="164" fontId="3" fillId="20" borderId="3" applyAlignment="1" pivotButton="0" quotePrefix="0" xfId="0">
      <alignment vertical="center"/>
    </xf>
    <xf numFmtId="0" fontId="3" fillId="20" borderId="2" applyAlignment="1" pivotButton="0" quotePrefix="0" xfId="0">
      <alignment horizontal="center" vertical="center"/>
    </xf>
    <xf numFmtId="0" fontId="2" fillId="20" borderId="8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0" fontId="2" fillId="20" borderId="9" applyAlignment="1" pivotButton="0" quotePrefix="0" xfId="0">
      <alignment horizontal="center" vertical="center" wrapText="1"/>
    </xf>
    <xf numFmtId="171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0" fontId="2" fillId="0" borderId="32" applyAlignment="1" pivotButton="0" quotePrefix="0" xfId="0">
      <alignment horizontal="center" vertical="center"/>
    </xf>
    <xf numFmtId="0" fontId="2" fillId="0" borderId="30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20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71" fontId="0" fillId="0" borderId="0" applyAlignment="1" pivotButton="0" quotePrefix="0" xfId="0">
      <alignment horizontal="center"/>
    </xf>
    <xf numFmtId="0" fontId="2" fillId="0" borderId="16" applyAlignment="1" applyProtection="1" pivotButton="0" quotePrefix="0" xfId="0">
      <alignment wrapText="1"/>
      <protection locked="0" hidden="0"/>
    </xf>
    <xf numFmtId="165" fontId="2" fillId="0" borderId="2" applyAlignment="1" pivotButton="0" quotePrefix="0" xfId="0">
      <alignment horizontal="center" vertical="center"/>
    </xf>
    <xf numFmtId="0" fontId="2" fillId="0" borderId="20" applyAlignment="1" pivotButton="0" quotePrefix="0" xfId="0">
      <alignment horizontal="center" vertical="center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1">
      <alignment horizontal="center" vertical="center"/>
      <protection locked="0" hidden="0"/>
    </xf>
    <xf numFmtId="0" fontId="2" fillId="7" borderId="2" applyAlignment="1" applyProtection="1" pivotButton="0" quotePrefix="0" xfId="0">
      <alignment horizontal="center" vertical="center"/>
      <protection locked="1" hidden="1"/>
    </xf>
    <xf numFmtId="0" fontId="2" fillId="0" borderId="2" applyAlignment="1" applyProtection="1" pivotButton="0" quotePrefix="0" xfId="0">
      <alignment horizontal="center" vertical="center" wrapText="1"/>
      <protection locked="0" hidden="0"/>
    </xf>
    <xf numFmtId="0" fontId="2" fillId="7" borderId="2" applyAlignment="1" pivotButton="0" quotePrefix="0" xfId="0">
      <alignment horizontal="center" vertical="center"/>
    </xf>
    <xf numFmtId="169" fontId="2" fillId="14" borderId="0" applyAlignment="1" pivotButton="0" quotePrefix="0" xfId="0">
      <alignment horizontal="left" vertical="center" wrapText="1"/>
    </xf>
    <xf numFmtId="1" fontId="2" fillId="20" borderId="2" applyAlignment="1" pivotButton="0" quotePrefix="0" xfId="0">
      <alignment horizontal="center" vertical="center"/>
    </xf>
    <xf numFmtId="1" fontId="2" fillId="20" borderId="4" applyAlignment="1" pivotButton="0" quotePrefix="0" xfId="0">
      <alignment horizontal="center" vertical="center"/>
    </xf>
    <xf numFmtId="0" fontId="2" fillId="0" borderId="2" applyAlignment="1" pivotButton="0" quotePrefix="1" xfId="0">
      <alignment horizontal="center" vertical="center"/>
    </xf>
    <xf numFmtId="0" fontId="2" fillId="0" borderId="28" applyAlignment="1" pivotButton="0" quotePrefix="0" xfId="0">
      <alignment horizontal="left" vertical="center"/>
    </xf>
    <xf numFmtId="165" fontId="2" fillId="0" borderId="20" applyAlignment="1" pivotButton="0" quotePrefix="0" xfId="0">
      <alignment horizontal="center" vertical="center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0" fontId="2" fillId="15" borderId="14" applyAlignment="1" pivotButton="0" quotePrefix="0" xfId="0">
      <alignment horizontal="left" wrapText="1"/>
    </xf>
    <xf numFmtId="0" fontId="2" fillId="14" borderId="14" applyAlignment="1" pivotButton="0" quotePrefix="0" xfId="0">
      <alignment horizontal="left" vertical="center" wrapText="1"/>
    </xf>
    <xf numFmtId="0" fontId="2" fillId="13" borderId="14" applyAlignment="1" pivotButton="0" quotePrefix="0" xfId="0">
      <alignment horizontal="center" vertical="center"/>
    </xf>
    <xf numFmtId="167" fontId="2" fillId="15" borderId="14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0" fontId="2" fillId="14" borderId="3" applyAlignment="1" pivotButton="0" quotePrefix="0" xfId="0">
      <alignment horizontal="left" vertical="center" wrapText="1"/>
    </xf>
    <xf numFmtId="0" fontId="2" fillId="14" borderId="33" applyAlignment="1" pivotButton="0" quotePrefix="0" xfId="0">
      <alignment horizontal="left" vertical="center" wrapText="1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1">
      <alignment horizontal="left" vertical="center"/>
      <protection locked="0" hidden="0"/>
    </xf>
    <xf numFmtId="166" fontId="0" fillId="0" borderId="14" applyAlignment="1" pivotButton="0" quotePrefix="0" xfId="0">
      <alignment horizontal="left" wrapText="1"/>
    </xf>
    <xf numFmtId="169" fontId="2" fillId="14" borderId="0" applyAlignment="1" applyProtection="1" pivotButton="0" quotePrefix="0" xfId="0">
      <alignment horizontal="left" vertical="center" wrapText="1"/>
      <protection locked="0" hidden="0"/>
    </xf>
    <xf numFmtId="169" fontId="2" fillId="14" borderId="1" applyAlignment="1" pivotButton="0" quotePrefix="0" xfId="0">
      <alignment horizontal="left" vertical="center" wrapText="1"/>
    </xf>
    <xf numFmtId="169" fontId="2" fillId="14" borderId="29" applyAlignment="1" pivotButton="0" quotePrefix="0" xfId="0">
      <alignment horizontal="left" vertical="center" wrapText="1"/>
    </xf>
    <xf numFmtId="0" fontId="2" fillId="0" borderId="20" applyAlignment="1" pivotButton="0" quotePrefix="1" xfId="0">
      <alignment horizontal="center" vertical="center"/>
    </xf>
    <xf numFmtId="0" fontId="30" fillId="19" borderId="5" applyAlignment="1" pivotButton="0" quotePrefix="0" xfId="0">
      <alignment horizontal="center" vertical="center"/>
    </xf>
    <xf numFmtId="0" fontId="15" fillId="21" borderId="6" pivotButton="0" quotePrefix="0" xfId="0"/>
    <xf numFmtId="0" fontId="15" fillId="21" borderId="7" pivotButton="0" quotePrefix="0" xfId="0"/>
    <xf numFmtId="164" fontId="31" fillId="15" borderId="33" applyAlignment="1" pivotButton="0" quotePrefix="0" xfId="0">
      <alignment horizontal="center" vertical="center"/>
    </xf>
    <xf numFmtId="165" fontId="6" fillId="14" borderId="14" applyAlignment="1" pivotButton="0" quotePrefix="0" xfId="0">
      <alignment horizontal="center" vertical="center" wrapText="1"/>
    </xf>
    <xf numFmtId="49" fontId="8" fillId="0" borderId="14" applyAlignment="1" pivotButton="0" quotePrefix="0" xfId="0">
      <alignment horizontal="left" vertical="center" wrapText="1"/>
    </xf>
    <xf numFmtId="0" fontId="8" fillId="0" borderId="14" applyAlignment="1" pivotButton="0" quotePrefix="0" xfId="0">
      <alignment horizontal="left" vertical="center" wrapText="1"/>
    </xf>
    <xf numFmtId="164" fontId="6" fillId="0" borderId="14" applyAlignment="1" pivotButton="0" quotePrefix="0" xfId="0">
      <alignment horizontal="center" vertical="center" wrapText="1"/>
    </xf>
    <xf numFmtId="0" fontId="15" fillId="0" borderId="14" applyAlignment="1" pivotButton="0" quotePrefix="0" xfId="0">
      <alignment wrapText="1"/>
    </xf>
    <xf numFmtId="0" fontId="17" fillId="0" borderId="14" applyAlignment="1" pivotButton="0" quotePrefix="0" xfId="0">
      <alignment horizontal="right" vertical="center" wrapText="1"/>
    </xf>
    <xf numFmtId="0" fontId="15" fillId="0" borderId="14" applyAlignment="1" pivotButton="0" quotePrefix="0" xfId="0">
      <alignment horizontal="right" vertical="center" wrapText="1"/>
    </xf>
    <xf numFmtId="0" fontId="16" fillId="0" borderId="14" applyAlignment="1" pivotButton="0" quotePrefix="0" xfId="0">
      <alignment horizontal="left" vertical="center" wrapText="1"/>
    </xf>
    <xf numFmtId="0" fontId="19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wrapText="1"/>
    </xf>
    <xf numFmtId="172" fontId="6" fillId="0" borderId="14" applyAlignment="1" pivotButton="0" quotePrefix="0" xfId="0">
      <alignment horizontal="left" wrapText="1"/>
    </xf>
    <xf numFmtId="0" fontId="6" fillId="0" borderId="14" applyAlignment="1" pivotButton="0" quotePrefix="0" xfId="0">
      <alignment wrapText="1"/>
    </xf>
    <xf numFmtId="0" fontId="17" fillId="0" borderId="14" applyAlignment="1" pivotButton="0" quotePrefix="0" xfId="0">
      <alignment wrapText="1"/>
    </xf>
    <xf numFmtId="0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horizontal="left" vertical="center" wrapText="1"/>
    </xf>
    <xf numFmtId="0" fontId="7" fillId="10" borderId="14" applyAlignment="1" pivotButton="0" quotePrefix="0" xfId="0">
      <alignment horizontal="right" vertical="center" wrapText="1"/>
    </xf>
    <xf numFmtId="0" fontId="7" fillId="10" borderId="14" applyAlignment="1" pivotButton="0" quotePrefix="0" xfId="0">
      <alignment horizontal="center" vertical="center" wrapText="1"/>
    </xf>
    <xf numFmtId="165" fontId="7" fillId="10" borderId="14" applyAlignment="1" pivotButton="0" quotePrefix="0" xfId="0">
      <alignment horizontal="center" vertical="center" wrapText="1"/>
    </xf>
    <xf numFmtId="165" fontId="20" fillId="9" borderId="14" applyAlignment="1" pivotButton="0" quotePrefix="0" xfId="0">
      <alignment wrapText="1"/>
    </xf>
    <xf numFmtId="0" fontId="0" fillId="0" borderId="14" applyAlignment="1" pivotButton="0" quotePrefix="0" xfId="0">
      <alignment horizontal="left" wrapText="1"/>
    </xf>
    <xf numFmtId="0" fontId="26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0" fontId="23" fillId="11" borderId="14" applyAlignment="1" pivotButton="0" quotePrefix="0" xfId="0">
      <alignment horizontal="center" vertical="center"/>
    </xf>
    <xf numFmtId="0" fontId="18" fillId="9" borderId="14" pivotButton="0" quotePrefix="0" xfId="0"/>
    <xf numFmtId="0" fontId="2" fillId="0" borderId="14" applyAlignment="1" pivotButton="0" quotePrefix="0" xfId="0">
      <alignment horizontal="left"/>
    </xf>
    <xf numFmtId="0" fontId="0" fillId="0" borderId="14" pivotButton="0" quotePrefix="0" xfId="0"/>
    <xf numFmtId="0" fontId="9" fillId="0" borderId="14" applyAlignment="1" pivotButton="0" quotePrefix="0" xfId="0">
      <alignment horizontal="left"/>
    </xf>
    <xf numFmtId="0" fontId="5" fillId="0" borderId="14" pivotButton="0" quotePrefix="0" xfId="0"/>
    <xf numFmtId="0" fontId="21" fillId="14" borderId="21" applyAlignment="1" pivotButton="0" quotePrefix="0" xfId="0">
      <alignment horizontal="center" vertical="center"/>
    </xf>
    <xf numFmtId="0" fontId="21" fillId="14" borderId="23" applyAlignment="1" pivotButton="0" quotePrefix="0" xfId="0">
      <alignment horizontal="center" vertical="center"/>
    </xf>
    <xf numFmtId="0" fontId="21" fillId="14" borderId="22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/>
    </xf>
    <xf numFmtId="0" fontId="5" fillId="0" borderId="17" pivotButton="0" quotePrefix="0" xfId="0"/>
    <xf numFmtId="0" fontId="2" fillId="0" borderId="0" applyAlignment="1" pivotButton="0" quotePrefix="0" xfId="0">
      <alignment horizontal="center" vertical="center"/>
    </xf>
    <xf numFmtId="0" fontId="0" fillId="0" borderId="0" pivotButton="0" quotePrefix="0" xfId="0"/>
    <xf numFmtId="165" fontId="2" fillId="0" borderId="0" pivotButton="0" quotePrefix="0" xfId="0"/>
    <xf numFmtId="164" fontId="28" fillId="19" borderId="3" applyAlignment="1" pivotButton="0" quotePrefix="0" xfId="0">
      <alignment horizontal="center" vertical="center"/>
    </xf>
    <xf numFmtId="164" fontId="3" fillId="20" borderId="2" applyAlignment="1" pivotButton="0" quotePrefix="0" xfId="0">
      <alignment vertical="center"/>
    </xf>
    <xf numFmtId="164" fontId="3" fillId="20" borderId="4" applyAlignment="1" pivotButton="0" quotePrefix="0" xfId="0">
      <alignment vertical="center"/>
    </xf>
    <xf numFmtId="164" fontId="3" fillId="20" borderId="3" applyAlignment="1" pivotButton="0" quotePrefix="0" xfId="0">
      <alignment vertical="center"/>
    </xf>
    <xf numFmtId="164" fontId="2" fillId="0" borderId="0" pivotButton="0" quotePrefix="0" xfId="0"/>
    <xf numFmtId="164" fontId="31" fillId="15" borderId="33" applyAlignment="1" pivotButton="0" quotePrefix="0" xfId="0">
      <alignment horizontal="center" vertical="center"/>
    </xf>
    <xf numFmtId="0" fontId="0" fillId="0" borderId="33" pivotButton="0" quotePrefix="0" xfId="0"/>
    <xf numFmtId="0" fontId="30" fillId="19" borderId="14" applyAlignment="1" pivotButton="0" quotePrefix="0" xfId="0">
      <alignment horizontal="center" vertical="center"/>
    </xf>
    <xf numFmtId="164" fontId="2" fillId="20" borderId="8" applyAlignment="1" pivotButton="0" quotePrefix="0" xfId="0">
      <alignment horizontal="center" vertical="center"/>
    </xf>
    <xf numFmtId="165" fontId="2" fillId="7" borderId="30" applyAlignment="1" pivotButton="0" quotePrefix="0" xfId="0">
      <alignment horizontal="center" vertical="center"/>
    </xf>
    <xf numFmtId="164" fontId="2" fillId="7" borderId="30" applyAlignment="1" pivotButton="0" quotePrefix="0" xfId="0">
      <alignment vertical="center"/>
    </xf>
    <xf numFmtId="165" fontId="2" fillId="16" borderId="10" applyAlignment="1" pivotButton="0" quotePrefix="0" xfId="0">
      <alignment horizontal="center" vertical="center"/>
    </xf>
    <xf numFmtId="164" fontId="2" fillId="16" borderId="31" applyAlignment="1" pivotButton="0" quotePrefix="0" xfId="0">
      <alignment vertical="center"/>
    </xf>
    <xf numFmtId="164" fontId="2" fillId="7" borderId="11" applyAlignment="1" pivotButton="0" quotePrefix="0" xfId="0">
      <alignment horizontal="left" vertical="center"/>
    </xf>
    <xf numFmtId="165" fontId="2" fillId="7" borderId="10" applyAlignment="1" pivotButton="0" quotePrefix="0" xfId="0">
      <alignment horizontal="center" vertical="center"/>
    </xf>
    <xf numFmtId="165" fontId="2" fillId="7" borderId="12" applyAlignment="1" pivotButton="0" quotePrefix="0" xfId="0">
      <alignment horizontal="center" vertical="center"/>
    </xf>
    <xf numFmtId="165" fontId="7" fillId="10" borderId="14" applyAlignment="1" pivotButton="0" quotePrefix="0" xfId="0">
      <alignment horizontal="center" vertical="center" wrapText="1"/>
    </xf>
    <xf numFmtId="170" fontId="19" fillId="0" borderId="14" applyAlignment="1" pivotButton="0" quotePrefix="0" xfId="0">
      <alignment wrapText="1"/>
    </xf>
    <xf numFmtId="165" fontId="0" fillId="0" borderId="14" applyAlignment="1" pivotButton="0" quotePrefix="0" xfId="0">
      <alignment horizontal="left" wrapText="1"/>
    </xf>
    <xf numFmtId="164" fontId="6" fillId="0" borderId="14" applyAlignment="1" pivotButton="0" quotePrefix="0" xfId="0">
      <alignment horizontal="center" vertical="center" wrapText="1"/>
    </xf>
    <xf numFmtId="172" fontId="6" fillId="0" borderId="14" applyAlignment="1" pivotButton="0" quotePrefix="0" xfId="0">
      <alignment horizontal="left" wrapText="1"/>
    </xf>
    <xf numFmtId="166" fontId="0" fillId="0" borderId="14" applyAlignment="1" pivotButton="0" quotePrefix="0" xfId="0">
      <alignment horizontal="left" wrapText="1"/>
    </xf>
    <xf numFmtId="166" fontId="6" fillId="0" borderId="14" applyAlignment="1" pivotButton="0" quotePrefix="0" xfId="0">
      <alignment wrapText="1"/>
    </xf>
    <xf numFmtId="170" fontId="7" fillId="0" borderId="14" applyAlignment="1" pivotButton="0" quotePrefix="0" xfId="0">
      <alignment wrapText="1"/>
    </xf>
    <xf numFmtId="170" fontId="2" fillId="0" borderId="14" applyAlignment="1" pivotButton="0" quotePrefix="0" xfId="0">
      <alignment wrapText="1"/>
    </xf>
    <xf numFmtId="166" fontId="6" fillId="0" borderId="14" applyAlignment="1" pivotButton="0" quotePrefix="0" xfId="0">
      <alignment horizontal="left" vertical="center" wrapText="1"/>
    </xf>
    <xf numFmtId="165" fontId="6" fillId="14" borderId="14" applyAlignment="1" pivotButton="0" quotePrefix="0" xfId="0">
      <alignment horizontal="center" vertical="center" wrapText="1"/>
    </xf>
    <xf numFmtId="165" fontId="2" fillId="8" borderId="14" applyAlignment="1" pivotButton="0" quotePrefix="0" xfId="0">
      <alignment horizontal="center" vertical="center" wrapText="1"/>
    </xf>
    <xf numFmtId="164" fontId="7" fillId="8" borderId="14" applyAlignment="1" pivotButton="0" quotePrefix="0" xfId="0">
      <alignment vertical="center" wrapText="1"/>
    </xf>
    <xf numFmtId="165" fontId="2" fillId="0" borderId="14" applyAlignment="1" pivotButton="0" quotePrefix="0" xfId="0">
      <alignment horizontal="center"/>
    </xf>
    <xf numFmtId="165" fontId="2" fillId="0" borderId="14" applyAlignment="1" pivotButton="0" quotePrefix="0" xfId="0">
      <alignment horizontal="center" vertical="center"/>
    </xf>
    <xf numFmtId="164" fontId="2" fillId="0" borderId="14" applyAlignment="1" pivotButton="0" quotePrefix="0" xfId="2">
      <alignment horizontal="center" vertical="center"/>
    </xf>
    <xf numFmtId="164" fontId="2" fillId="0" borderId="14" pivotButton="0" quotePrefix="0" xfId="2"/>
    <xf numFmtId="164" fontId="2" fillId="13" borderId="14" applyAlignment="1" pivotButton="0" quotePrefix="0" xfId="2">
      <alignment horizontal="center" vertical="center"/>
    </xf>
    <xf numFmtId="164" fontId="2" fillId="13" borderId="14" pivotButton="0" quotePrefix="0" xfId="2"/>
    <xf numFmtId="164" fontId="7" fillId="13" borderId="0" applyAlignment="1" pivotButton="0" quotePrefix="0" xfId="0">
      <alignment horizontal="center" vertical="center"/>
    </xf>
    <xf numFmtId="164" fontId="2" fillId="13" borderId="0" pivotButton="0" quotePrefix="0" xfId="0"/>
    <xf numFmtId="164" fontId="2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165" fontId="7" fillId="17" borderId="24" applyAlignment="1" applyProtection="1" pivotButton="0" quotePrefix="0" xfId="0">
      <alignment horizontal="center" vertical="center"/>
      <protection locked="0" hidden="0"/>
    </xf>
    <xf numFmtId="165" fontId="2" fillId="0" borderId="2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0" applyAlignment="1" applyProtection="1" pivotButton="0" quotePrefix="0" xfId="0">
      <alignment horizontal="center" vertical="center"/>
      <protection locked="0" hidden="0"/>
    </xf>
    <xf numFmtId="165" fontId="2" fillId="0" borderId="20" applyAlignment="1" pivotButton="0" quotePrefix="0" xfId="0">
      <alignment horizontal="center" vertical="center"/>
    </xf>
    <xf numFmtId="166" fontId="2" fillId="0" borderId="20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166" fontId="20" fillId="18" borderId="13" applyAlignment="1" pivotButton="0" quotePrefix="0" xfId="0">
      <alignment horizontal="center" vertical="center" wrapText="1"/>
    </xf>
    <xf numFmtId="166" fontId="20" fillId="18" borderId="14" applyAlignment="1" pivotButton="0" quotePrefix="0" xfId="0">
      <alignment horizontal="center" vertical="center" wrapText="1"/>
    </xf>
    <xf numFmtId="166" fontId="2" fillId="0" borderId="20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165" fontId="2" fillId="14" borderId="0" applyAlignment="1" pivotButton="0" quotePrefix="0" xfId="0">
      <alignment horizontal="center" vertical="center"/>
    </xf>
    <xf numFmtId="0" fontId="21" fillId="14" borderId="34" applyAlignment="1" pivotButton="0" quotePrefix="0" xfId="0">
      <alignment horizontal="center" vertical="center"/>
    </xf>
    <xf numFmtId="0" fontId="0" fillId="0" borderId="22" pivotButton="0" quotePrefix="0" xfId="0"/>
    <xf numFmtId="0" fontId="0" fillId="0" borderId="23" pivotButton="0" quotePrefix="0" xfId="0"/>
    <xf numFmtId="167" fontId="2" fillId="15" borderId="0" applyAlignment="1" pivotButton="0" quotePrefix="0" xfId="0">
      <alignment horizontal="center" vertical="center"/>
    </xf>
    <xf numFmtId="165" fontId="15" fillId="14" borderId="0" applyAlignment="1" applyProtection="1" pivotButton="0" quotePrefix="0" xfId="0">
      <alignment horizontal="left" vertical="center"/>
      <protection locked="0" hidden="0"/>
    </xf>
    <xf numFmtId="165" fontId="15" fillId="14" borderId="3" applyAlignment="1" applyProtection="1" pivotButton="0" quotePrefix="0" xfId="0">
      <alignment horizontal="left" vertical="center"/>
      <protection locked="0" hidden="0"/>
    </xf>
    <xf numFmtId="165" fontId="15" fillId="14" borderId="33" applyAlignment="1" applyProtection="1" pivotButton="0" quotePrefix="0" xfId="0">
      <alignment horizontal="left" vertical="center"/>
      <protection locked="0" hidden="0"/>
    </xf>
    <xf numFmtId="167" fontId="2" fillId="15" borderId="14" applyAlignment="1" pivotButton="0" quotePrefix="0" xfId="0">
      <alignment horizontal="center" vertical="center"/>
    </xf>
    <xf numFmtId="0" fontId="0" fillId="0" borderId="17" pivotButton="0" quotePrefix="0" xfId="0"/>
    <xf numFmtId="0" fontId="2" fillId="0" borderId="14" applyAlignment="1" pivotButton="0" quotePrefix="0" xfId="0">
      <alignment horizontal="center" vertical="center"/>
    </xf>
    <xf numFmtId="164" fontId="2" fillId="0" borderId="16" applyAlignment="1" pivotButton="0" quotePrefix="0" xfId="0">
      <alignment vertical="center"/>
    </xf>
    <xf numFmtId="164" fontId="2" fillId="0" borderId="0" applyAlignment="1" pivotButton="0" quotePrefix="0" xfId="0">
      <alignment vertical="center"/>
    </xf>
  </cellXfs>
  <cellStyles count="3">
    <cellStyle name="Normal" xfId="0" builtinId="0"/>
    <cellStyle name="Hyperlink" xfId="1" builtinId="8"/>
    <cellStyle name="Currency" xfId="2" builtinId="4"/>
  </cellStyles>
  <dxfs count="155">
    <dxf>
      <fill>
        <patternFill patternType="solid">
          <fgColor rgb="FFED7043"/>
          <bgColor rgb="FFED7043"/>
        </patternFill>
      </fill>
    </dxf>
    <dxf>
      <fill>
        <patternFill patternType="solid">
          <fgColor rgb="FFED7043"/>
          <bgColor rgb="FFED7043"/>
        </patternFill>
      </fill>
    </dxf>
    <dxf>
      <numFmt numFmtId="167" formatCode="\(000\)\-000\-0000"/>
      <fill>
        <patternFill>
          <fgColor indexed="64"/>
          <bgColor auto="1"/>
        </patternFill>
      </fill>
      <alignment horizontal="center" vertical="center"/>
    </dxf>
    <dxf>
      <numFmt numFmtId="171" formatCode="\(000\)000\-0000"/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  <alignment horizontal="left" vertic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border outline="0">
        <top style="thin">
          <color rgb="FFDFE2E8"/>
        </top>
      </border>
    </dxf>
    <dxf>
      <fill>
        <patternFill>
          <fgColor indexed="64"/>
          <bgColor auto="1"/>
        </patternFill>
      </fill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border>
        <left/>
        <right/>
        <top style="thin">
          <color rgb="FFDFE2E8"/>
        </top>
        <bottom style="thin">
          <color rgb="FFDFE2E8"/>
        </bottom>
        <vertical/>
        <horizontal style="thin">
          <color rgb="FFDFE2E8"/>
        </horizontal>
      </border>
      <protection locked="0" hidden="0"/>
    </dxf>
    <dxf>
      <border>
        <top style="thin">
          <color rgb="FFDFE2E8"/>
        </top>
      </border>
    </dxf>
    <dxf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</border>
    </dxf>
    <dxf>
      <border>
        <bottom style="thin">
          <color rgb="FFDFE2E8"/>
        </bottom>
      </border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64" formatCode="mm\-dd\-yyyy"/>
      <fill>
        <patternFill patternType="solid">
          <fgColor indexed="64"/>
          <bgColor theme="0"/>
        </patternFill>
      </fill>
      <alignment horizontal="left" vertical="center"/>
      <border outline="0">
        <left/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9" formatCode="mm/dd/yyyy"/>
      <fill>
        <patternFill patternType="solid">
          <fgColor indexed="64"/>
          <bgColor theme="0"/>
        </patternFill>
      </fill>
      <alignment horizontal="left" vertical="center" wrapText="1"/>
      <border>
        <left style="thin">
          <color rgb="FFDFE2E7"/>
        </left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center" vertical="center"/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lor auto="1"/>
        <sz val="11"/>
        <vertAlign val="baseline"/>
      </font>
      <fill>
        <patternFill patternType="solid">
          <fgColor rgb="FF2C416C"/>
          <bgColor theme="0" tint="-0.1499984740745262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/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0" formatCode="General"/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1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1" formatCode="\(000\)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7" formatCode="\(000\)\-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/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protection locked="0" hidden="0"/>
    </dxf>
    <dxf>
      <border outline="0">
        <bottom style="thin">
          <color rgb="FFDFE2E7"/>
        </bottom>
      </border>
    </dxf>
    <dxf>
      <font>
        <name val="Century Gothic"/>
        <family val="2"/>
        <b val="1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/>
      <border outline="0">
        <left style="thin">
          <color rgb="FFDFE2E7"/>
        </left>
        <right style="thin">
          <color rgb="FFDFE2E7"/>
        </right>
        <top/>
        <bottom/>
      </border>
      <protection locked="0" hidden="0"/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92D050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left" vertical="center" wrapText="1"/>
      <border outline="0">
        <left/>
        <right style="thin">
          <color rgb="FFDFE2E7"/>
        </right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rgb="FFDFE2E7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theme="0"/>
          <bgColor theme="0"/>
        </patternFill>
      </fill>
      <alignment horizontal="general" vertical="center"/>
      <border outline="0">
        <left style="thin">
          <color rgb="FFD8D8D8"/>
        </left>
        <right/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theme="0"/>
          <bgColor theme="0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center" vertical="center"/>
      <border outline="0">
        <left/>
        <right/>
        <top style="thin">
          <color rgb="FFD8D8D8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general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vertAlign val="baseline"/>
      </font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A6B1C5"/>
          <bgColor theme="0" tint="-0.0499893185216834"/>
        </patternFill>
      </fill>
      <alignment horizontal="center" vertical="center"/>
    </dxf>
    <dxf>
      <fill>
        <patternFill/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ED7043"/>
          <bgColor rgb="FFED7043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9BC2E6"/>
          <bgColor rgb="FF9BC2E6"/>
        </patternFill>
      </fill>
    </dxf>
    <dxf>
      <fill>
        <patternFill>
          <fgColor rgb="FF2C416C"/>
        </patternFill>
      </fill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  <vertical style="thin">
          <color rgb="FFDFE2E8"/>
        </vertical>
        <horizontal/>
      </border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2" defaultTableStyle="TableStyleMedium2" defaultPivotStyle="PivotStyleLight16">
    <tableStyle name="INVOICE TRACKER-style" pivot="0" count="3">
      <tableStyleElement type="headerRow" dxfId="154"/>
      <tableStyleElement type="firstRowStripe" dxfId="153"/>
      <tableStyleElement type="secondRowStripe" dxfId="152"/>
    </tableStyle>
    <tableStyle name="Table Style 2" pivot="0" count="1">
      <tableStyleElement type="headerRow" dxfId="151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B6:N7" headerRowCount="1" insertRow="1" totalsRowShown="0" headerRowDxfId="145" dataDxfId="144">
  <autoFilter ref="B6:N7"/>
  <sortState ref="B7:N7">
    <sortCondition ref="B6:B7"/>
  </sortState>
  <tableColumns count="13">
    <tableColumn id="1" name="Invoice #" dataDxfId="143"/>
    <tableColumn id="2" name="Invoice Date" dataDxfId="142"/>
    <tableColumn id="3" name="Client" dataDxfId="141"/>
    <tableColumn id="4" name="Serviced From" dataDxfId="140"/>
    <tableColumn id="5" name="Serviced Too" dataDxfId="139"/>
    <tableColumn id="6" name="Amount Due" dataDxfId="138" dataCellStyle="Currency"/>
    <tableColumn id="7" name="Invoice Sent" dataDxfId="137"/>
    <tableColumn id="8" name="Date Sent" dataDxfId="136"/>
    <tableColumn id="9" name="Amount Paid" dataDxfId="135" dataCellStyle="Currency"/>
    <tableColumn id="10" name="Balance" dataDxfId="134">
      <calculatedColumnFormula>IF(B7="","",(G7-J7))</calculatedColumnFormula>
    </tableColumn>
    <tableColumn id="11" name="Payment" dataDxfId="133">
      <calculatedColumnFormula array="1">IF($G7="","",_xlfn.IFS($J7="","Not Paid",$J7=$G7,"Paid",$J7=0,"Not Paid",$J7&gt;$G7,"Over Paid",$J7&lt;$G7,"Partial Payment"))</calculatedColumnFormula>
    </tableColumn>
    <tableColumn id="12" name="Overdue" dataDxfId="132"/>
    <tableColumn id="13" name="Notes" dataDxfId="13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U48" headerRowCount="1" totalsRowShown="0" headerRowDxfId="106" dataDxfId="104" headerRowBorderDxfId="105" tableBorderDxfId="103">
  <autoFilter ref="A1:U48"/>
  <sortState ref="A2:U48">
    <sortCondition ref="A1:A48"/>
  </sortState>
  <tableColumns count="21">
    <tableColumn id="1" name="Client" dataDxfId="102"/>
    <tableColumn id="2" name="DOB" dataDxfId="101"/>
    <tableColumn id="3" name="Address" dataDxfId="100"/>
    <tableColumn id="4" name="City" dataDxfId="99"/>
    <tableColumn id="5" name="State" dataDxfId="98"/>
    <tableColumn id="6" name="Zip Code" dataDxfId="97"/>
    <tableColumn id="7" name="Phone No." dataDxfId="96"/>
    <tableColumn id="8" name="Insurance" dataDxfId="95"/>
    <tableColumn id="9" name="Claim No." dataDxfId="94"/>
    <tableColumn id="10" name="DOI" dataDxfId="93"/>
    <tableColumn id="11" name="Adjuster" dataDxfId="92"/>
    <tableColumn id="12" name="Adjuster Number" dataDxfId="91"/>
    <tableColumn id="13" name="Adjuster Ext." dataDxfId="90"/>
    <tableColumn id="14" name="Adjuster E-mail" dataDxfId="89" dataCellStyle="Hyperlink"/>
    <tableColumn id="15" name="Disability Script" dataDxfId="88"/>
    <tableColumn id="16" name="Column1" dataDxfId="87"/>
    <tableColumn id="17" name="Reminder" dataDxfId="86">
      <calculatedColumnFormula>IF(Table2[[#This Row],[Disability Script]]="","",IF(Table2[[#This Row],[Column1]]&lt;TODAY(),"Expired",""))</calculatedColumnFormula>
    </tableColumn>
    <tableColumn id="18" name="Transport Type" dataDxfId="85"/>
    <tableColumn id="19" name="Headquarters" dataDxfId="84"/>
    <tableColumn id="20" name="Assistance" dataDxfId="83"/>
    <tableColumn id="21" name="Status" dataDxfId="8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6" displayName="Table26" ref="A5:U61" headerRowCount="1" totalsRowShown="0" headerRowDxfId="63">
  <autoFilter ref="A5:U61"/>
  <sortState ref="A6:U61">
    <sortCondition ref="A5:A61"/>
  </sortState>
  <tableColumns count="21">
    <tableColumn id="1" name="Client" dataDxfId="62"/>
    <tableColumn id="2" name="DOB" dataDxfId="61"/>
    <tableColumn id="3" name="Address" dataDxfId="60"/>
    <tableColumn id="4" name="City" dataDxfId="59"/>
    <tableColumn id="5" name="State" dataDxfId="58"/>
    <tableColumn id="6" name="Zip Code" dataDxfId="57"/>
    <tableColumn id="7" name="Phone No." dataDxfId="56"/>
    <tableColumn id="8" name="Insurance" dataDxfId="55"/>
    <tableColumn id="9" name="Claim No." dataDxfId="54"/>
    <tableColumn id="10" name="DOI" dataDxfId="53"/>
    <tableColumn id="11" name="Adjuster" dataDxfId="52"/>
    <tableColumn id="12" name="Adjuster Number" dataDxfId="51"/>
    <tableColumn id="13" name="Adjuster Ext." dataDxfId="50"/>
    <tableColumn id="14" name="Adjuster E-mail" dataDxfId="49" dataCellStyle="Hyperlink"/>
    <tableColumn id="15" name="Disability Script" dataDxfId="48"/>
    <tableColumn id="16" name="Script Expiry" dataDxfId="47"/>
    <tableColumn id="17" name="Reminder" dataDxfId="46"/>
    <tableColumn id="18" name="Transport Type" dataDxfId="45"/>
    <tableColumn id="19" name="Headquarters" dataDxfId="44"/>
    <tableColumn id="20" name="Assistance" dataDxfId="43"/>
    <tableColumn id="21" name="Status" dataDxfId="4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6:U972" headerRowCount="1" totalsRowShown="0" headerRowDxfId="41" dataDxfId="40">
  <autoFilter ref="A6:U972"/>
  <sortState ref="A7:U972">
    <sortCondition ref="B6:B972"/>
  </sortState>
  <tableColumns count="21">
    <tableColumn id="1" name="Date" dataDxfId="39"/>
    <tableColumn id="2" name="Client" dataDxfId="38"/>
    <tableColumn id="27" name="Base" dataDxfId="37">
      <calculatedColumnFormula>IF(B7="", "", VLOOKUP(B7, 'CLIENT DATA'!A:S, 19, FALSE))</calculatedColumnFormula>
    </tableColumn>
    <tableColumn id="3" name="Home Address" dataDxfId="36">
      <calculatedColumnFormula array="1">IF(B7="", "", _xlfn.TEXTJOIN(", ", TRUE, IF('CLIENT DATA'!$A$2:$A$205=B7, 'CLIENT DATA'!$C$2:$F$205, "")))</calculatedColumnFormula>
    </tableColumn>
    <tableColumn id="4" name="Destination" dataDxfId="35"/>
    <tableColumn id="9" name="Destination 2" dataDxfId="34"/>
    <tableColumn id="10" name="Destination 3" dataDxfId="33"/>
    <tableColumn id="11" name="Destination 4" dataDxfId="32"/>
    <tableColumn id="18" name="Destination 5" dataDxfId="31"/>
    <tableColumn id="5" name="Wait Time " dataDxfId="30"/>
    <tableColumn id="19" name="Wait Time 2" dataDxfId="29"/>
    <tableColumn id="20" name="Wait Time 3" dataDxfId="28"/>
    <tableColumn id="21" name="Wait Time 4" dataDxfId="27"/>
    <tableColumn id="22" name="Wait Time 5" dataDxfId="26"/>
    <tableColumn id="6" name="Mileage " dataDxfId="25"/>
    <tableColumn id="7" name="Mileage 2" dataDxfId="24"/>
    <tableColumn id="16" name="Mileage 3" dataDxfId="23"/>
    <tableColumn id="24" name="Mileage 4" dataDxfId="22"/>
    <tableColumn id="23" name="Mileage 5" dataDxfId="21"/>
    <tableColumn id="25" name="Unloaded Pickup" dataDxfId="20"/>
    <tableColumn id="17" name="Unloaded Dropoff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2" displayName="Table12" ref="A1:A125" headerRowCount="1" totalsRowShown="0" headerRowDxfId="16" headerRowBorderDxfId="15" tableBorderDxfId="14" totalsRowBorderDxfId="13">
  <autoFilter ref="A1:A125"/>
  <sortState ref="A2:A71">
    <sortCondition ref="A1:A71"/>
  </sortState>
  <tableColumns count="1">
    <tableColumn id="2" name="Destination" dataDxfId="12"/>
  </tableColumns>
  <tableStyleInfo name="Table Style 2" showFirstColumn="0" showLastColumn="0" showRowStripes="1" showColumnStripes="0"/>
</table>
</file>

<file path=xl/tables/table6.xml><?xml version="1.0" encoding="utf-8"?>
<table xmlns="http://schemas.openxmlformats.org/spreadsheetml/2006/main" id="6" name="Insurance_List" displayName="Insurance_List" ref="A1:G30" headerRowCount="1" totalsRowShown="0" headerRowDxfId="11" dataDxfId="10" tableBorderDxfId="9">
  <autoFilter ref="A1:G30"/>
  <sortState ref="A2:G30">
    <sortCondition ref="A1:A30"/>
  </sortState>
  <tableColumns count="7">
    <tableColumn id="2" name="Insurance" dataDxfId="8"/>
    <tableColumn id="3" name="Address" dataDxfId="7"/>
    <tableColumn id="4" name="City" dataDxfId="6"/>
    <tableColumn id="5" name="State" dataDxfId="5"/>
    <tableColumn id="6" name="Zip Code" dataDxfId="4"/>
    <tableColumn id="8" name="Fax" dataDxfId="3"/>
    <tableColumn id="1" name="Alternate  Phone#" dataDxfId="2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549"/>
  <sheetViews>
    <sheetView showGridLines="0" zoomScale="80" zoomScaleNormal="80" workbookViewId="0">
      <pane ySplit="6" topLeftCell="A7" activePane="bottomLeft" state="frozen"/>
      <selection pane="bottomLeft" activeCell="I23" sqref="I23"/>
    </sheetView>
  </sheetViews>
  <sheetFormatPr baseColWidth="8" defaultColWidth="14.42578125" defaultRowHeight="15" customHeight="1"/>
  <cols>
    <col width="9.140625" customWidth="1" style="6" min="1" max="1"/>
    <col width="20" customWidth="1" style="6" min="2" max="2"/>
    <col width="19.5703125" customWidth="1" style="6" min="3" max="3"/>
    <col width="31.85546875" customWidth="1" style="6" min="4" max="4"/>
    <col width="20.7109375" customWidth="1" style="238" min="5" max="5"/>
    <col width="19.140625" customWidth="1" style="238" min="6" max="6"/>
    <col width="19.140625" customWidth="1" style="6" min="7" max="7"/>
    <col width="18.85546875" customWidth="1" style="6" min="8" max="9"/>
    <col width="19" customWidth="1" style="6" min="10" max="10"/>
    <col width="17" customWidth="1" style="6" min="11" max="11"/>
    <col width="22.140625" customWidth="1" style="6" min="12" max="12"/>
    <col width="15.140625" customWidth="1" style="6" min="13" max="13"/>
    <col width="72.7109375" customWidth="1" style="6" min="14" max="14"/>
    <col width="14.42578125" customWidth="1" style="6" min="15" max="16384"/>
  </cols>
  <sheetData>
    <row r="1" ht="15" customHeight="1" s="237">
      <c r="E1" s="6" t="n"/>
      <c r="F1" s="6" t="n"/>
    </row>
    <row r="2" ht="16.5" customHeight="1" s="237">
      <c r="B2" s="142" t="inlineStr">
        <is>
          <t>Total Invoices:</t>
        </is>
      </c>
      <c r="C2" s="153">
        <f>COUNTA(B7:B96053)</f>
        <v/>
      </c>
      <c r="D2" s="1" t="n"/>
      <c r="E2" s="145" t="inlineStr">
        <is>
          <t>Amount Due</t>
        </is>
      </c>
      <c r="F2" s="146" t="inlineStr">
        <is>
          <t>Amount Paid</t>
        </is>
      </c>
      <c r="G2" s="239" t="inlineStr">
        <is>
          <t>Balance</t>
        </is>
      </c>
      <c r="H2" s="145" t="inlineStr">
        <is>
          <t>Invoices Sent</t>
        </is>
      </c>
      <c r="I2" s="146" t="inlineStr">
        <is>
          <t>Invoice Not Sent</t>
        </is>
      </c>
      <c r="J2" s="148" t="inlineStr">
        <is>
          <t xml:space="preserve">Paid </t>
        </is>
      </c>
      <c r="K2" s="149" t="inlineStr">
        <is>
          <t>Not Paid</t>
        </is>
      </c>
      <c r="L2" s="150" t="inlineStr">
        <is>
          <t xml:space="preserve">Partial </t>
        </is>
      </c>
      <c r="M2" s="151" t="inlineStr">
        <is>
          <t>Overpaid</t>
        </is>
      </c>
      <c r="N2" s="2" t="n"/>
    </row>
    <row r="3" ht="16.5" customHeight="1" s="237">
      <c r="B3" s="3" t="n"/>
      <c r="C3" s="4" t="n"/>
      <c r="D3" s="1" t="n"/>
      <c r="E3" s="240">
        <f>SUM(G7:G6047)</f>
        <v/>
      </c>
      <c r="F3" s="241">
        <f>SUM(J7:J6052)</f>
        <v/>
      </c>
      <c r="G3" s="242">
        <f>SUM(K7:K6052)</f>
        <v/>
      </c>
      <c r="H3" s="175">
        <f>COUNTIF('INVOICE TRACKER'!$H$7:$H$7,"Sent")</f>
        <v/>
      </c>
      <c r="I3" s="176">
        <f>COUNTIF('INVOICE TRACKER'!$H$7:$H$7,"MACP")</f>
        <v/>
      </c>
      <c r="J3" s="175">
        <f>COUNTIF('INVOICE TRACKER'!$L$7:$L$7,"Paid")</f>
        <v/>
      </c>
      <c r="K3" s="176">
        <f>COUNTIF('INVOICE TRACKER'!$L$7:$L$7,"Not Paid")</f>
        <v/>
      </c>
      <c r="L3" s="175">
        <f>COUNTIF('INVOICE TRACKER'!$L$7:$L$7,"Partial Payment")</f>
        <v/>
      </c>
      <c r="M3" s="176">
        <f>COUNTIF('INVOICE TRACKER'!$L$7:$L$7,"Over Paid")</f>
        <v/>
      </c>
      <c r="N3" s="2" t="n"/>
    </row>
    <row r="4" ht="16.5" customHeight="1" s="237">
      <c r="B4" s="3" t="n"/>
      <c r="C4" s="4" t="n"/>
      <c r="D4" s="1" t="n"/>
      <c r="E4" s="4" t="n"/>
      <c r="F4" s="4" t="n"/>
      <c r="G4" s="243" t="n"/>
      <c r="K4" s="244" t="inlineStr">
        <is>
          <t>Automatically populated</t>
        </is>
      </c>
      <c r="L4" s="245" t="n"/>
      <c r="M4" s="245" t="n"/>
      <c r="N4" s="2" t="n"/>
    </row>
    <row r="5" ht="16.5" customHeight="1" s="237">
      <c r="B5" s="246" t="inlineStr">
        <is>
          <t>Invoices</t>
        </is>
      </c>
    </row>
    <row r="6" ht="16.5" customHeight="1" s="237">
      <c r="B6" s="154" t="inlineStr">
        <is>
          <t>Invoice #</t>
        </is>
      </c>
      <c r="C6" s="154" t="inlineStr">
        <is>
          <t>Invoice Date</t>
        </is>
      </c>
      <c r="D6" s="154" t="inlineStr">
        <is>
          <t>Client</t>
        </is>
      </c>
      <c r="E6" s="154" t="inlineStr">
        <is>
          <t>Serviced From</t>
        </is>
      </c>
      <c r="F6" s="154" t="inlineStr">
        <is>
          <t>Serviced Too</t>
        </is>
      </c>
      <c r="G6" s="247" t="inlineStr">
        <is>
          <t>Amount Due</t>
        </is>
      </c>
      <c r="H6" s="154" t="inlineStr">
        <is>
          <t>Invoice Sent</t>
        </is>
      </c>
      <c r="I6" s="154" t="inlineStr">
        <is>
          <t>Date Sent</t>
        </is>
      </c>
      <c r="J6" s="154" t="inlineStr">
        <is>
          <t>Amount Paid</t>
        </is>
      </c>
      <c r="K6" s="247" t="inlineStr">
        <is>
          <t>Balance</t>
        </is>
      </c>
      <c r="L6" s="154" t="inlineStr">
        <is>
          <t>Payment</t>
        </is>
      </c>
      <c r="M6" s="154" t="inlineStr">
        <is>
          <t>Overdue</t>
        </is>
      </c>
      <c r="N6" s="156" t="inlineStr">
        <is>
          <t>Notes</t>
        </is>
      </c>
    </row>
    <row r="7" ht="16.5" customHeight="1" s="237">
      <c r="B7" s="110" t="n"/>
      <c r="C7" s="248" t="n"/>
      <c r="D7" s="112" t="n"/>
      <c r="E7" s="248" t="n"/>
      <c r="F7" s="248" t="n"/>
      <c r="G7" s="249" t="n"/>
      <c r="H7" s="114" t="n"/>
      <c r="I7" s="250" t="n"/>
      <c r="J7" s="251" t="n"/>
      <c r="K7" s="252" t="n"/>
      <c r="L7" s="253" t="n"/>
      <c r="M7" s="254" t="n"/>
      <c r="N7" s="117" t="n"/>
    </row>
    <row r="8" ht="16.5" customHeight="1" s="237"/>
    <row r="9" ht="16.5" customHeight="1" s="237"/>
    <row r="10" ht="16.5" customHeight="1" s="237"/>
    <row r="11" ht="16.5" customHeight="1" s="237"/>
    <row r="12" ht="16.5" customHeight="1" s="237"/>
    <row r="13" ht="16.5" customHeight="1" s="237"/>
    <row r="14" ht="16.5" customHeight="1" s="237"/>
    <row r="15" ht="16.5" customHeight="1" s="237"/>
    <row r="16" ht="16.5" customHeight="1" s="237"/>
    <row r="17" ht="16.5" customHeight="1" s="237"/>
    <row r="18" ht="16.5" customHeight="1" s="237"/>
    <row r="19" ht="16.5" customHeight="1" s="237"/>
    <row r="20" ht="16.5" customHeight="1" s="237"/>
    <row r="21" ht="16.5" customHeight="1" s="237"/>
    <row r="22" ht="16.5" customHeight="1" s="237"/>
    <row r="23" ht="16.5" customHeight="1" s="237"/>
    <row r="24" ht="16.5" customHeight="1" s="237"/>
    <row r="25" ht="16.5" customHeight="1" s="237"/>
    <row r="26" ht="16.5" customHeight="1" s="237"/>
    <row r="27" ht="16.5" customHeight="1" s="237"/>
    <row r="28" ht="16.5" customHeight="1" s="237"/>
    <row r="29" ht="16.5" customHeight="1" s="237"/>
    <row r="30" ht="16.5" customHeight="1" s="237"/>
    <row r="31" ht="16.5" customHeight="1" s="237"/>
    <row r="32" ht="16.5" customHeight="1" s="237"/>
    <row r="33" ht="16.5" customHeight="1" s="237"/>
    <row r="34" ht="16.5" customHeight="1" s="237"/>
    <row r="35" ht="16.5" customHeight="1" s="237"/>
    <row r="36" ht="16.5" customHeight="1" s="237"/>
    <row r="37" ht="16.5" customHeight="1" s="237"/>
    <row r="38" ht="16.5" customHeight="1" s="237"/>
    <row r="39" ht="16.5" customHeight="1" s="237"/>
    <row r="40" ht="16.5" customHeight="1" s="237"/>
    <row r="41" ht="16.5" customHeight="1" s="237"/>
    <row r="42" ht="16.5" customHeight="1" s="237"/>
    <row r="43" ht="16.5" customHeight="1" s="237"/>
    <row r="44" ht="16.5" customHeight="1" s="237"/>
    <row r="45" ht="16.5" customHeight="1" s="237"/>
    <row r="46" ht="16.5" customHeight="1" s="237"/>
    <row r="47" ht="16.5" customHeight="1" s="237"/>
    <row r="48" ht="16.5" customHeight="1" s="237"/>
    <row r="49" ht="16.5" customHeight="1" s="237"/>
    <row r="50" ht="16.5" customHeight="1" s="237"/>
    <row r="51" ht="16.5" customHeight="1" s="237"/>
    <row r="52" ht="16.5" customHeight="1" s="237"/>
    <row r="53" ht="16.5" customHeight="1" s="237"/>
    <row r="54" ht="16.5" customHeight="1" s="237"/>
    <row r="55" ht="16.5" customHeight="1" s="237"/>
    <row r="56" ht="16.5" customHeight="1" s="237"/>
    <row r="57" ht="16.5" customHeight="1" s="237"/>
    <row r="58" ht="16.5" customHeight="1" s="237"/>
    <row r="59" ht="16.5" customHeight="1" s="237"/>
    <row r="60" ht="16.5" customHeight="1" s="237"/>
    <row r="61" ht="16.5" customHeight="1" s="237"/>
    <row r="62" ht="16.5" customHeight="1" s="237"/>
    <row r="63" ht="16.5" customHeight="1" s="237"/>
    <row r="64" ht="16.5" customHeight="1" s="237"/>
    <row r="65" ht="16.5" customHeight="1" s="237"/>
    <row r="66" ht="16.5" customHeight="1" s="237"/>
    <row r="67" ht="16.5" customHeight="1" s="237"/>
    <row r="68" ht="16.5" customHeight="1" s="237"/>
    <row r="69" ht="16.5" customHeight="1" s="237"/>
    <row r="70" ht="16.5" customHeight="1" s="237"/>
    <row r="71" ht="16.5" customHeight="1" s="237"/>
    <row r="72" ht="16.5" customHeight="1" s="237"/>
    <row r="73" ht="16.5" customHeight="1" s="237"/>
    <row r="74" ht="16.5" customHeight="1" s="237"/>
    <row r="75" ht="16.5" customHeight="1" s="237"/>
    <row r="76" ht="16.5" customHeight="1" s="237"/>
    <row r="77" ht="16.5" customHeight="1" s="237"/>
    <row r="78" ht="16.5" customHeight="1" s="237"/>
    <row r="79" ht="16.5" customHeight="1" s="237"/>
    <row r="80" ht="16.5" customHeight="1" s="237"/>
    <row r="81" ht="16.5" customHeight="1" s="237"/>
    <row r="82" ht="16.5" customHeight="1" s="237"/>
    <row r="83" ht="16.5" customHeight="1" s="237"/>
    <row r="84" ht="16.5" customHeight="1" s="237"/>
    <row r="85" ht="16.5" customHeight="1" s="237"/>
    <row r="86" ht="16.5" customHeight="1" s="237"/>
    <row r="87" ht="16.5" customHeight="1" s="237"/>
    <row r="88" ht="16.5" customHeight="1" s="237"/>
    <row r="89" ht="16.5" customHeight="1" s="237"/>
    <row r="90" ht="16.5" customHeight="1" s="237"/>
    <row r="91" ht="16.5" customHeight="1" s="237"/>
    <row r="92" ht="16.5" customHeight="1" s="237"/>
    <row r="93" ht="16.5" customHeight="1" s="237"/>
    <row r="94" ht="16.5" customHeight="1" s="237"/>
    <row r="95" ht="16.5" customHeight="1" s="237"/>
    <row r="96" ht="16.5" customHeight="1" s="237"/>
    <row r="97" ht="16.5" customHeight="1" s="237"/>
    <row r="98" ht="16.5" customHeight="1" s="237"/>
    <row r="99" ht="16.5" customHeight="1" s="237"/>
    <row r="100" ht="16.5" customHeight="1" s="237"/>
    <row r="101" ht="16.5" customHeight="1" s="237"/>
    <row r="102" ht="16.5" customHeight="1" s="237"/>
    <row r="103" ht="16.5" customHeight="1" s="237"/>
    <row r="104" ht="16.5" customHeight="1" s="237"/>
    <row r="105" ht="16.5" customHeight="1" s="237"/>
    <row r="106" ht="16.5" customHeight="1" s="237"/>
    <row r="107" ht="16.5" customHeight="1" s="237"/>
    <row r="108" ht="16.5" customHeight="1" s="237"/>
    <row r="109" ht="16.5" customHeight="1" s="237"/>
    <row r="110" ht="16.5" customHeight="1" s="237"/>
    <row r="111" ht="16.5" customHeight="1" s="237"/>
    <row r="112" ht="16.5" customHeight="1" s="237"/>
    <row r="113" ht="16.5" customHeight="1" s="237"/>
    <row r="114" ht="16.5" customHeight="1" s="237"/>
    <row r="115" ht="16.5" customHeight="1" s="237"/>
    <row r="116" ht="16.5" customHeight="1" s="237"/>
    <row r="117" ht="16.5" customHeight="1" s="237"/>
    <row r="118" ht="16.5" customHeight="1" s="237"/>
    <row r="119" ht="16.5" customHeight="1" s="237"/>
    <row r="120" ht="16.5" customHeight="1" s="237"/>
    <row r="121" ht="16.5" customHeight="1" s="237"/>
    <row r="122" ht="16.5" customHeight="1" s="237"/>
    <row r="123" ht="16.5" customHeight="1" s="237"/>
    <row r="124" ht="16.5" customHeight="1" s="237"/>
    <row r="125" ht="16.5" customHeight="1" s="237"/>
    <row r="126" ht="16.5" customHeight="1" s="237"/>
    <row r="127" ht="16.5" customHeight="1" s="237"/>
    <row r="128" ht="16.5" customHeight="1" s="237"/>
    <row r="129" ht="16.5" customHeight="1" s="237"/>
    <row r="130" ht="16.5" customHeight="1" s="237"/>
    <row r="131" ht="16.5" customHeight="1" s="237"/>
    <row r="132" ht="16.5" customHeight="1" s="237"/>
    <row r="133" ht="16.5" customHeight="1" s="237"/>
    <row r="134" ht="16.5" customHeight="1" s="237"/>
    <row r="135" ht="16.5" customHeight="1" s="237"/>
    <row r="136" ht="16.5" customHeight="1" s="237"/>
    <row r="137" ht="16.5" customHeight="1" s="237"/>
    <row r="138" ht="16.5" customHeight="1" s="237"/>
    <row r="139" ht="16.5" customHeight="1" s="237"/>
    <row r="140" ht="16.5" customHeight="1" s="237"/>
    <row r="141" ht="16.5" customHeight="1" s="237"/>
    <row r="142" ht="16.5" customHeight="1" s="237"/>
    <row r="143" ht="16.5" customHeight="1" s="237"/>
    <row r="144" ht="16.5" customHeight="1" s="237"/>
    <row r="145" ht="16.5" customHeight="1" s="237"/>
    <row r="146" ht="16.5" customHeight="1" s="237"/>
    <row r="147" ht="16.5" customHeight="1" s="237"/>
    <row r="148" ht="16.5" customHeight="1" s="237"/>
    <row r="149" ht="16.5" customHeight="1" s="237"/>
    <row r="150" ht="16.5" customHeight="1" s="237"/>
    <row r="151" ht="16.5" customHeight="1" s="237"/>
    <row r="152" ht="16.5" customHeight="1" s="237"/>
    <row r="153" ht="16.5" customHeight="1" s="237"/>
    <row r="154" ht="16.5" customHeight="1" s="237"/>
    <row r="155" ht="16.5" customHeight="1" s="237"/>
    <row r="156" ht="16.5" customHeight="1" s="237"/>
    <row r="157" ht="16.5" customHeight="1" s="237"/>
    <row r="158" ht="16.5" customHeight="1" s="237"/>
    <row r="159" ht="16.5" customHeight="1" s="237"/>
    <row r="160" ht="16.5" customHeight="1" s="237"/>
    <row r="161" ht="16.5" customHeight="1" s="237"/>
    <row r="162" ht="16.5" customHeight="1" s="237"/>
    <row r="163" ht="16.5" customHeight="1" s="237"/>
    <row r="164" ht="16.5" customHeight="1" s="237"/>
    <row r="165" ht="16.5" customHeight="1" s="237"/>
    <row r="166" ht="16.5" customHeight="1" s="237"/>
    <row r="167" ht="16.5" customHeight="1" s="237"/>
    <row r="168" ht="16.5" customHeight="1" s="237"/>
    <row r="169" ht="16.5" customHeight="1" s="237"/>
    <row r="170" ht="16.5" customHeight="1" s="237"/>
    <row r="171" ht="16.5" customHeight="1" s="237"/>
    <row r="172" ht="16.5" customHeight="1" s="237"/>
    <row r="173" ht="16.5" customHeight="1" s="237"/>
    <row r="174" ht="16.5" customHeight="1" s="237"/>
    <row r="175" ht="16.5" customHeight="1" s="237"/>
    <row r="176" ht="16.5" customHeight="1" s="237"/>
    <row r="177" ht="16.5" customHeight="1" s="237"/>
    <row r="178" ht="16.5" customHeight="1" s="237"/>
    <row r="179" ht="16.5" customHeight="1" s="237"/>
    <row r="180" ht="16.5" customHeight="1" s="237"/>
    <row r="181" ht="16.5" customHeight="1" s="237"/>
    <row r="182" ht="16.5" customHeight="1" s="237"/>
    <row r="183" ht="16.5" customHeight="1" s="237"/>
    <row r="184" ht="16.5" customHeight="1" s="237"/>
    <row r="185" ht="16.5" customHeight="1" s="237"/>
    <row r="186" ht="16.5" customHeight="1" s="237"/>
    <row r="187" ht="16.5" customHeight="1" s="237"/>
    <row r="188" ht="16.5" customHeight="1" s="237"/>
    <row r="189" ht="16.5" customHeight="1" s="237"/>
    <row r="190" ht="16.5" customHeight="1" s="237"/>
    <row r="191" ht="16.5" customHeight="1" s="237"/>
    <row r="192" ht="16.5" customHeight="1" s="237"/>
    <row r="193" ht="16.5" customHeight="1" s="237"/>
    <row r="194" ht="16.5" customHeight="1" s="237"/>
    <row r="195" ht="16.5" customHeight="1" s="237"/>
    <row r="196" ht="16.5" customHeight="1" s="237"/>
    <row r="197" ht="16.5" customHeight="1" s="237"/>
    <row r="198" ht="16.5" customHeight="1" s="237"/>
    <row r="199" ht="16.5" customHeight="1" s="237"/>
    <row r="200" ht="16.5" customHeight="1" s="237"/>
    <row r="201" ht="16.5" customHeight="1" s="237"/>
    <row r="202" ht="16.5" customHeight="1" s="237"/>
    <row r="203" ht="16.5" customHeight="1" s="237"/>
    <row r="204" ht="16.5" customHeight="1" s="237"/>
    <row r="205" ht="16.5" customHeight="1" s="237"/>
    <row r="206" ht="16.5" customHeight="1" s="237"/>
    <row r="207" ht="16.5" customHeight="1" s="237"/>
    <row r="208" ht="16.5" customHeight="1" s="237"/>
    <row r="209" ht="16.5" customHeight="1" s="237"/>
    <row r="210" ht="16.5" customHeight="1" s="237"/>
    <row r="211" ht="16.5" customHeight="1" s="237"/>
    <row r="212" ht="16.5" customHeight="1" s="237"/>
    <row r="213" ht="16.5" customHeight="1" s="237"/>
    <row r="214" ht="16.5" customHeight="1" s="237"/>
    <row r="215" ht="16.5" customHeight="1" s="237"/>
    <row r="216" ht="16.5" customHeight="1" s="237"/>
    <row r="217" ht="16.5" customHeight="1" s="237"/>
    <row r="218" ht="16.5" customHeight="1" s="237"/>
    <row r="219" ht="16.5" customHeight="1" s="237"/>
    <row r="220" ht="16.5" customHeight="1" s="237"/>
    <row r="221" ht="16.5" customHeight="1" s="237"/>
    <row r="222" ht="16.5" customHeight="1" s="237"/>
    <row r="223" ht="16.5" customHeight="1" s="237"/>
    <row r="224" ht="16.5" customHeight="1" s="237"/>
    <row r="225" ht="16.5" customHeight="1" s="237"/>
    <row r="226" ht="16.5" customHeight="1" s="237"/>
    <row r="227" ht="16.5" customHeight="1" s="237"/>
    <row r="228" ht="16.5" customHeight="1" s="237"/>
    <row r="229" ht="16.5" customHeight="1" s="237"/>
    <row r="230" ht="16.5" customHeight="1" s="237"/>
    <row r="231" ht="16.5" customHeight="1" s="237"/>
    <row r="232" ht="16.5" customHeight="1" s="237"/>
    <row r="233" ht="16.5" customHeight="1" s="237"/>
    <row r="234" ht="16.5" customHeight="1" s="237"/>
    <row r="235" ht="16.5" customHeight="1" s="237"/>
    <row r="236" ht="16.5" customHeight="1" s="237"/>
    <row r="237" ht="16.5" customHeight="1" s="237"/>
    <row r="238" ht="16.5" customHeight="1" s="237"/>
    <row r="239" ht="16.5" customHeight="1" s="237"/>
    <row r="240" ht="16.5" customHeight="1" s="237"/>
    <row r="241" ht="16.5" customHeight="1" s="237"/>
    <row r="242" ht="16.5" customHeight="1" s="237"/>
    <row r="243" ht="16.5" customHeight="1" s="237"/>
    <row r="244" ht="16.5" customHeight="1" s="237"/>
    <row r="245" ht="16.5" customHeight="1" s="237"/>
    <row r="246" ht="16.5" customHeight="1" s="237"/>
    <row r="247" ht="16.5" customHeight="1" s="237"/>
    <row r="248" ht="16.5" customHeight="1" s="237"/>
    <row r="249" ht="16.5" customHeight="1" s="237"/>
    <row r="250" ht="16.5" customHeight="1" s="237"/>
    <row r="251" ht="16.5" customHeight="1" s="237"/>
    <row r="252" ht="16.5" customHeight="1" s="237"/>
    <row r="253" ht="16.5" customHeight="1" s="237"/>
    <row r="254" ht="16.5" customHeight="1" s="237"/>
    <row r="255" ht="16.5" customHeight="1" s="237"/>
    <row r="256" ht="16.5" customHeight="1" s="237"/>
    <row r="257" ht="16.5" customHeight="1" s="237"/>
    <row r="258" ht="16.5" customHeight="1" s="237"/>
    <row r="259" ht="16.5" customHeight="1" s="237"/>
    <row r="260" ht="16.5" customHeight="1" s="237"/>
    <row r="261" ht="16.5" customHeight="1" s="237"/>
    <row r="262" ht="16.5" customHeight="1" s="237"/>
    <row r="263" ht="16.5" customHeight="1" s="237"/>
    <row r="264" ht="16.5" customHeight="1" s="237"/>
    <row r="265" ht="16.5" customHeight="1" s="237"/>
    <row r="266" ht="16.5" customHeight="1" s="237"/>
    <row r="267" ht="16.5" customHeight="1" s="237"/>
    <row r="268" ht="16.5" customHeight="1" s="237"/>
    <row r="269" ht="16.5" customHeight="1" s="237"/>
    <row r="270" ht="16.5" customHeight="1" s="237"/>
    <row r="271" ht="16.5" customHeight="1" s="237"/>
    <row r="272" ht="16.5" customHeight="1" s="237"/>
    <row r="273" ht="16.5" customHeight="1" s="237"/>
    <row r="274" ht="16.5" customHeight="1" s="237"/>
    <row r="275" ht="16.5" customHeight="1" s="237"/>
    <row r="276" ht="16.5" customHeight="1" s="237"/>
    <row r="277" ht="16.5" customHeight="1" s="237"/>
    <row r="278" ht="16.5" customHeight="1" s="237"/>
    <row r="279" ht="16.5" customHeight="1" s="237"/>
    <row r="280" ht="16.5" customHeight="1" s="237"/>
    <row r="281" ht="16.5" customHeight="1" s="237"/>
    <row r="282" ht="16.5" customHeight="1" s="237"/>
    <row r="283" ht="16.5" customHeight="1" s="237"/>
    <row r="284" ht="16.5" customHeight="1" s="237"/>
    <row r="285" ht="16.5" customHeight="1" s="237"/>
    <row r="286" ht="16.5" customHeight="1" s="237"/>
    <row r="287" ht="16.5" customHeight="1" s="237"/>
    <row r="288" ht="16.5" customHeight="1" s="237"/>
    <row r="289" ht="16.5" customHeight="1" s="237"/>
    <row r="290" ht="16.5" customHeight="1" s="237"/>
    <row r="291" ht="16.5" customHeight="1" s="237"/>
    <row r="292" ht="16.5" customHeight="1" s="237"/>
    <row r="293" ht="16.5" customHeight="1" s="237"/>
    <row r="294" ht="16.5" customHeight="1" s="237"/>
    <row r="295" ht="16.5" customHeight="1" s="237"/>
    <row r="296" ht="16.5" customHeight="1" s="237"/>
    <row r="297" ht="16.5" customHeight="1" s="237"/>
    <row r="298" ht="16.5" customHeight="1" s="237"/>
    <row r="299" ht="16.5" customHeight="1" s="237"/>
    <row r="300" ht="16.5" customHeight="1" s="237"/>
    <row r="301" ht="16.5" customHeight="1" s="237"/>
    <row r="302" ht="16.5" customHeight="1" s="237"/>
    <row r="303" ht="16.5" customHeight="1" s="237"/>
    <row r="304" ht="16.5" customHeight="1" s="237"/>
    <row r="305" ht="16.5" customHeight="1" s="237"/>
    <row r="306" ht="16.5" customHeight="1" s="237"/>
    <row r="307" ht="16.5" customHeight="1" s="237"/>
    <row r="308" ht="16.5" customHeight="1" s="237"/>
    <row r="309" ht="16.5" customHeight="1" s="237"/>
    <row r="310" ht="16.5" customHeight="1" s="237"/>
    <row r="311" ht="16.5" customHeight="1" s="237"/>
    <row r="312" ht="16.5" customHeight="1" s="237"/>
    <row r="313" ht="16.5" customHeight="1" s="237"/>
    <row r="314" ht="16.5" customHeight="1" s="237"/>
    <row r="315" ht="16.5" customHeight="1" s="237"/>
    <row r="316" ht="16.5" customHeight="1" s="237"/>
    <row r="317" ht="16.5" customHeight="1" s="237"/>
    <row r="318" ht="16.5" customHeight="1" s="237"/>
    <row r="319" ht="16.5" customHeight="1" s="237"/>
    <row r="320" ht="16.5" customHeight="1" s="237"/>
    <row r="321" ht="16.5" customHeight="1" s="237"/>
    <row r="322" ht="16.5" customHeight="1" s="237"/>
    <row r="323" ht="16.5" customHeight="1" s="237"/>
    <row r="324" ht="16.5" customHeight="1" s="237"/>
    <row r="325" ht="16.5" customHeight="1" s="237"/>
    <row r="326" ht="16.5" customHeight="1" s="237"/>
    <row r="327" ht="16.5" customHeight="1" s="237"/>
    <row r="328" ht="16.5" customHeight="1" s="237"/>
    <row r="329" ht="16.5" customHeight="1" s="237"/>
    <row r="330" ht="16.5" customHeight="1" s="237"/>
    <row r="331" ht="16.5" customHeight="1" s="237"/>
    <row r="332" ht="16.5" customHeight="1" s="237"/>
    <row r="333" ht="16.5" customHeight="1" s="237"/>
    <row r="334" ht="16.5" customHeight="1" s="237"/>
    <row r="335" ht="16.5" customHeight="1" s="237"/>
    <row r="336" ht="16.5" customHeight="1" s="237"/>
    <row r="337" ht="16.5" customHeight="1" s="237"/>
    <row r="338" ht="16.5" customHeight="1" s="237"/>
    <row r="339" ht="16.5" customHeight="1" s="237"/>
    <row r="340" ht="16.5" customHeight="1" s="237"/>
    <row r="341" ht="16.5" customHeight="1" s="237"/>
    <row r="342" ht="16.5" customHeight="1" s="237"/>
    <row r="343" ht="16.5" customHeight="1" s="237"/>
    <row r="344" ht="16.5" customHeight="1" s="237"/>
    <row r="345" ht="16.5" customHeight="1" s="237"/>
    <row r="346" ht="16.5" customHeight="1" s="237"/>
    <row r="347" ht="16.5" customHeight="1" s="237"/>
    <row r="348" ht="16.5" customHeight="1" s="237"/>
    <row r="349" ht="16.5" customHeight="1" s="237"/>
    <row r="350" ht="16.5" customHeight="1" s="237"/>
    <row r="351" ht="16.5" customHeight="1" s="237"/>
    <row r="352" ht="16.5" customHeight="1" s="237"/>
    <row r="353" ht="16.5" customHeight="1" s="237"/>
    <row r="354" ht="16.5" customHeight="1" s="237"/>
    <row r="355" ht="16.5" customHeight="1" s="237"/>
    <row r="356" ht="16.5" customHeight="1" s="237"/>
    <row r="357" ht="16.5" customHeight="1" s="237"/>
    <row r="358" ht="16.5" customHeight="1" s="237"/>
    <row r="359" ht="16.5" customHeight="1" s="237"/>
    <row r="360" ht="16.5" customHeight="1" s="237"/>
    <row r="361" ht="16.5" customHeight="1" s="237"/>
    <row r="362" ht="16.5" customHeight="1" s="237"/>
    <row r="363" ht="16.5" customHeight="1" s="237"/>
    <row r="364" ht="16.5" customHeight="1" s="237"/>
    <row r="365" ht="16.5" customHeight="1" s="237"/>
    <row r="366" ht="16.5" customHeight="1" s="237"/>
    <row r="367" ht="16.5" customHeight="1" s="237"/>
    <row r="368" ht="16.5" customHeight="1" s="237"/>
    <row r="369" ht="16.5" customHeight="1" s="237"/>
    <row r="370" ht="16.5" customHeight="1" s="237"/>
    <row r="371" ht="16.5" customHeight="1" s="237"/>
    <row r="372" ht="16.5" customHeight="1" s="237"/>
    <row r="373" ht="16.5" customHeight="1" s="237"/>
    <row r="374" ht="16.5" customHeight="1" s="237"/>
    <row r="375" ht="16.5" customHeight="1" s="237"/>
    <row r="376" ht="16.5" customHeight="1" s="237"/>
    <row r="377" ht="16.5" customHeight="1" s="237"/>
    <row r="378" ht="16.5" customHeight="1" s="237"/>
    <row r="379" ht="16.5" customHeight="1" s="237"/>
    <row r="380" ht="16.5" customHeight="1" s="237"/>
    <row r="381" ht="16.5" customHeight="1" s="237"/>
    <row r="382" ht="16.5" customHeight="1" s="237"/>
    <row r="383" ht="16.5" customHeight="1" s="237"/>
    <row r="384" ht="16.5" customHeight="1" s="237"/>
    <row r="385" ht="16.5" customHeight="1" s="237"/>
    <row r="386" ht="16.5" customHeight="1" s="237"/>
    <row r="387" ht="16.5" customHeight="1" s="237"/>
    <row r="388" ht="16.5" customHeight="1" s="237"/>
    <row r="389" ht="16.5" customHeight="1" s="237"/>
    <row r="390" ht="16.5" customHeight="1" s="237"/>
    <row r="391" ht="16.5" customHeight="1" s="237"/>
    <row r="392" ht="16.5" customHeight="1" s="237"/>
    <row r="393" ht="16.5" customHeight="1" s="237"/>
    <row r="394" ht="16.5" customHeight="1" s="237"/>
    <row r="395" ht="16.5" customHeight="1" s="237"/>
    <row r="396" ht="16.5" customHeight="1" s="237"/>
    <row r="397" ht="16.5" customHeight="1" s="237"/>
    <row r="398" ht="16.5" customHeight="1" s="237"/>
    <row r="399" ht="16.5" customHeight="1" s="237"/>
    <row r="400" ht="16.5" customHeight="1" s="237"/>
    <row r="401" ht="16.5" customHeight="1" s="237"/>
    <row r="402" ht="16.5" customHeight="1" s="237"/>
    <row r="403" ht="16.5" customHeight="1" s="237"/>
    <row r="404" ht="16.5" customHeight="1" s="237"/>
    <row r="405" ht="16.5" customHeight="1" s="237"/>
    <row r="406" ht="16.5" customHeight="1" s="237"/>
    <row r="407" ht="16.5" customHeight="1" s="237"/>
    <row r="408" ht="16.5" customHeight="1" s="237"/>
    <row r="409" ht="16.5" customHeight="1" s="237"/>
    <row r="410" ht="16.5" customHeight="1" s="237"/>
    <row r="411" ht="16.5" customHeight="1" s="237"/>
    <row r="412" ht="16.5" customHeight="1" s="237"/>
    <row r="413" ht="16.5" customHeight="1" s="237"/>
    <row r="414" ht="16.5" customHeight="1" s="237"/>
    <row r="415" ht="16.5" customHeight="1" s="237"/>
    <row r="416" ht="16.5" customHeight="1" s="237"/>
    <row r="417" ht="16.5" customHeight="1" s="237"/>
    <row r="418" ht="16.5" customHeight="1" s="237"/>
    <row r="419" ht="16.5" customHeight="1" s="237"/>
    <row r="420" ht="16.5" customHeight="1" s="237"/>
    <row r="421" ht="16.5" customHeight="1" s="237"/>
    <row r="422" ht="16.5" customHeight="1" s="237"/>
    <row r="423" ht="16.5" customHeight="1" s="237"/>
    <row r="424" ht="16.5" customHeight="1" s="237"/>
    <row r="425" ht="16.5" customHeight="1" s="237"/>
    <row r="426" ht="16.5" customHeight="1" s="237"/>
    <row r="427" ht="16.5" customHeight="1" s="237"/>
    <row r="428" ht="16.5" customHeight="1" s="237"/>
    <row r="429" ht="16.5" customHeight="1" s="237"/>
    <row r="430" ht="16.5" customHeight="1" s="237"/>
    <row r="431" ht="16.5" customHeight="1" s="237"/>
    <row r="432" ht="16.5" customHeight="1" s="237"/>
    <row r="433" ht="16.5" customHeight="1" s="237"/>
    <row r="434" ht="16.5" customHeight="1" s="237"/>
    <row r="435" ht="16.5" customHeight="1" s="237"/>
    <row r="436" ht="16.5" customHeight="1" s="237"/>
    <row r="437" ht="16.5" customHeight="1" s="237"/>
    <row r="438" ht="16.5" customHeight="1" s="237"/>
    <row r="439" ht="16.5" customHeight="1" s="237"/>
    <row r="440" ht="16.5" customHeight="1" s="237"/>
    <row r="441" ht="16.5" customHeight="1" s="237"/>
    <row r="442" ht="16.5" customHeight="1" s="237"/>
    <row r="443" ht="16.5" customHeight="1" s="237"/>
    <row r="444" ht="16.5" customHeight="1" s="237"/>
    <row r="445" ht="16.5" customHeight="1" s="237"/>
    <row r="446" ht="16.5" customHeight="1" s="237"/>
    <row r="447" ht="16.5" customHeight="1" s="237"/>
    <row r="448" ht="16.5" customHeight="1" s="237"/>
    <row r="449" ht="16.5" customHeight="1" s="237"/>
    <row r="450" ht="16.5" customHeight="1" s="237"/>
    <row r="451" ht="16.5" customHeight="1" s="237"/>
    <row r="452" ht="16.5" customHeight="1" s="237"/>
    <row r="453" ht="16.5" customHeight="1" s="237"/>
    <row r="454" ht="16.5" customHeight="1" s="237"/>
    <row r="455" ht="16.5" customHeight="1" s="237"/>
    <row r="456" ht="16.5" customHeight="1" s="237"/>
    <row r="457" ht="16.5" customHeight="1" s="237"/>
    <row r="458" ht="16.5" customHeight="1" s="237"/>
    <row r="459" ht="16.5" customHeight="1" s="237"/>
    <row r="460" ht="16.5" customHeight="1" s="237"/>
    <row r="461" ht="16.5" customHeight="1" s="237"/>
    <row r="462" ht="16.5" customHeight="1" s="237"/>
    <row r="463" ht="16.5" customHeight="1" s="237"/>
    <row r="464" ht="16.5" customHeight="1" s="237"/>
    <row r="465" ht="16.5" customHeight="1" s="237"/>
    <row r="466" ht="16.5" customHeight="1" s="237"/>
    <row r="467" ht="16.5" customHeight="1" s="237"/>
    <row r="468" ht="16.5" customHeight="1" s="237"/>
    <row r="469" ht="16.5" customHeight="1" s="237"/>
    <row r="470" ht="16.5" customHeight="1" s="237"/>
    <row r="471" ht="16.5" customHeight="1" s="237"/>
    <row r="472" ht="16.5" customHeight="1" s="237"/>
    <row r="473" ht="16.5" customHeight="1" s="237"/>
    <row r="474" ht="16.5" customHeight="1" s="237"/>
    <row r="475" ht="16.5" customHeight="1" s="237"/>
    <row r="476" ht="16.5" customHeight="1" s="237"/>
    <row r="477" ht="16.5" customHeight="1" s="237"/>
    <row r="478" ht="16.5" customHeight="1" s="237"/>
    <row r="479" ht="16.5" customHeight="1" s="237"/>
    <row r="480" ht="16.5" customHeight="1" s="237"/>
    <row r="481" ht="16.5" customHeight="1" s="237"/>
    <row r="482" ht="16.5" customHeight="1" s="237"/>
    <row r="483" ht="16.5" customHeight="1" s="237"/>
    <row r="484" ht="16.5" customHeight="1" s="237"/>
    <row r="485" ht="16.5" customHeight="1" s="237"/>
    <row r="486" ht="16.5" customHeight="1" s="237"/>
    <row r="487" ht="16.5" customHeight="1" s="237"/>
    <row r="488" ht="16.5" customHeight="1" s="237"/>
    <row r="489" ht="16.5" customHeight="1" s="237"/>
    <row r="490" ht="16.5" customHeight="1" s="237"/>
    <row r="491" ht="16.5" customHeight="1" s="237"/>
    <row r="492" ht="16.5" customHeight="1" s="237"/>
    <row r="493" ht="16.5" customHeight="1" s="237"/>
    <row r="494" ht="16.5" customHeight="1" s="237"/>
    <row r="495" ht="16.5" customHeight="1" s="237"/>
    <row r="496" ht="16.5" customHeight="1" s="237"/>
    <row r="497" ht="16.5" customHeight="1" s="237"/>
    <row r="498" ht="16.5" customHeight="1" s="237"/>
    <row r="499" ht="16.5" customHeight="1" s="237"/>
    <row r="500" ht="16.5" customHeight="1" s="237"/>
    <row r="501" ht="16.5" customHeight="1" s="237"/>
    <row r="502" ht="16.5" customHeight="1" s="237"/>
    <row r="503" ht="16.5" customHeight="1" s="237"/>
    <row r="504" ht="16.5" customHeight="1" s="237"/>
    <row r="505" ht="16.5" customHeight="1" s="237"/>
    <row r="506" ht="16.5" customHeight="1" s="237"/>
    <row r="507" ht="16.5" customHeight="1" s="237"/>
    <row r="508" ht="16.5" customHeight="1" s="237"/>
    <row r="509" ht="16.5" customHeight="1" s="237"/>
    <row r="510" ht="16.5" customHeight="1" s="237"/>
    <row r="511" ht="16.5" customHeight="1" s="237"/>
    <row r="512" ht="16.5" customHeight="1" s="237"/>
    <row r="513" ht="16.5" customHeight="1" s="237"/>
    <row r="514" ht="16.5" customHeight="1" s="237"/>
    <row r="515" ht="16.5" customHeight="1" s="237"/>
    <row r="516" ht="16.5" customHeight="1" s="237"/>
    <row r="517" ht="16.5" customHeight="1" s="237"/>
    <row r="518" ht="16.5" customHeight="1" s="237"/>
    <row r="519" ht="16.5" customHeight="1" s="237"/>
    <row r="520" ht="16.5" customHeight="1" s="237"/>
    <row r="521" ht="16.5" customHeight="1" s="237"/>
    <row r="522" ht="16.5" customHeight="1" s="237"/>
    <row r="523" ht="16.5" customHeight="1" s="237"/>
    <row r="524" ht="16.5" customHeight="1" s="237"/>
    <row r="525" ht="16.5" customHeight="1" s="237"/>
    <row r="526" ht="16.5" customHeight="1" s="237"/>
    <row r="527" ht="16.5" customHeight="1" s="237"/>
    <row r="528" ht="16.5" customHeight="1" s="237"/>
    <row r="529" ht="16.5" customHeight="1" s="237"/>
    <row r="530" ht="16.5" customHeight="1" s="237"/>
    <row r="531" ht="16.5" customHeight="1" s="237"/>
    <row r="532" ht="16.5" customHeight="1" s="237"/>
    <row r="533" ht="16.5" customHeight="1" s="237"/>
    <row r="534" ht="16.5" customHeight="1" s="237"/>
    <row r="535" ht="16.5" customHeight="1" s="237"/>
    <row r="536" ht="16.5" customHeight="1" s="237"/>
    <row r="537" ht="16.5" customHeight="1" s="237"/>
    <row r="538" ht="16.5" customHeight="1" s="237"/>
    <row r="539" ht="16.5" customHeight="1" s="237"/>
    <row r="540" ht="16.5" customHeight="1" s="237"/>
    <row r="541" ht="16.5" customHeight="1" s="237"/>
    <row r="542" ht="16.5" customHeight="1" s="237"/>
    <row r="543" ht="16.5" customHeight="1" s="237"/>
    <row r="544" ht="16.5" customHeight="1" s="237"/>
    <row r="545" ht="16.5" customHeight="1" s="237"/>
    <row r="546" ht="16.5" customHeight="1" s="237"/>
    <row r="547" ht="16.5" customHeight="1" s="237"/>
    <row r="548" ht="16.5" customHeight="1" s="237"/>
    <row r="549" ht="16.5" customHeight="1" s="237">
      <c r="A549" s="6" t="inlineStr">
        <is>
          <t>    </t>
        </is>
      </c>
    </row>
    <row r="550" ht="16.5" customHeight="1" s="237"/>
    <row r="551" ht="16.5" customHeight="1" s="237"/>
    <row r="552" ht="16.5" customHeight="1" s="237"/>
    <row r="553" ht="16.5" customHeight="1" s="237"/>
    <row r="554" ht="16.5" customHeight="1" s="237"/>
    <row r="555" ht="16.5" customHeight="1" s="237"/>
    <row r="556" ht="16.5" customHeight="1" s="237"/>
    <row r="557" ht="16.5" customHeight="1" s="237"/>
    <row r="558" ht="16.5" customHeight="1" s="237"/>
    <row r="559" ht="16.5" customHeight="1" s="237"/>
    <row r="560" ht="16.5" customHeight="1" s="237"/>
    <row r="561" ht="16.5" customHeight="1" s="237"/>
    <row r="562" ht="16.5" customHeight="1" s="237"/>
    <row r="563" ht="16.5" customHeight="1" s="237"/>
    <row r="564" ht="16.5" customHeight="1" s="237"/>
    <row r="565" ht="16.5" customHeight="1" s="237"/>
    <row r="566" ht="16.5" customHeight="1" s="237"/>
    <row r="567" ht="16.5" customHeight="1" s="237"/>
    <row r="568" ht="16.5" customHeight="1" s="237"/>
    <row r="569" ht="16.5" customHeight="1" s="237"/>
    <row r="570" ht="16.5" customHeight="1" s="237"/>
    <row r="571" ht="16.5" customHeight="1" s="237"/>
    <row r="572" ht="16.5" customHeight="1" s="237"/>
    <row r="573" ht="16.5" customHeight="1" s="237"/>
    <row r="574" ht="16.5" customHeight="1" s="237"/>
    <row r="575" ht="16.5" customHeight="1" s="237"/>
    <row r="576" ht="16.5" customHeight="1" s="237"/>
    <row r="577" ht="16.5" customHeight="1" s="237"/>
    <row r="578" ht="16.5" customHeight="1" s="237"/>
    <row r="579" ht="16.5" customHeight="1" s="237"/>
    <row r="580" ht="16.5" customHeight="1" s="237"/>
    <row r="581" ht="16.5" customHeight="1" s="237"/>
    <row r="582" ht="16.5" customHeight="1" s="237"/>
    <row r="583" ht="16.5" customHeight="1" s="237"/>
    <row r="584" ht="16.5" customHeight="1" s="237"/>
    <row r="585" ht="16.5" customHeight="1" s="237"/>
    <row r="586" ht="16.5" customHeight="1" s="237"/>
    <row r="587" ht="16.5" customHeight="1" s="237"/>
    <row r="588" ht="16.5" customHeight="1" s="237"/>
    <row r="589" ht="16.5" customHeight="1" s="237"/>
    <row r="590" ht="16.5" customHeight="1" s="237"/>
    <row r="591" ht="16.5" customHeight="1" s="237"/>
    <row r="592" ht="16.5" customHeight="1" s="237"/>
    <row r="593" ht="16.5" customHeight="1" s="237"/>
    <row r="594" ht="16.5" customHeight="1" s="237"/>
    <row r="595" ht="16.5" customHeight="1" s="237"/>
    <row r="596" ht="16.5" customHeight="1" s="237"/>
    <row r="597" ht="16.5" customHeight="1" s="237"/>
    <row r="598" ht="16.5" customHeight="1" s="237"/>
    <row r="599" ht="16.5" customHeight="1" s="237"/>
    <row r="600" ht="16.5" customHeight="1" s="237"/>
    <row r="601" ht="16.5" customHeight="1" s="237"/>
    <row r="602" ht="16.5" customHeight="1" s="237"/>
    <row r="603" ht="16.5" customHeight="1" s="237"/>
    <row r="604" ht="16.5" customHeight="1" s="237"/>
    <row r="605" ht="16.5" customHeight="1" s="237"/>
    <row r="606" ht="16.5" customHeight="1" s="237"/>
    <row r="607" ht="16.5" customHeight="1" s="237"/>
    <row r="608" ht="16.5" customHeight="1" s="237"/>
    <row r="609" ht="16.5" customHeight="1" s="237"/>
    <row r="610" ht="16.5" customHeight="1" s="237"/>
    <row r="611" ht="16.5" customHeight="1" s="237"/>
    <row r="612" ht="16.5" customHeight="1" s="237"/>
    <row r="613" ht="16.5" customHeight="1" s="237"/>
    <row r="614" ht="16.5" customHeight="1" s="237"/>
    <row r="615" ht="16.5" customHeight="1" s="237"/>
    <row r="616" ht="16.5" customHeight="1" s="237"/>
    <row r="617" ht="16.5" customHeight="1" s="237"/>
    <row r="618" ht="16.5" customHeight="1" s="237"/>
    <row r="619" ht="16.5" customHeight="1" s="237"/>
    <row r="620" ht="16.5" customHeight="1" s="237"/>
    <row r="621" ht="16.5" customHeight="1" s="237"/>
    <row r="622" ht="16.5" customHeight="1" s="237"/>
    <row r="623" ht="16.5" customHeight="1" s="237"/>
    <row r="624" ht="16.5" customHeight="1" s="237"/>
    <row r="625" ht="16.5" customHeight="1" s="237"/>
    <row r="626" ht="16.5" customHeight="1" s="237"/>
    <row r="627" ht="16.5" customHeight="1" s="237"/>
    <row r="628" ht="16.5" customHeight="1" s="237"/>
    <row r="629" ht="16.5" customHeight="1" s="237"/>
    <row r="630" ht="16.5" customHeight="1" s="237"/>
    <row r="631" ht="16.5" customHeight="1" s="237"/>
    <row r="632" ht="16.5" customHeight="1" s="237"/>
    <row r="633" ht="16.5" customHeight="1" s="237"/>
    <row r="634" ht="16.5" customHeight="1" s="237"/>
    <row r="635" ht="16.5" customHeight="1" s="237"/>
    <row r="636" ht="16.5" customHeight="1" s="237"/>
    <row r="637" ht="16.5" customHeight="1" s="237"/>
    <row r="638" ht="16.5" customHeight="1" s="237"/>
    <row r="639" ht="16.5" customHeight="1" s="237"/>
    <row r="640" ht="16.5" customHeight="1" s="237"/>
    <row r="641" ht="16.5" customHeight="1" s="237"/>
    <row r="642" ht="16.5" customHeight="1" s="237"/>
    <row r="643" ht="16.5" customHeight="1" s="237"/>
    <row r="644" ht="16.5" customHeight="1" s="237"/>
    <row r="645" ht="16.5" customHeight="1" s="237"/>
    <row r="646" ht="16.5" customHeight="1" s="237"/>
    <row r="647" ht="16.5" customHeight="1" s="237"/>
    <row r="648" ht="16.5" customHeight="1" s="237"/>
    <row r="649" ht="16.5" customHeight="1" s="237"/>
    <row r="650" ht="16.5" customHeight="1" s="237"/>
    <row r="651" ht="16.5" customHeight="1" s="237"/>
    <row r="652" ht="16.5" customHeight="1" s="237"/>
    <row r="653" ht="16.5" customHeight="1" s="237"/>
    <row r="654" ht="16.5" customHeight="1" s="237"/>
    <row r="655" ht="16.5" customHeight="1" s="237"/>
    <row r="656" ht="16.5" customHeight="1" s="237"/>
    <row r="657" ht="16.5" customHeight="1" s="237"/>
    <row r="658" ht="16.5" customHeight="1" s="237"/>
    <row r="659" ht="16.5" customHeight="1" s="237"/>
    <row r="660" ht="16.5" customHeight="1" s="237"/>
    <row r="661" ht="16.5" customHeight="1" s="237"/>
    <row r="662" ht="16.5" customHeight="1" s="237"/>
    <row r="663" ht="16.5" customHeight="1" s="237"/>
    <row r="664" ht="16.5" customHeight="1" s="237"/>
    <row r="665" ht="16.5" customHeight="1" s="237"/>
    <row r="666" ht="16.5" customHeight="1" s="237"/>
    <row r="667" ht="16.5" customHeight="1" s="237"/>
    <row r="668" ht="16.5" customHeight="1" s="237"/>
    <row r="669" ht="16.5" customHeight="1" s="237"/>
    <row r="670" ht="16.5" customHeight="1" s="237"/>
    <row r="671" ht="16.5" customHeight="1" s="237"/>
    <row r="672" ht="16.5" customHeight="1" s="237"/>
    <row r="673" ht="16.5" customHeight="1" s="237"/>
    <row r="674" ht="16.5" customHeight="1" s="237"/>
    <row r="675" ht="16.5" customHeight="1" s="237"/>
    <row r="676" ht="16.5" customHeight="1" s="237"/>
    <row r="677" ht="16.5" customHeight="1" s="237"/>
    <row r="678" ht="16.5" customHeight="1" s="237"/>
    <row r="679" ht="16.5" customHeight="1" s="237"/>
    <row r="680" ht="16.5" customHeight="1" s="237"/>
    <row r="681" ht="16.5" customHeight="1" s="237"/>
  </sheetData>
  <mergeCells count="2">
    <mergeCell ref="K4:M4"/>
    <mergeCell ref="B5:N5"/>
  </mergeCells>
  <conditionalFormatting sqref="L7:L117">
    <cfRule type="expression" priority="16" dxfId="150">
      <formula>$L7="Over Paid"</formula>
    </cfRule>
    <cfRule type="expression" priority="17" dxfId="149">
      <formula>$L7="Partial Payment"</formula>
    </cfRule>
    <cfRule type="expression" priority="18" dxfId="0">
      <formula>$L7="Not Paid"</formula>
    </cfRule>
    <cfRule type="expression" priority="19" dxfId="64">
      <formula>$L7="Paid"</formula>
    </cfRule>
    <cfRule type="expression" priority="20" dxfId="146">
      <formula>$L7=""</formula>
    </cfRule>
  </conditionalFormatting>
  <printOptions horizontalCentered="1"/>
  <pageMargins left="0.7086614173228347" right="0.7086614173228347" top="0.7480314960629921" bottom="0.7480314960629921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R45"/>
  <sheetViews>
    <sheetView showGridLines="0" zoomScaleNormal="100" workbookViewId="0">
      <selection activeCell="N16" sqref="N16"/>
    </sheetView>
  </sheetViews>
  <sheetFormatPr baseColWidth="8" defaultColWidth="14.42578125" defaultRowHeight="15" customHeight="1"/>
  <cols>
    <col width="11.28515625" bestFit="1" customWidth="1" style="6" min="1" max="1"/>
    <col width="17.7109375" bestFit="1" customWidth="1" style="6" min="2" max="2"/>
    <col width="10.7109375" customWidth="1" style="6" min="3" max="7"/>
    <col width="15.7109375" customWidth="1" style="6" min="8" max="8"/>
    <col width="8.7109375" customWidth="1" style="6" min="9" max="16"/>
    <col hidden="1" width="8.7109375" customWidth="1" style="6" min="17" max="17"/>
    <col width="8.7109375" customWidth="1" style="6" min="18" max="26"/>
    <col width="14.42578125" customWidth="1" style="6" min="27" max="16384"/>
  </cols>
  <sheetData>
    <row r="1" ht="105" customHeight="1" s="237">
      <c r="A1" s="209" t="inlineStr">
        <is>
          <t>Insert Logo Here</t>
        </is>
      </c>
      <c r="F1" s="207" t="inlineStr">
        <is>
          <t xml:space="preserve">
EIN xxxxxxxx
MDOT xxxxxxxx
Address
P: (xxx)xxx-xxxx
F: (xxx)xxx-xxxx
</t>
        </is>
      </c>
      <c r="I1" s="60" t="n"/>
      <c r="J1" s="60" t="n"/>
      <c r="K1" s="60" t="n"/>
      <c r="L1" s="60" t="n"/>
      <c r="M1" s="60" t="n"/>
      <c r="N1" s="60" t="n"/>
      <c r="O1" s="60" t="n"/>
      <c r="P1" s="60" t="n"/>
      <c r="Q1" s="60" t="n"/>
      <c r="R1" s="60" t="inlineStr">
        <is>
          <t> </t>
        </is>
      </c>
    </row>
    <row r="2" ht="16.5" customHeight="1" s="237">
      <c r="A2" s="122" t="n"/>
      <c r="B2" s="122" t="n"/>
      <c r="C2" s="122" t="n"/>
      <c r="D2" s="122" t="n"/>
      <c r="E2" s="218" t="inlineStr">
        <is>
          <t>Invoice #:</t>
        </is>
      </c>
      <c r="G2" s="219" t="n">
        <v>1763</v>
      </c>
      <c r="I2" s="60" t="n"/>
      <c r="J2" s="60" t="n"/>
      <c r="K2" s="60" t="n"/>
      <c r="L2" s="60" t="n"/>
      <c r="M2" s="60" t="n"/>
      <c r="N2" s="60" t="n"/>
      <c r="O2" s="60" t="n"/>
      <c r="P2" s="60" t="n"/>
      <c r="Q2" s="60" t="n"/>
      <c r="R2" s="60" t="n"/>
    </row>
    <row r="3" ht="16.5" customHeight="1" s="237">
      <c r="A3" s="122" t="n"/>
      <c r="B3" s="122" t="n"/>
      <c r="C3" s="122" t="n"/>
      <c r="D3" s="122" t="n"/>
      <c r="E3" s="218" t="inlineStr">
        <is>
          <t>Invoice Date:</t>
        </is>
      </c>
      <c r="G3" s="255">
        <f>TODAY()</f>
        <v/>
      </c>
      <c r="I3" s="60" t="n"/>
      <c r="J3" s="60" t="n"/>
      <c r="K3" s="60" t="n"/>
      <c r="L3" s="60" t="n"/>
      <c r="M3" s="60" t="n"/>
      <c r="N3" s="60" t="n"/>
      <c r="O3" s="60" t="n"/>
      <c r="P3" s="60" t="n"/>
      <c r="Q3" s="60" t="n"/>
      <c r="R3" s="60" t="n"/>
    </row>
    <row r="4" ht="25.5" customHeight="1" s="237">
      <c r="A4" s="123" t="inlineStr">
        <is>
          <t>Client:</t>
        </is>
      </c>
      <c r="B4" s="215" t="n"/>
      <c r="D4" s="125" t="n"/>
      <c r="E4" s="126" t="inlineStr">
        <is>
          <t>Claim No.:</t>
        </is>
      </c>
      <c r="F4" s="222">
        <f>IF(B4="","",VLOOKUP($B$4,'CLIENT DATA'!$A$2:$S$48,9,FALSE))</f>
        <v/>
      </c>
      <c r="I4" s="60" t="n"/>
      <c r="J4" s="60" t="n"/>
      <c r="K4" s="60" t="n"/>
      <c r="L4" s="60" t="n"/>
      <c r="M4" s="60" t="n"/>
      <c r="N4" s="60" t="n"/>
      <c r="O4" s="60" t="n"/>
      <c r="P4" s="60" t="n"/>
      <c r="Q4" s="60" t="n"/>
      <c r="R4" s="60" t="n"/>
    </row>
    <row r="5" ht="16.5" customHeight="1" s="237">
      <c r="A5" s="256" t="inlineStr">
        <is>
          <t>D.O.B:</t>
        </is>
      </c>
      <c r="B5" s="257">
        <f>IF(B4="","",VLOOKUP($B$4,'CLIENT DATA'!$A$2:$S$48,2,FALSE))</f>
        <v/>
      </c>
      <c r="D5" s="125" t="n"/>
      <c r="E5" s="126" t="inlineStr">
        <is>
          <t>D.O.I:</t>
        </is>
      </c>
      <c r="F5" s="257">
        <f>IF(B4="","",VLOOKUP($B$4,'CLIENT DATA'!$A$2:$S$48,10,FALSE))</f>
        <v/>
      </c>
      <c r="I5" s="60" t="n"/>
      <c r="J5" s="60" t="n"/>
      <c r="K5" s="60" t="n"/>
      <c r="L5" s="60" t="n"/>
      <c r="M5" s="60" t="n"/>
      <c r="N5" s="60" t="n"/>
      <c r="O5" s="60" t="n"/>
      <c r="P5" s="60" t="n"/>
      <c r="Q5" s="258">
        <f>3*SUBSTITUTE(Q4,"Miles","")</f>
        <v/>
      </c>
      <c r="R5" s="60" t="n"/>
    </row>
    <row r="6" ht="16.5" customHeight="1" s="237">
      <c r="A6" s="123" t="inlineStr">
        <is>
          <t>Address:</t>
        </is>
      </c>
      <c r="B6" s="222">
        <f>IF(B4="","",VLOOKUP($B$4,'CLIENT DATA'!$A$2:$S$48,3,FALSE))</f>
        <v/>
      </c>
      <c r="D6" s="125" t="n"/>
      <c r="E6" s="126" t="inlineStr">
        <is>
          <t>Insurance:</t>
        </is>
      </c>
      <c r="F6" s="222">
        <f>IF(B4="","",VLOOKUP($B$4,'CLIENT DATA'!$A$2:$S$48,8,FALSE))</f>
        <v/>
      </c>
      <c r="I6" s="60" t="n"/>
      <c r="J6" s="60" t="n"/>
      <c r="K6" s="60" t="n"/>
      <c r="L6" s="60" t="n"/>
      <c r="M6" s="60" t="n"/>
      <c r="N6" s="60" t="n"/>
      <c r="O6" s="60" t="n"/>
      <c r="P6" s="60" t="n"/>
      <c r="Q6" s="60" t="n"/>
      <c r="R6" s="60" t="n"/>
    </row>
    <row r="7" ht="16.5" customHeight="1" s="237">
      <c r="A7" s="130" t="n"/>
      <c r="B7" s="215">
        <f t="array" ref="B7">IF(B4="","",_xlfn.TEXTJOIN(", ",TRUE,IF(B4='CLIENT DATA'!$A$2:$A$48,'CLIENT DATA'!$D$2:$F$48,"")))</f>
        <v/>
      </c>
      <c r="D7" s="125" t="n"/>
      <c r="E7" s="126" t="inlineStr">
        <is>
          <t>Address:</t>
        </is>
      </c>
      <c r="F7" s="259">
        <f>IF(B4="","",VLOOKUP($F$6,'INSURANCE DATA'!$A$2:$G$149997,2,FALSE))</f>
        <v/>
      </c>
      <c r="I7" s="60" t="n"/>
      <c r="J7" s="60" t="n"/>
      <c r="K7" s="60" t="n"/>
      <c r="L7" s="60" t="n"/>
      <c r="M7" s="60" t="n"/>
      <c r="N7" s="60" t="n"/>
      <c r="O7" s="60" t="n"/>
      <c r="P7" s="60" t="n"/>
      <c r="Q7" s="60" t="n"/>
      <c r="R7" s="60" t="n"/>
    </row>
    <row r="8" ht="16.5" customHeight="1" s="237">
      <c r="A8" s="131" t="inlineStr">
        <is>
          <t>P:</t>
        </is>
      </c>
      <c r="B8" s="260">
        <f>IF(B4="","",VLOOKUP($B$4,'CLIENT DATA'!$A$2:$S$48,7,FALSE))</f>
        <v/>
      </c>
      <c r="C8" s="261" t="n"/>
      <c r="D8" s="125" t="n"/>
      <c r="E8" s="126" t="n"/>
      <c r="F8" s="259">
        <f t="array" ref="F8">IF(B4="","",(_xlfn.TEXTJOIN(", ",TRUE,IF(F6='INSURANCE DATA'!A2:A196,'INSURANCE DATA'!C2:E196,""))))</f>
        <v/>
      </c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</row>
    <row r="9" ht="16.5" customHeight="1" s="237">
      <c r="A9" s="130" t="n"/>
      <c r="B9" s="133" t="n"/>
      <c r="C9" s="213" t="n"/>
      <c r="D9" s="125" t="n"/>
      <c r="E9" s="126" t="inlineStr">
        <is>
          <t>Adjuster:</t>
        </is>
      </c>
      <c r="F9" s="215">
        <f t="array" ref="F9">_xlfn.IFS(B4="","",VLOOKUP($B$4,'CLIENT DATA'!$A$2:$S$48,11,FALSE)="","",B4&lt;&gt;"",VLOOKUP($B$4,'CLIENT DATA'!$A$2:$S$48,11,FALSE))</f>
        <v/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</row>
    <row r="10" ht="16.5" customHeight="1" s="237">
      <c r="A10" s="262" t="n"/>
      <c r="B10" s="215" t="n"/>
      <c r="C10" s="213" t="n"/>
      <c r="D10" s="125" t="n"/>
      <c r="E10" s="126" t="inlineStr">
        <is>
          <t>P:</t>
        </is>
      </c>
      <c r="F10" s="260">
        <f>IF(B4="","",VLOOKUP(B4,'CLIENT DATA'!$A$2:$S$48,12,FALSE))</f>
        <v/>
      </c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</row>
    <row r="11" ht="16.5" customHeight="1" s="237">
      <c r="A11" s="123" t="inlineStr">
        <is>
          <t>Codes:</t>
        </is>
      </c>
      <c r="B11" s="127">
        <f>IF(B4="","",VLOOKUP($B$4,'CLIENT DATA'!1:1048576,18,FALSE))</f>
        <v/>
      </c>
      <c r="C11" s="213" t="n"/>
      <c r="D11" s="125" t="n"/>
      <c r="E11" s="126" t="inlineStr">
        <is>
          <t>Ext:</t>
        </is>
      </c>
      <c r="F11" s="215">
        <f t="array" ref="F11">_xlfn.IFS(B4="","",VLOOKUP($B$4,'CLIENT DATA'!$A$2:$S$48,13,FALSE)="","",B4&lt;&gt;"",VLOOKUP($B$4,'CLIENT DATA'!$A$2:$S$48,13,FALSE))</f>
        <v/>
      </c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</row>
    <row r="12" ht="16.5" customHeight="1" s="237">
      <c r="A12" s="263" t="n"/>
      <c r="B12" s="215" t="n"/>
      <c r="C12" s="125" t="n"/>
      <c r="D12" s="125" t="n"/>
      <c r="E12" s="126" t="inlineStr">
        <is>
          <t>F:</t>
        </is>
      </c>
      <c r="F12" s="264">
        <f t="array" ref="F12">_xlfn.IFS(F6="","",VLOOKUP(F6,'INSURANCE DATA'!$A$2:$G$149997,6,FALSE)="","",B4&lt;&gt;"",VLOOKUP(F6,'INSURANCE DATA'!$A$2:$G$149997,6,FALSE))</f>
        <v/>
      </c>
      <c r="I12" s="60" t="n"/>
      <c r="J12" s="60" t="n"/>
      <c r="K12" s="60" t="n"/>
      <c r="L12" s="60" t="n"/>
      <c r="M12" s="60" t="n"/>
      <c r="N12" s="60" t="n"/>
      <c r="O12" s="60" t="n"/>
      <c r="P12" s="60" t="n"/>
      <c r="Q12" s="60" t="n"/>
      <c r="R12" s="60" t="n"/>
    </row>
    <row r="13" ht="16.5" customHeight="1" s="237">
      <c r="A13" s="210" t="inlineStr">
        <is>
          <t>Date</t>
        </is>
      </c>
      <c r="B13" s="210" t="inlineStr">
        <is>
          <t>Destination</t>
        </is>
      </c>
      <c r="C13" s="210" t="inlineStr">
        <is>
          <t xml:space="preserve">Pick Up </t>
        </is>
      </c>
      <c r="D13" s="210" t="inlineStr">
        <is>
          <t>Drop Off</t>
        </is>
      </c>
      <c r="E13" s="210" t="inlineStr">
        <is>
          <t>Wait Time</t>
        </is>
      </c>
      <c r="F13" s="210" t="inlineStr">
        <is>
          <t>Mileage</t>
        </is>
      </c>
      <c r="G13" s="210" t="inlineStr">
        <is>
          <t>Unloaded</t>
        </is>
      </c>
      <c r="H13" s="210" t="inlineStr">
        <is>
          <t>Total</t>
        </is>
      </c>
      <c r="I13" s="60" t="n"/>
      <c r="J13" s="60" t="n"/>
      <c r="K13" s="60" t="n"/>
      <c r="L13" s="60" t="n"/>
      <c r="M13" s="60" t="n"/>
      <c r="N13" s="60" t="n"/>
      <c r="O13" s="60" t="n"/>
      <c r="P13" s="60" t="n"/>
      <c r="Q13" s="60" t="n"/>
      <c r="R13" s="60" t="n"/>
    </row>
    <row r="14" ht="16.5" customHeight="1" s="237">
      <c r="C14" s="210" t="inlineStr">
        <is>
          <t>A0130</t>
        </is>
      </c>
      <c r="D14" s="210" t="inlineStr">
        <is>
          <t>A0130</t>
        </is>
      </c>
      <c r="E14" s="210" t="inlineStr">
        <is>
          <t>T2007</t>
        </is>
      </c>
      <c r="F14" s="210">
        <f t="array" ref="F14">_xlfn.IFS(B11="Wheel Chair","S0209",B11="Non-Wheel Chair","S0215",B11="","S0215")</f>
        <v/>
      </c>
      <c r="G14" s="210">
        <f t="array" ref="G14">_xlfn.IFS(B11="Wheel Chair","S0209",B11="Non-Wheel Chair","S0215",B11="","S0215")</f>
        <v/>
      </c>
      <c r="I14" s="60" t="n"/>
      <c r="J14" s="60" t="n"/>
      <c r="K14" s="60" t="n"/>
      <c r="L14" s="60" t="n"/>
      <c r="M14" s="60" t="n"/>
      <c r="N14" s="60" t="n"/>
      <c r="O14" s="60" t="n"/>
      <c r="P14" s="60" t="n"/>
      <c r="Q14" s="60" t="n"/>
      <c r="R14" s="60" t="n"/>
    </row>
    <row r="15" ht="16.5" customHeight="1" s="237">
      <c r="A15" s="265" t="n"/>
      <c r="B15" s="203" t="n"/>
      <c r="C15" s="139" t="n"/>
      <c r="D15" s="139" t="n"/>
      <c r="E15" s="140" t="n"/>
      <c r="F15" s="140" t="n"/>
      <c r="G15" s="140" t="n"/>
      <c r="H15" s="258">
        <f>IF(A15="","",SUM(C16:G16))</f>
        <v/>
      </c>
      <c r="I15" s="60" t="n"/>
      <c r="J15" s="60" t="n"/>
      <c r="K15" s="60" t="n"/>
      <c r="L15" s="60" t="n"/>
      <c r="M15" s="60" t="n"/>
      <c r="N15" s="60" t="n"/>
      <c r="O15" s="60" t="n"/>
      <c r="P15" s="60" t="n"/>
      <c r="Q15" s="60" t="n"/>
      <c r="R15" s="60" t="n"/>
    </row>
    <row r="16" ht="16.5" customHeight="1" s="237">
      <c r="C16" s="258" t="n"/>
      <c r="D16" s="258" t="n"/>
      <c r="E16" s="258" t="n"/>
      <c r="F16" s="258" t="n"/>
      <c r="G16" s="258" t="n"/>
      <c r="I16" s="60" t="n"/>
      <c r="J16" s="60" t="n"/>
      <c r="K16" s="60" t="n"/>
      <c r="L16" s="60" t="n"/>
      <c r="M16" s="60" t="n"/>
      <c r="N16" s="60" t="n"/>
      <c r="O16" s="60" t="n"/>
      <c r="P16" s="60" t="n"/>
      <c r="Q16" s="60" t="n"/>
      <c r="R16" s="60" t="n"/>
    </row>
    <row r="17" ht="13.9" customHeight="1" s="237">
      <c r="A17" s="265" t="n"/>
      <c r="B17" s="203" t="n"/>
      <c r="C17" s="139" t="n"/>
      <c r="D17" s="139" t="n"/>
      <c r="E17" s="140" t="n"/>
      <c r="F17" s="140" t="n"/>
      <c r="G17" s="140" t="n"/>
      <c r="H17" s="258">
        <f>IF(A17="","",SUM(C18:G18))</f>
        <v/>
      </c>
      <c r="I17" s="60" t="n"/>
      <c r="J17" s="60" t="n"/>
      <c r="K17" s="60" t="n"/>
      <c r="L17" s="60" t="n"/>
      <c r="M17" s="60" t="n"/>
      <c r="N17" s="60" t="n"/>
      <c r="O17" s="60" t="n"/>
      <c r="P17" s="60" t="n"/>
      <c r="Q17" s="60" t="n"/>
      <c r="R17" s="60" t="n"/>
    </row>
    <row r="18" ht="16.5" customHeight="1" s="237">
      <c r="C18" s="258" t="n"/>
      <c r="D18" s="258" t="n"/>
      <c r="E18" s="258" t="n"/>
      <c r="F18" s="258" t="n"/>
      <c r="G18" s="258" t="n"/>
      <c r="I18" s="60" t="n"/>
      <c r="J18" s="60" t="n"/>
      <c r="K18" s="60" t="n"/>
      <c r="L18" s="60" t="n"/>
      <c r="M18" s="60" t="n"/>
      <c r="N18" s="60" t="n"/>
      <c r="O18" s="60" t="n"/>
      <c r="P18" s="60" t="n"/>
      <c r="Q18" s="60" t="n"/>
      <c r="R18" s="60" t="n"/>
    </row>
    <row r="19" ht="13.9" customHeight="1" s="237">
      <c r="A19" s="265" t="n"/>
      <c r="B19" s="203" t="n"/>
      <c r="C19" s="139" t="n"/>
      <c r="D19" s="139" t="n"/>
      <c r="E19" s="140" t="n"/>
      <c r="F19" s="140" t="n"/>
      <c r="G19" s="140" t="n"/>
      <c r="H19" s="258">
        <f>IF(A19="","",SUM(C20:G20))</f>
        <v/>
      </c>
      <c r="I19" s="60" t="n"/>
      <c r="J19" s="60" t="n"/>
      <c r="K19" s="60" t="n"/>
      <c r="L19" s="60" t="n"/>
      <c r="M19" s="60" t="n"/>
      <c r="N19" s="60" t="n"/>
      <c r="O19" s="60" t="n"/>
      <c r="P19" s="60" t="n"/>
      <c r="Q19" s="60" t="n"/>
      <c r="R19" s="60" t="n"/>
    </row>
    <row r="20" ht="16.5" customHeight="1" s="237">
      <c r="C20" s="258" t="n"/>
      <c r="D20" s="258" t="n"/>
      <c r="E20" s="258" t="n"/>
      <c r="F20" s="258" t="n"/>
      <c r="G20" s="258" t="n"/>
      <c r="I20" s="60" t="n"/>
      <c r="J20" s="60" t="n"/>
      <c r="K20" s="60" t="n"/>
      <c r="L20" s="60" t="n"/>
      <c r="M20" s="60" t="n"/>
      <c r="N20" s="60" t="n"/>
      <c r="O20" s="60" t="n"/>
      <c r="P20" s="60" t="n"/>
      <c r="Q20" s="60" t="n"/>
      <c r="R20" s="60" t="n"/>
    </row>
    <row r="21" ht="13.9" customHeight="1" s="237">
      <c r="A21" s="265" t="n"/>
      <c r="B21" s="203" t="n"/>
      <c r="C21" s="139" t="n"/>
      <c r="D21" s="139" t="n"/>
      <c r="E21" s="140" t="n"/>
      <c r="F21" s="140" t="n"/>
      <c r="G21" s="140" t="n"/>
      <c r="H21" s="258">
        <f>IF(A21="","",SUM(C22:G22))</f>
        <v/>
      </c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</row>
    <row r="22" ht="16.5" customHeight="1" s="237">
      <c r="C22" s="258" t="n"/>
      <c r="D22" s="258" t="n"/>
      <c r="E22" s="258" t="n"/>
      <c r="F22" s="258" t="n"/>
      <c r="G22" s="258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</row>
    <row r="23" ht="13.9" customHeight="1" s="237">
      <c r="A23" s="265" t="n"/>
      <c r="B23" s="203" t="n"/>
      <c r="C23" s="139" t="n"/>
      <c r="D23" s="139" t="n"/>
      <c r="E23" s="140" t="n"/>
      <c r="F23" s="140" t="n"/>
      <c r="G23" s="140" t="n"/>
      <c r="H23" s="258">
        <f>IF(A23="","",SUM(C24:G24))</f>
        <v/>
      </c>
      <c r="I23" s="60" t="n"/>
      <c r="J23" s="60" t="n"/>
      <c r="K23" s="60" t="n"/>
      <c r="L23" s="60" t="n"/>
      <c r="M23" s="60" t="n"/>
      <c r="N23" s="60" t="n"/>
      <c r="O23" s="60" t="n"/>
      <c r="P23" s="60" t="n"/>
      <c r="Q23" s="60" t="n"/>
      <c r="R23" s="60" t="n"/>
    </row>
    <row r="24" ht="16.5" customHeight="1" s="237">
      <c r="C24" s="258" t="n"/>
      <c r="D24" s="258" t="n"/>
      <c r="E24" s="258" t="n"/>
      <c r="F24" s="258" t="n"/>
      <c r="G24" s="258" t="n"/>
      <c r="I24" s="60" t="n"/>
      <c r="J24" s="60" t="n"/>
      <c r="K24" s="60" t="n"/>
      <c r="L24" s="60" t="n"/>
      <c r="M24" s="60" t="n"/>
      <c r="N24" s="60" t="n"/>
      <c r="O24" s="60" t="n"/>
      <c r="P24" s="60" t="n"/>
      <c r="Q24" s="60" t="n"/>
      <c r="R24" s="60" t="n"/>
    </row>
    <row r="25" ht="13.9" customHeight="1" s="237">
      <c r="A25" s="265" t="n"/>
      <c r="B25" s="203" t="n"/>
      <c r="C25" s="139" t="n"/>
      <c r="D25" s="139" t="n"/>
      <c r="E25" s="140" t="n"/>
      <c r="F25" s="140" t="n"/>
      <c r="G25" s="140" t="n"/>
      <c r="H25" s="258">
        <f>IF(A25="","",SUM(C26:G26))</f>
        <v/>
      </c>
      <c r="I25" s="60" t="n"/>
      <c r="J25" s="60" t="n"/>
      <c r="K25" s="60" t="n"/>
      <c r="L25" s="60" t="n"/>
      <c r="M25" s="60" t="n"/>
      <c r="N25" s="60" t="n"/>
      <c r="O25" s="60" t="n"/>
      <c r="P25" s="60" t="n"/>
      <c r="Q25" s="60" t="n"/>
      <c r="R25" s="60" t="n"/>
    </row>
    <row r="26" ht="16.5" customHeight="1" s="237">
      <c r="C26" s="258" t="n"/>
      <c r="D26" s="258" t="n"/>
      <c r="E26" s="258" t="n"/>
      <c r="F26" s="258" t="n"/>
      <c r="G26" s="258" t="n"/>
      <c r="I26" s="60" t="n"/>
      <c r="J26" s="60" t="n"/>
      <c r="K26" s="60" t="n"/>
      <c r="L26" s="60" t="n"/>
      <c r="M26" s="60" t="n"/>
      <c r="N26" s="60" t="n"/>
      <c r="O26" s="60" t="n"/>
      <c r="P26" s="60" t="n"/>
      <c r="Q26" s="60" t="n"/>
      <c r="R26" s="60" t="n"/>
    </row>
    <row r="27" ht="13.9" customHeight="1" s="237">
      <c r="A27" s="265" t="n"/>
      <c r="B27" s="203" t="n"/>
      <c r="C27" s="139" t="n"/>
      <c r="D27" s="139" t="n"/>
      <c r="E27" s="140" t="n"/>
      <c r="F27" s="140" t="n"/>
      <c r="G27" s="140" t="n"/>
      <c r="H27" s="258">
        <f>IF(A27="","",SUM(C28:G28))</f>
        <v/>
      </c>
      <c r="I27" s="60" t="n"/>
      <c r="J27" s="60" t="n"/>
      <c r="K27" s="60" t="n"/>
      <c r="L27" s="60" t="n"/>
      <c r="M27" s="60" t="n"/>
      <c r="N27" s="60" t="n"/>
      <c r="O27" s="60" t="n"/>
      <c r="P27" s="60" t="n"/>
      <c r="Q27" s="60" t="n"/>
      <c r="R27" s="60" t="n"/>
    </row>
    <row r="28" ht="16.5" customHeight="1" s="237">
      <c r="C28" s="258" t="n"/>
      <c r="D28" s="258" t="n"/>
      <c r="E28" s="258" t="n"/>
      <c r="F28" s="258" t="n"/>
      <c r="G28" s="258" t="n"/>
      <c r="I28" s="60" t="n"/>
      <c r="J28" s="60" t="n"/>
      <c r="K28" s="60" t="n"/>
      <c r="L28" s="60" t="n"/>
      <c r="M28" s="60" t="n"/>
      <c r="N28" s="60" t="n"/>
      <c r="O28" s="60" t="n"/>
      <c r="P28" s="60" t="n"/>
      <c r="Q28" s="60" t="n"/>
      <c r="R28" s="60" t="n"/>
    </row>
    <row r="29" ht="13.9" customHeight="1" s="237">
      <c r="A29" s="265" t="n"/>
      <c r="B29" s="203" t="n"/>
      <c r="C29" s="139" t="n"/>
      <c r="D29" s="139" t="n"/>
      <c r="E29" s="140" t="n"/>
      <c r="F29" s="140" t="n"/>
      <c r="G29" s="140" t="n"/>
      <c r="H29" s="258">
        <f>IF(A29="","",SUM(C30:G30))</f>
        <v/>
      </c>
      <c r="I29" s="60" t="n"/>
      <c r="J29" s="60" t="n"/>
      <c r="K29" s="60" t="n"/>
      <c r="L29" s="60" t="n"/>
      <c r="M29" s="60" t="n"/>
      <c r="N29" s="60" t="n"/>
      <c r="O29" s="60" t="n"/>
      <c r="P29" s="60" t="n"/>
      <c r="Q29" s="60" t="n"/>
      <c r="R29" s="60" t="n"/>
    </row>
    <row r="30" ht="16.5" customHeight="1" s="237">
      <c r="C30" s="258" t="n"/>
      <c r="D30" s="258" t="n"/>
      <c r="E30" s="258" t="n"/>
      <c r="F30" s="258" t="n"/>
      <c r="G30" s="258" t="n"/>
      <c r="I30" s="60" t="n"/>
      <c r="J30" s="60" t="n"/>
      <c r="K30" s="60" t="n"/>
      <c r="L30" s="60" t="n"/>
      <c r="M30" s="60" t="n"/>
      <c r="N30" s="60" t="n"/>
      <c r="O30" s="60" t="n"/>
      <c r="P30" s="60" t="n"/>
      <c r="Q30" s="60" t="n"/>
      <c r="R30" s="60" t="n"/>
    </row>
    <row r="31" ht="13.9" customHeight="1" s="237">
      <c r="A31" s="265" t="n"/>
      <c r="B31" s="203" t="n"/>
      <c r="C31" s="139" t="n"/>
      <c r="D31" s="139" t="n"/>
      <c r="E31" s="140" t="n"/>
      <c r="F31" s="140" t="n"/>
      <c r="G31" s="140" t="n"/>
      <c r="H31" s="258">
        <f>IF(A31="","",SUM(C32:G32))</f>
        <v/>
      </c>
      <c r="I31" s="60" t="n"/>
      <c r="J31" s="60" t="n"/>
      <c r="K31" s="60" t="n"/>
      <c r="L31" s="60" t="n"/>
      <c r="M31" s="60" t="n"/>
      <c r="N31" s="60" t="n"/>
      <c r="O31" s="60" t="n"/>
      <c r="P31" s="60" t="n"/>
      <c r="Q31" s="60" t="n"/>
      <c r="R31" s="60" t="n"/>
    </row>
    <row r="32" ht="16.5" customHeight="1" s="237">
      <c r="C32" s="258" t="n"/>
      <c r="D32" s="258" t="n"/>
      <c r="E32" s="258" t="n"/>
      <c r="F32" s="258" t="n"/>
      <c r="G32" s="258" t="n"/>
      <c r="I32" s="60" t="n"/>
      <c r="J32" s="60" t="n"/>
      <c r="K32" s="60" t="n"/>
      <c r="L32" s="60" t="n"/>
      <c r="M32" s="60" t="n"/>
      <c r="N32" s="60" t="n"/>
      <c r="O32" s="60" t="n"/>
      <c r="P32" s="60" t="n"/>
      <c r="Q32" s="60" t="n"/>
      <c r="R32" s="60" t="n"/>
    </row>
    <row r="33" ht="13.9" customHeight="1" s="237">
      <c r="A33" s="265" t="n"/>
      <c r="B33" s="203" t="n"/>
      <c r="C33" s="139" t="n"/>
      <c r="D33" s="139" t="n"/>
      <c r="E33" s="140" t="n"/>
      <c r="F33" s="140" t="n"/>
      <c r="G33" s="140" t="n"/>
      <c r="H33" s="258">
        <f>IF(A33="","",SUM(C34:G34))</f>
        <v/>
      </c>
      <c r="I33" s="60" t="n"/>
      <c r="J33" s="60" t="n"/>
      <c r="K33" s="60" t="n"/>
      <c r="L33" s="60" t="n"/>
      <c r="M33" s="60" t="n"/>
      <c r="N33" s="60" t="n"/>
      <c r="O33" s="60" t="n"/>
      <c r="P33" s="60" t="n"/>
      <c r="Q33" s="60" t="n"/>
      <c r="R33" s="60" t="n"/>
    </row>
    <row r="34" ht="16.5" customHeight="1" s="237">
      <c r="C34" s="258" t="n"/>
      <c r="D34" s="258" t="n"/>
      <c r="E34" s="258" t="n"/>
      <c r="F34" s="258" t="n"/>
      <c r="G34" s="258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</row>
    <row r="35" ht="13.9" customHeight="1" s="237">
      <c r="A35" s="265" t="n"/>
      <c r="B35" s="203" t="n"/>
      <c r="C35" s="139" t="n"/>
      <c r="D35" s="139" t="n"/>
      <c r="E35" s="140" t="n"/>
      <c r="F35" s="140" t="n"/>
      <c r="G35" s="140" t="n"/>
      <c r="H35" s="258">
        <f>IF(A35="","",SUM(C36:G36))</f>
        <v/>
      </c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</row>
    <row r="36" ht="16.5" customHeight="1" s="237">
      <c r="C36" s="258" t="n"/>
      <c r="D36" s="258" t="n"/>
      <c r="E36" s="258" t="n"/>
      <c r="F36" s="258" t="n"/>
      <c r="G36" s="258" t="n"/>
      <c r="I36" s="60" t="n"/>
      <c r="J36" s="60" t="n"/>
      <c r="K36" s="60" t="n"/>
      <c r="L36" s="60" t="n"/>
      <c r="M36" s="60" t="n"/>
      <c r="N36" s="60" t="n"/>
      <c r="O36" s="60" t="n"/>
      <c r="P36" s="60" t="n"/>
      <c r="Q36" s="60" t="n"/>
      <c r="R36" s="60" t="n"/>
    </row>
    <row r="37" ht="16.5" customHeight="1" s="237">
      <c r="A37" s="265" t="n"/>
      <c r="B37" s="203" t="n"/>
      <c r="C37" s="139" t="n"/>
      <c r="D37" s="139" t="n"/>
      <c r="E37" s="140" t="n"/>
      <c r="F37" s="140" t="n"/>
      <c r="G37" s="140" t="n"/>
      <c r="H37" s="258">
        <f>IF(A37="","",SUM(C38:G38))</f>
        <v/>
      </c>
      <c r="I37" s="60" t="n"/>
      <c r="J37" s="60" t="n"/>
      <c r="K37" s="60" t="n"/>
      <c r="L37" s="60" t="n"/>
      <c r="M37" s="60" t="n"/>
      <c r="N37" s="60" t="n"/>
      <c r="O37" s="60" t="n"/>
      <c r="P37" s="60" t="n"/>
      <c r="Q37" s="60" t="n"/>
      <c r="R37" s="60" t="n"/>
    </row>
    <row r="38" ht="16.5" customHeight="1" s="237">
      <c r="C38" s="258" t="n"/>
      <c r="D38" s="258" t="n"/>
      <c r="E38" s="258" t="n"/>
      <c r="F38" s="258" t="n"/>
      <c r="G38" s="258" t="n"/>
      <c r="I38" s="60" t="n"/>
      <c r="J38" s="60" t="n"/>
      <c r="K38" s="60" t="n"/>
      <c r="L38" s="60" t="n"/>
      <c r="M38" s="60" t="n"/>
      <c r="N38" s="60" t="n"/>
      <c r="O38" s="60" t="n"/>
      <c r="P38" s="60" t="n"/>
      <c r="Q38" s="60" t="n"/>
      <c r="R38" s="60" t="n"/>
    </row>
    <row r="39" ht="16.5" customHeight="1" s="237">
      <c r="A39" s="265" t="n"/>
      <c r="B39" s="203" t="n"/>
      <c r="C39" s="139" t="n"/>
      <c r="D39" s="139" t="n"/>
      <c r="E39" s="140" t="n"/>
      <c r="F39" s="140" t="n"/>
      <c r="G39" s="140" t="n"/>
      <c r="H39" s="258">
        <f>IF(A39="","",SUM(C40:G40))</f>
        <v/>
      </c>
      <c r="I39" s="60" t="n"/>
      <c r="J39" s="60" t="n"/>
      <c r="K39" s="60" t="n"/>
      <c r="L39" s="60" t="n"/>
      <c r="M39" s="60" t="n"/>
      <c r="N39" s="60" t="n"/>
      <c r="O39" s="60" t="n"/>
      <c r="P39" s="60" t="n"/>
      <c r="Q39" s="60" t="n"/>
      <c r="R39" s="60" t="n"/>
    </row>
    <row r="40" ht="16.5" customHeight="1" s="237">
      <c r="C40" s="258" t="n"/>
      <c r="D40" s="258" t="n"/>
      <c r="E40" s="258" t="n"/>
      <c r="F40" s="258" t="n"/>
      <c r="G40" s="258" t="n"/>
      <c r="I40" s="60" t="n"/>
      <c r="J40" s="60" t="n"/>
      <c r="K40" s="60" t="n"/>
      <c r="L40" s="60" t="n"/>
      <c r="M40" s="60" t="n"/>
      <c r="N40" s="60" t="n"/>
      <c r="O40" s="60" t="n"/>
      <c r="P40" s="60" t="n"/>
      <c r="Q40" s="60" t="n"/>
      <c r="R40" s="60" t="n"/>
    </row>
    <row r="41" ht="16.5" customHeight="1" s="237">
      <c r="A41" s="265" t="n"/>
      <c r="B41" s="203" t="n"/>
      <c r="C41" s="139" t="n"/>
      <c r="D41" s="139" t="n"/>
      <c r="E41" s="140" t="n"/>
      <c r="F41" s="140" t="n"/>
      <c r="G41" s="140" t="n"/>
      <c r="H41" s="258">
        <f>IF(A41="","",SUM(C42:G42))</f>
        <v/>
      </c>
      <c r="I41" s="60" t="n"/>
      <c r="J41" s="60" t="n"/>
      <c r="K41" s="60" t="n"/>
      <c r="L41" s="60" t="n"/>
      <c r="M41" s="60" t="n"/>
      <c r="N41" s="60" t="n"/>
      <c r="O41" s="60" t="n"/>
      <c r="P41" s="60" t="n"/>
      <c r="Q41" s="60" t="n"/>
      <c r="R41" s="60" t="n"/>
    </row>
    <row r="42" ht="16.5" customHeight="1" s="237">
      <c r="C42" s="258" t="n"/>
      <c r="D42" s="258" t="n"/>
      <c r="E42" s="258" t="n"/>
      <c r="F42" s="258" t="n"/>
      <c r="G42" s="258" t="n"/>
      <c r="I42" s="60" t="n"/>
      <c r="J42" s="60" t="n"/>
      <c r="K42" s="60" t="n"/>
      <c r="L42" s="60" t="n"/>
      <c r="M42" s="60" t="n"/>
      <c r="N42" s="60" t="n"/>
      <c r="O42" s="60" t="n"/>
      <c r="P42" s="60" t="n"/>
      <c r="Q42" s="60" t="n"/>
      <c r="R42" s="60" t="n"/>
    </row>
    <row r="43" ht="16.5" customHeight="1" s="237">
      <c r="A43" s="265" t="n"/>
      <c r="B43" s="203" t="n"/>
      <c r="C43" s="139" t="n"/>
      <c r="D43" s="139" t="n"/>
      <c r="E43" s="140" t="n"/>
      <c r="F43" s="140" t="n"/>
      <c r="G43" s="140" t="n"/>
      <c r="H43" s="258">
        <f>IF(A43="","",SUM(C44:G44))</f>
        <v/>
      </c>
      <c r="I43" s="60" t="n"/>
      <c r="J43" s="60" t="n"/>
      <c r="K43" s="60" t="n"/>
      <c r="L43" s="60" t="n"/>
      <c r="M43" s="60" t="n"/>
      <c r="N43" s="60" t="n"/>
      <c r="O43" s="60" t="n"/>
      <c r="P43" s="60" t="n"/>
      <c r="Q43" s="60" t="n"/>
      <c r="R43" s="60" t="n"/>
    </row>
    <row r="44" ht="16.5" customHeight="1" s="237">
      <c r="C44" s="258" t="n"/>
      <c r="D44" s="258" t="n"/>
      <c r="E44" s="258" t="n"/>
      <c r="F44" s="258" t="n"/>
      <c r="G44" s="258" t="n"/>
      <c r="I44" s="60" t="n"/>
      <c r="J44" s="60" t="n"/>
      <c r="K44" s="60" t="n"/>
      <c r="L44" s="60" t="n"/>
      <c r="M44" s="60" t="n"/>
      <c r="N44" s="60" t="n"/>
      <c r="O44" s="60" t="n"/>
      <c r="P44" s="60" t="n"/>
      <c r="Q44" s="60" t="n"/>
      <c r="R44" s="60" t="n"/>
    </row>
    <row r="45" ht="30" customHeight="1" s="237">
      <c r="A45" s="266" t="n"/>
      <c r="B45" s="72" t="n"/>
      <c r="C45" s="72" t="n"/>
      <c r="D45" s="72" t="n"/>
      <c r="E45" s="267" t="n"/>
      <c r="F45" s="267" t="n"/>
      <c r="G45" s="267" t="n"/>
      <c r="H45" s="267">
        <f>SUM(H15:H44)</f>
        <v/>
      </c>
    </row>
  </sheetData>
  <mergeCells count="67">
    <mergeCell ref="B27:B28"/>
    <mergeCell ref="H29:H30"/>
    <mergeCell ref="F5:H5"/>
    <mergeCell ref="B7:C7"/>
    <mergeCell ref="H43:H44"/>
    <mergeCell ref="G2:H2"/>
    <mergeCell ref="B43:B44"/>
    <mergeCell ref="B17:B18"/>
    <mergeCell ref="F8:H8"/>
    <mergeCell ref="A41:A42"/>
    <mergeCell ref="H41:H42"/>
    <mergeCell ref="A1:E1"/>
    <mergeCell ref="H21:H22"/>
    <mergeCell ref="H31:H32"/>
    <mergeCell ref="B29:B30"/>
    <mergeCell ref="B23:B24"/>
    <mergeCell ref="B39:B40"/>
    <mergeCell ref="H39:H40"/>
    <mergeCell ref="A27:A28"/>
    <mergeCell ref="H17:H18"/>
    <mergeCell ref="B13:B14"/>
    <mergeCell ref="A25:A26"/>
    <mergeCell ref="A37:A38"/>
    <mergeCell ref="F9:H9"/>
    <mergeCell ref="G3:H3"/>
    <mergeCell ref="B37:B38"/>
    <mergeCell ref="B15:B16"/>
    <mergeCell ref="B19:B20"/>
    <mergeCell ref="H19:H20"/>
    <mergeCell ref="A21:A22"/>
    <mergeCell ref="H13:H14"/>
    <mergeCell ref="H27:H28"/>
    <mergeCell ref="A17:A18"/>
    <mergeCell ref="E2:F2"/>
    <mergeCell ref="A13:A14"/>
    <mergeCell ref="F1:H1"/>
    <mergeCell ref="A33:A34"/>
    <mergeCell ref="A29:A30"/>
    <mergeCell ref="B33:B34"/>
    <mergeCell ref="A23:A24"/>
    <mergeCell ref="F4:H4"/>
    <mergeCell ref="H37:H38"/>
    <mergeCell ref="H15:H16"/>
    <mergeCell ref="A19:A20"/>
    <mergeCell ref="F11:H11"/>
    <mergeCell ref="A35:A36"/>
    <mergeCell ref="B6:C6"/>
    <mergeCell ref="F10:H10"/>
    <mergeCell ref="A43:A44"/>
    <mergeCell ref="F6:H6"/>
    <mergeCell ref="H33:H34"/>
    <mergeCell ref="B5:C5"/>
    <mergeCell ref="A39:A40"/>
    <mergeCell ref="A15:A16"/>
    <mergeCell ref="B25:B26"/>
    <mergeCell ref="B41:B42"/>
    <mergeCell ref="A31:A32"/>
    <mergeCell ref="F12:H12"/>
    <mergeCell ref="F7:H7"/>
    <mergeCell ref="H23:H24"/>
    <mergeCell ref="E3:F3"/>
    <mergeCell ref="H25:H26"/>
    <mergeCell ref="B21:B22"/>
    <mergeCell ref="B4:C4"/>
    <mergeCell ref="B35:B36"/>
    <mergeCell ref="H35:H36"/>
    <mergeCell ref="B31:B32"/>
  </mergeCells>
  <printOptions horizontalCentered="1"/>
  <pageMargins left="0.3149606299212598" right="0.3149606299212598" top="0.3543307086614174" bottom="0.3543307086614174" header="0.3149606299212598" footer="0.3149606299212598"/>
  <pageSetup orientation="portrait" paperSize="9" scale="99" fitToHeight="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9">
    <outlinePr summaryBelow="1" summaryRight="1"/>
    <pageSetUpPr fitToPage="1"/>
  </sheetPr>
  <dimension ref="A1:P181"/>
  <sheetViews>
    <sheetView showGridLines="0" zoomScaleNormal="100" workbookViewId="0">
      <selection activeCell="C21" sqref="C21"/>
    </sheetView>
  </sheetViews>
  <sheetFormatPr baseColWidth="8" defaultColWidth="14.42578125" defaultRowHeight="15" customHeight="1"/>
  <cols>
    <col width="11.28515625" customWidth="1" style="237" min="1" max="1"/>
    <col width="16" customWidth="1" style="237" min="2" max="2"/>
    <col width="14.5703125" customWidth="1" style="237" min="3" max="3"/>
    <col width="13.28515625" customWidth="1" style="237" min="4" max="4"/>
    <col width="14.140625" customWidth="1" style="237" min="5" max="5"/>
    <col width="8.7109375" customWidth="1" style="237" min="7" max="16"/>
  </cols>
  <sheetData>
    <row r="1" ht="16.5" customHeight="1" s="237">
      <c r="A1" s="225" t="inlineStr">
        <is>
          <t>Balance Sheet</t>
        </is>
      </c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</row>
    <row r="2" ht="16.5" customHeight="1" s="237">
      <c r="G2" s="6" t="n"/>
      <c r="H2" s="6" t="n"/>
      <c r="I2" s="6" t="n"/>
      <c r="J2" s="6" t="n"/>
      <c r="K2" s="6" t="n"/>
      <c r="L2" s="6" t="n"/>
      <c r="M2" s="6" t="n"/>
      <c r="N2" s="6" t="n"/>
      <c r="O2" s="6" t="n"/>
      <c r="P2" s="6" t="n"/>
    </row>
    <row r="3" ht="16.5" customHeight="1" s="237">
      <c r="A3" s="34" t="n"/>
      <c r="B3" s="36" t="n"/>
      <c r="C3" s="36" t="n"/>
      <c r="D3" s="36" t="n"/>
      <c r="E3" s="36" t="n"/>
      <c r="F3" s="3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6" t="n"/>
    </row>
    <row r="4" ht="16.5" customHeight="1" s="237">
      <c r="A4" s="227" t="inlineStr">
        <is>
          <t>Client:</t>
        </is>
      </c>
      <c r="B4" s="227" t="n"/>
      <c r="D4" s="36" t="inlineStr">
        <is>
          <t>Claim No.:</t>
        </is>
      </c>
      <c r="E4" s="229">
        <f>IF(B4="","",VLOOKUP(B4,'CLIENT DATA'!$A$2:$S$149869,9,FALSE))</f>
        <v/>
      </c>
      <c r="G4" s="6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</row>
    <row r="5" ht="16.5" customHeight="1" s="237">
      <c r="A5" s="34" t="n"/>
      <c r="B5" s="36" t="n"/>
      <c r="C5" s="36" t="n"/>
      <c r="D5" s="36" t="n"/>
      <c r="E5" s="36" t="n"/>
      <c r="F5" s="3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  <c r="P5" s="6" t="n"/>
    </row>
    <row r="6" ht="16.5" customHeight="1" s="237">
      <c r="A6" s="37" t="inlineStr">
        <is>
          <t>Invoice</t>
        </is>
      </c>
      <c r="B6" s="37" t="inlineStr">
        <is>
          <t>Serviced From</t>
        </is>
      </c>
      <c r="C6" s="37" t="inlineStr">
        <is>
          <t>Serviced Too</t>
        </is>
      </c>
      <c r="D6" s="38" t="inlineStr">
        <is>
          <t>Date Sent</t>
        </is>
      </c>
      <c r="E6" s="37" t="inlineStr">
        <is>
          <t>Amount Due</t>
        </is>
      </c>
      <c r="F6" s="37" t="inlineStr">
        <is>
          <t>Amount Paid</t>
        </is>
      </c>
      <c r="G6" s="6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</row>
    <row r="7" ht="16.5" customHeight="1" s="237">
      <c r="A7" s="159" t="n"/>
      <c r="B7" s="268">
        <f>IF($A7="","",VLOOKUP($A7,'INVOICE TRACKER'!$B$7:$N$94244,4,FALSE))</f>
        <v/>
      </c>
      <c r="C7" s="268">
        <f>IF($A7="","",VLOOKUP($A7,'INVOICE TRACKER'!$B$7:$N$94244,5,FALSE))</f>
        <v/>
      </c>
      <c r="D7" s="269">
        <f>IF($A7="","",IF(VLOOKUP($A7,'INVOICE TRACKER'!$B$7:$N$94244,8,FALSE)="","",VLOOKUP($A7,'INVOICE TRACKER'!$B$7:$N$94244,8,FALSE)))</f>
        <v/>
      </c>
      <c r="E7" s="270">
        <f>IF($A7="","",VLOOKUP($A7,'INVOICE TRACKER'!$B$7:$N$94244,6,FALSE))</f>
        <v/>
      </c>
      <c r="F7" s="271">
        <f>IF($A7="","",VLOOKUP($A7,'INVOICE TRACKER'!$B$7:$N$94244,9,FALSE))</f>
        <v/>
      </c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</row>
    <row r="8" ht="16.5" customHeight="1" s="237">
      <c r="A8" s="159" t="n"/>
      <c r="B8" s="268">
        <f>IF($A8="","",VLOOKUP($A8,'INVOICE TRACKER'!$B$7:$N$94244,4,FALSE))</f>
        <v/>
      </c>
      <c r="C8" s="268">
        <f>IF($A8="","",VLOOKUP($A8,'INVOICE TRACKER'!$B$7:$N$94244,5,FALSE))</f>
        <v/>
      </c>
      <c r="D8" s="269">
        <f>IF($A8="","",IF(VLOOKUP($A8,'INVOICE TRACKER'!$B$7:$N$94244,8,FALSE)="","",VLOOKUP($A8,'INVOICE TRACKER'!$B$7:$N$94244,8,FALSE)))</f>
        <v/>
      </c>
      <c r="E8" s="270">
        <f>IF($A8="","",VLOOKUP($A8,'INVOICE TRACKER'!$B$7:$N$94244,6,FALSE))</f>
        <v/>
      </c>
      <c r="F8" s="271">
        <f>IF($A8="","",VLOOKUP($A8,'INVOICE TRACKER'!$B$7:$N$94244,9,FALSE))</f>
        <v/>
      </c>
      <c r="G8" s="6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</row>
    <row r="9" ht="16.5" customHeight="1" s="237">
      <c r="A9" s="160" t="n"/>
      <c r="B9" s="268">
        <f>IF($A9="","",VLOOKUP($A9,'INVOICE TRACKER'!$B$7:$N$94244,4,FALSE))</f>
        <v/>
      </c>
      <c r="C9" s="268">
        <f>IF($A9="","",VLOOKUP($A9,'INVOICE TRACKER'!$B$7:$N$94244,5,FALSE))</f>
        <v/>
      </c>
      <c r="D9" s="269">
        <f>IF($A9="","",IF(VLOOKUP($A9,'INVOICE TRACKER'!$B$7:$N$94244,8,FALSE)="","",VLOOKUP($A9,'INVOICE TRACKER'!$B$7:$N$94244,8,FALSE)))</f>
        <v/>
      </c>
      <c r="E9" s="270">
        <f>IF($A9="","",VLOOKUP($A9,'INVOICE TRACKER'!$B$7:$N$94244,6,FALSE))</f>
        <v/>
      </c>
      <c r="F9" s="271">
        <f>IF($A9="","",VLOOKUP($A9,'INVOICE TRACKER'!$B$7:$N$94244,9,FALSE))</f>
        <v/>
      </c>
      <c r="G9" s="6" t="n"/>
      <c r="H9" s="6" t="n"/>
      <c r="I9" s="6" t="n"/>
      <c r="J9" s="6" t="n"/>
      <c r="K9" s="6" t="n"/>
      <c r="L9" s="6" t="n"/>
      <c r="M9" s="6" t="n"/>
      <c r="N9" s="6" t="n"/>
      <c r="O9" s="6" t="n"/>
      <c r="P9" s="6" t="n"/>
    </row>
    <row r="10" ht="16.5" customHeight="1" s="237">
      <c r="A10" s="34" t="n"/>
      <c r="B10" s="268">
        <f>IF($A10="","",VLOOKUP($A10,'INVOICE TRACKER'!$B$7:$N$94244,4,FALSE))</f>
        <v/>
      </c>
      <c r="C10" s="268">
        <f>IF($A10="","",VLOOKUP($A10,'INVOICE TRACKER'!$B$7:$N$94244,5,FALSE))</f>
        <v/>
      </c>
      <c r="D10" s="269">
        <f>IF($A10="","",IF(VLOOKUP($A10,'INVOICE TRACKER'!$B$7:$N$94244,8,FALSE)="","",VLOOKUP($A10,'INVOICE TRACKER'!$B$7:$N$94244,8,FALSE)))</f>
        <v/>
      </c>
      <c r="E10" s="270">
        <f>IF($A10="","",VLOOKUP($A10,'INVOICE TRACKER'!$B$7:$N$94244,6,FALSE))</f>
        <v/>
      </c>
      <c r="F10" s="271">
        <f>IF($A10="","",VLOOKUP($A10,'INVOICE TRACKER'!$B$7:$N$94244,9,FALSE))</f>
        <v/>
      </c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</row>
    <row r="11" ht="16.5" customHeight="1" s="237">
      <c r="A11" s="34" t="n"/>
      <c r="B11" s="268">
        <f>IF($A11="","",VLOOKUP($A11,'INVOICE TRACKER'!$B$7:$N$94244,4,FALSE))</f>
        <v/>
      </c>
      <c r="C11" s="268">
        <f>IF($A11="","",VLOOKUP($A11,'INVOICE TRACKER'!$B$7:$N$94244,5,FALSE))</f>
        <v/>
      </c>
      <c r="D11" s="269">
        <f>IF($A11="","",IF(VLOOKUP($A11,'INVOICE TRACKER'!$B$7:$N$94244,8,FALSE)="","",VLOOKUP($A11,'INVOICE TRACKER'!$B$7:$N$94244,8,FALSE)))</f>
        <v/>
      </c>
      <c r="E11" s="270">
        <f>IF($A11="","",VLOOKUP($A11,'INVOICE TRACKER'!$B$7:$N$94244,6,FALSE))</f>
        <v/>
      </c>
      <c r="F11" s="271">
        <f>IF($A11="","",VLOOKUP($A11,'INVOICE TRACKER'!$B$7:$N$94244,9,FALSE))</f>
        <v/>
      </c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</row>
    <row r="12" ht="16.5" customHeight="1" s="237">
      <c r="A12" s="34" t="n"/>
      <c r="B12" s="268">
        <f>IF($A12="","",VLOOKUP($A12,'INVOICE TRACKER'!$B$7:$N$94244,4,FALSE))</f>
        <v/>
      </c>
      <c r="C12" s="268">
        <f>IF($A12="","",VLOOKUP($A12,'INVOICE TRACKER'!$B$7:$N$94244,5,FALSE))</f>
        <v/>
      </c>
      <c r="D12" s="269">
        <f>IF($A12="","",IF(VLOOKUP($A12,'INVOICE TRACKER'!$B$7:$N$94244,8,FALSE)="","",VLOOKUP($A12,'INVOICE TRACKER'!$B$7:$N$94244,8,FALSE)))</f>
        <v/>
      </c>
      <c r="E12" s="270">
        <f>IF($A12="","",VLOOKUP($A12,'INVOICE TRACKER'!$B$7:$N$94244,6,FALSE))</f>
        <v/>
      </c>
      <c r="F12" s="271">
        <f>IF($A12="","",VLOOKUP($A12,'INVOICE TRACKER'!$B$7:$N$94244,9,FALSE))</f>
        <v/>
      </c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</row>
    <row r="13" ht="16.5" customHeight="1" s="237">
      <c r="A13" s="34" t="n"/>
      <c r="B13" s="268">
        <f>IF($A13="","",VLOOKUP($A13,'INVOICE TRACKER'!$B$7:$N$94244,4,FALSE))</f>
        <v/>
      </c>
      <c r="C13" s="268">
        <f>IF($A13="","",VLOOKUP($A13,'INVOICE TRACKER'!$B$7:$N$94244,5,FALSE))</f>
        <v/>
      </c>
      <c r="D13" s="269">
        <f>IF($A13="","",IF(VLOOKUP($A13,'INVOICE TRACKER'!$B$7:$N$94244,8,FALSE)="","",VLOOKUP($A13,'INVOICE TRACKER'!$B$7:$N$94244,8,FALSE)))</f>
        <v/>
      </c>
      <c r="E13" s="270">
        <f>IF($A13="","",VLOOKUP($A13,'INVOICE TRACKER'!$B$7:$N$94244,6,FALSE))</f>
        <v/>
      </c>
      <c r="F13" s="271">
        <f>IF($A13="","",VLOOKUP($A13,'INVOICE TRACKER'!$B$7:$N$94244,9,FALSE))</f>
        <v/>
      </c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</row>
    <row r="14" ht="16.5" customHeight="1" s="237">
      <c r="A14" s="34" t="n"/>
      <c r="B14" s="268">
        <f>IF($A14="","",VLOOKUP($A14,'INVOICE TRACKER'!$B$7:$N$94244,4,FALSE))</f>
        <v/>
      </c>
      <c r="C14" s="268">
        <f>IF($A14="","",VLOOKUP($A14,'INVOICE TRACKER'!$B$7:$N$94244,5,FALSE))</f>
        <v/>
      </c>
      <c r="D14" s="269">
        <f>IF($A14="","",IF(VLOOKUP($A14,'INVOICE TRACKER'!$B$7:$N$94244,8,FALSE)="","",VLOOKUP($A14,'INVOICE TRACKER'!$B$7:$N$94244,8,FALSE)))</f>
        <v/>
      </c>
      <c r="E14" s="270">
        <f>IF($A14="","",VLOOKUP($A14,'INVOICE TRACKER'!$B$7:$N$94244,6,FALSE))</f>
        <v/>
      </c>
      <c r="F14" s="271">
        <f>IF($A14="","",VLOOKUP($A14,'INVOICE TRACKER'!$B$7:$N$94244,9,FALSE))</f>
        <v/>
      </c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</row>
    <row r="15" ht="16.5" customHeight="1" s="237">
      <c r="A15" s="34" t="n"/>
      <c r="B15" s="268">
        <f>IF($A15="","",VLOOKUP($A15,'INVOICE TRACKER'!$B$7:$N$94244,4,FALSE))</f>
        <v/>
      </c>
      <c r="C15" s="268">
        <f>IF($A15="","",VLOOKUP($A15,'INVOICE TRACKER'!$B$7:$N$94244,5,FALSE))</f>
        <v/>
      </c>
      <c r="D15" s="269">
        <f>IF($A15="","",IF(VLOOKUP($A15,'INVOICE TRACKER'!$B$7:$N$94244,8,FALSE)="","",VLOOKUP($A15,'INVOICE TRACKER'!$B$7:$N$94244,8,FALSE)))</f>
        <v/>
      </c>
      <c r="E15" s="270">
        <f>IF($A15="","",VLOOKUP($A15,'INVOICE TRACKER'!$B$7:$N$94244,6,FALSE))</f>
        <v/>
      </c>
      <c r="F15" s="271">
        <f>IF($A15="","",VLOOKUP($A15,'INVOICE TRACKER'!$B$7:$N$94244,9,FALSE))</f>
        <v/>
      </c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</row>
    <row r="16" ht="16.5" customHeight="1" s="237">
      <c r="A16" s="34" t="n"/>
      <c r="B16" s="268">
        <f>IF($A16="","",VLOOKUP($A16,'INVOICE TRACKER'!$B$7:$N$94244,4,FALSE))</f>
        <v/>
      </c>
      <c r="C16" s="268">
        <f>IF($A16="","",VLOOKUP($A16,'INVOICE TRACKER'!$B$7:$N$94244,5,FALSE))</f>
        <v/>
      </c>
      <c r="D16" s="269">
        <f>IF($A16="","",IF(VLOOKUP($A16,'INVOICE TRACKER'!$B$7:$N$94244,8,FALSE)="","",VLOOKUP($A16,'INVOICE TRACKER'!$B$7:$N$94244,8,FALSE)))</f>
        <v/>
      </c>
      <c r="E16" s="270">
        <f>IF($A16="","",VLOOKUP($A16,'INVOICE TRACKER'!$B$7:$N$94244,6,FALSE))</f>
        <v/>
      </c>
      <c r="F16" s="271">
        <f>IF($A16="","",VLOOKUP($A16,'INVOICE TRACKER'!$B$7:$N$94244,9,FALSE))</f>
        <v/>
      </c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</row>
    <row r="17" ht="16.5" customHeight="1" s="237">
      <c r="A17" s="34" t="n"/>
      <c r="B17" s="268">
        <f>IF($A17="","",VLOOKUP($A17,'INVOICE TRACKER'!$B$7:$N$94244,4,FALSE))</f>
        <v/>
      </c>
      <c r="C17" s="268">
        <f>IF($A17="","",VLOOKUP($A17,'INVOICE TRACKER'!$B$7:$N$94244,5,FALSE))</f>
        <v/>
      </c>
      <c r="D17" s="269">
        <f>IF($A17="","",IF(VLOOKUP($A17,'INVOICE TRACKER'!$B$7:$N$94244,8,FALSE)="","",VLOOKUP($A17,'INVOICE TRACKER'!$B$7:$N$94244,8,FALSE)))</f>
        <v/>
      </c>
      <c r="E17" s="270">
        <f>IF($A17="","",VLOOKUP($A17,'INVOICE TRACKER'!$B$7:$N$94244,6,FALSE))</f>
        <v/>
      </c>
      <c r="F17" s="271">
        <f>IF($A17="","",VLOOKUP($A17,'INVOICE TRACKER'!$B$7:$N$94244,9,FALSE))</f>
        <v/>
      </c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</row>
    <row r="18" ht="16.5" customHeight="1" s="237">
      <c r="A18" s="34" t="n"/>
      <c r="B18" s="268">
        <f>IF($A18="","",VLOOKUP($A18,'INVOICE TRACKER'!$B$7:$N$94244,4,FALSE))</f>
        <v/>
      </c>
      <c r="C18" s="268">
        <f>IF($A18="","",VLOOKUP($A18,'INVOICE TRACKER'!$B$7:$N$94244,5,FALSE))</f>
        <v/>
      </c>
      <c r="D18" s="269">
        <f>IF($A18="","",IF(VLOOKUP($A18,'INVOICE TRACKER'!$B$7:$N$94244,8,FALSE)="","",VLOOKUP($A18,'INVOICE TRACKER'!$B$7:$N$94244,8,FALSE)))</f>
        <v/>
      </c>
      <c r="E18" s="270">
        <f>IF($A18="","",VLOOKUP($A18,'INVOICE TRACKER'!$B$7:$N$94244,6,FALSE))</f>
        <v/>
      </c>
      <c r="F18" s="271">
        <f>IF($A18="","",VLOOKUP($A18,'INVOICE TRACKER'!$B$7:$N$94244,9,FALSE))</f>
        <v/>
      </c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</row>
    <row r="19" ht="16.5" customHeight="1" s="237">
      <c r="A19" s="34" t="n"/>
      <c r="B19" s="268">
        <f>IF($A19="","",VLOOKUP($A19,'INVOICE TRACKER'!$B$7:$N$94244,4,FALSE))</f>
        <v/>
      </c>
      <c r="C19" s="268">
        <f>IF($A19="","",VLOOKUP($A19,'INVOICE TRACKER'!$B$7:$N$94244,5,FALSE))</f>
        <v/>
      </c>
      <c r="D19" s="269">
        <f>IF($A19="","",IF(VLOOKUP($A19,'INVOICE TRACKER'!$B$7:$N$94244,8,FALSE)="","",VLOOKUP($A19,'INVOICE TRACKER'!$B$7:$N$94244,8,FALSE)))</f>
        <v/>
      </c>
      <c r="E19" s="270">
        <f>IF($A19="","",VLOOKUP($A19,'INVOICE TRACKER'!$B$7:$N$94244,6,FALSE))</f>
        <v/>
      </c>
      <c r="F19" s="271">
        <f>IF($A19="","",VLOOKUP($A19,'INVOICE TRACKER'!$B$7:$N$94244,9,FALSE))</f>
        <v/>
      </c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</row>
    <row r="20" ht="16.5" customHeight="1" s="237">
      <c r="A20" s="34" t="n"/>
      <c r="B20" s="268">
        <f>IF($A20="","",VLOOKUP($A20,'INVOICE TRACKER'!$B$7:$N$94244,4,FALSE))</f>
        <v/>
      </c>
      <c r="C20" s="268">
        <f>IF($A20="","",VLOOKUP($A20,'INVOICE TRACKER'!$B$7:$N$94244,5,FALSE))</f>
        <v/>
      </c>
      <c r="D20" s="269">
        <f>IF($A20="","",IF(VLOOKUP($A20,'INVOICE TRACKER'!$B$7:$N$94244,8,FALSE)="","",VLOOKUP($A20,'INVOICE TRACKER'!$B$7:$N$94244,8,FALSE)))</f>
        <v/>
      </c>
      <c r="E20" s="270">
        <f>IF($A20="","",VLOOKUP($A20,'INVOICE TRACKER'!$B$7:$N$94244,6,FALSE))</f>
        <v/>
      </c>
      <c r="F20" s="271">
        <f>IF($A20="","",VLOOKUP($A20,'INVOICE TRACKER'!$B$7:$N$94244,9,FALSE))</f>
        <v/>
      </c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</row>
    <row r="21" ht="16.5" customHeight="1" s="237">
      <c r="A21" s="34" t="n"/>
      <c r="B21" s="268">
        <f>IF($A21="","",VLOOKUP($A21,'INVOICE TRACKER'!$B$7:$N$94244,4,FALSE))</f>
        <v/>
      </c>
      <c r="C21" s="268">
        <f>IF($A21="","",VLOOKUP($A21,'INVOICE TRACKER'!$B$7:$N$94244,5,FALSE))</f>
        <v/>
      </c>
      <c r="D21" s="269">
        <f>IF($A21="","",IF(VLOOKUP($A21,'INVOICE TRACKER'!$B$7:$N$94244,8,FALSE)="","",VLOOKUP($A21,'INVOICE TRACKER'!$B$7:$N$94244,8,FALSE)))</f>
        <v/>
      </c>
      <c r="E21" s="270">
        <f>IF($A21="","",VLOOKUP($A21,'INVOICE TRACKER'!$B$7:$N$94244,6,FALSE))</f>
        <v/>
      </c>
      <c r="F21" s="271">
        <f>IF($A21="","",VLOOKUP($A21,'INVOICE TRACKER'!$B$7:$N$94244,9,FALSE))</f>
        <v/>
      </c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</row>
    <row r="22" ht="16.5" customHeight="1" s="237">
      <c r="A22" s="34" t="n"/>
      <c r="B22" s="268">
        <f>IF($A22="","",VLOOKUP($A22,'INVOICE TRACKER'!$B$7:$N$94244,4,FALSE))</f>
        <v/>
      </c>
      <c r="C22" s="268">
        <f>IF($A22="","",VLOOKUP($A22,'INVOICE TRACKER'!$B$7:$N$94244,5,FALSE))</f>
        <v/>
      </c>
      <c r="D22" s="269">
        <f>IF($A22="","",IF(VLOOKUP($A22,'INVOICE TRACKER'!$B$7:$N$94244,8,FALSE)="","",VLOOKUP($A22,'INVOICE TRACKER'!$B$7:$N$94244,8,FALSE)))</f>
        <v/>
      </c>
      <c r="E22" s="270">
        <f>IF($A22="","",VLOOKUP($A22,'INVOICE TRACKER'!$B$7:$N$94244,6,FALSE))</f>
        <v/>
      </c>
      <c r="F22" s="271">
        <f>IF($A22="","",VLOOKUP($A22,'INVOICE TRACKER'!$B$7:$N$94244,9,FALSE))</f>
        <v/>
      </c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</row>
    <row r="23" ht="16.5" customHeight="1" s="237">
      <c r="A23" s="34" t="n"/>
      <c r="B23" s="268">
        <f>IF($A23="","",VLOOKUP($A23,'INVOICE TRACKER'!$B$7:$N$94244,4,FALSE))</f>
        <v/>
      </c>
      <c r="C23" s="268">
        <f>IF($A23="","",VLOOKUP($A23,'INVOICE TRACKER'!$B$7:$N$94244,5,FALSE))</f>
        <v/>
      </c>
      <c r="D23" s="269">
        <f>IF($A23="","",IF(VLOOKUP($A23,'INVOICE TRACKER'!$B$7:$N$94244,8,FALSE)="","",VLOOKUP($A23,'INVOICE TRACKER'!$B$7:$N$94244,8,FALSE)))</f>
        <v/>
      </c>
      <c r="E23" s="270">
        <f>IF($A23="","",VLOOKUP($A23,'INVOICE TRACKER'!$B$7:$N$94244,6,FALSE))</f>
        <v/>
      </c>
      <c r="F23" s="271">
        <f>IF($A23="","",VLOOKUP($A23,'INVOICE TRACKER'!$B$7:$N$94244,9,FALSE))</f>
        <v/>
      </c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</row>
    <row r="24" ht="16.5" customHeight="1" s="237">
      <c r="A24" s="34" t="n"/>
      <c r="B24" s="268">
        <f>IF($A24="","",VLOOKUP($A24,'INVOICE TRACKER'!$B$7:$N$94244,4,FALSE))</f>
        <v/>
      </c>
      <c r="C24" s="268">
        <f>IF($A24="","",VLOOKUP($A24,'INVOICE TRACKER'!$B$7:$N$94244,5,FALSE))</f>
        <v/>
      </c>
      <c r="D24" s="269">
        <f>IF($A24="","",IF(VLOOKUP($A24,'INVOICE TRACKER'!$B$7:$N$94244,8,FALSE)="","",VLOOKUP($A24,'INVOICE TRACKER'!$B$7:$N$94244,8,FALSE)))</f>
        <v/>
      </c>
      <c r="E24" s="270">
        <f>IF($A24="","",VLOOKUP($A24,'INVOICE TRACKER'!$B$7:$N$94244,6,FALSE))</f>
        <v/>
      </c>
      <c r="F24" s="271">
        <f>IF($A24="","",VLOOKUP($A24,'INVOICE TRACKER'!$B$7:$N$94244,9,FALSE))</f>
        <v/>
      </c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</row>
    <row r="25" ht="16.5" customHeight="1" s="237">
      <c r="A25" s="34" t="n"/>
      <c r="B25" s="268">
        <f>IF($A25="","",VLOOKUP($A25,'INVOICE TRACKER'!$B$7:$N$94244,4,FALSE))</f>
        <v/>
      </c>
      <c r="C25" s="268">
        <f>IF($A25="","",VLOOKUP($A25,'INVOICE TRACKER'!$B$7:$N$94244,5,FALSE))</f>
        <v/>
      </c>
      <c r="D25" s="269">
        <f>IF($A25="","",IF(VLOOKUP($A25,'INVOICE TRACKER'!$B$7:$N$94244,8,FALSE)="","",VLOOKUP($A25,'INVOICE TRACKER'!$B$7:$N$94244,8,FALSE)))</f>
        <v/>
      </c>
      <c r="E25" s="270">
        <f>IF($A25="","",VLOOKUP($A25,'INVOICE TRACKER'!$B$7:$N$94244,6,FALSE))</f>
        <v/>
      </c>
      <c r="F25" s="271">
        <f>IF($A25="","",VLOOKUP($A25,'INVOICE TRACKER'!$B$7:$N$94244,9,FALSE))</f>
        <v/>
      </c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</row>
    <row r="26" ht="16.5" customHeight="1" s="237">
      <c r="A26" s="34" t="n"/>
      <c r="B26" s="268">
        <f>IF($A26="","",VLOOKUP($A26,'INVOICE TRACKER'!$B$7:$N$94244,4,FALSE))</f>
        <v/>
      </c>
      <c r="C26" s="268">
        <f>IF($A26="","",VLOOKUP($A26,'INVOICE TRACKER'!$B$7:$N$94244,5,FALSE))</f>
        <v/>
      </c>
      <c r="D26" s="269">
        <f>IF($A26="","",IF(VLOOKUP($A26,'INVOICE TRACKER'!$B$7:$N$94244,8,FALSE)="","",VLOOKUP($A26,'INVOICE TRACKER'!$B$7:$N$94244,8,FALSE)))</f>
        <v/>
      </c>
      <c r="E26" s="270">
        <f>IF($A26="","",VLOOKUP($A26,'INVOICE TRACKER'!$B$7:$N$94244,6,FALSE))</f>
        <v/>
      </c>
      <c r="F26" s="271">
        <f>IF($A26="","",VLOOKUP($A26,'INVOICE TRACKER'!$B$7:$N$94244,9,FALSE))</f>
        <v/>
      </c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</row>
    <row r="27" ht="16.5" customHeight="1" s="237">
      <c r="A27" s="34" t="n"/>
      <c r="B27" s="268">
        <f>IF($A27="","",VLOOKUP($A27,'INVOICE TRACKER'!$B$7:$N$94244,4,FALSE))</f>
        <v/>
      </c>
      <c r="C27" s="268">
        <f>IF($A27="","",VLOOKUP($A27,'INVOICE TRACKER'!$B$7:$N$94244,5,FALSE))</f>
        <v/>
      </c>
      <c r="D27" s="269">
        <f>IF($A27="","",IF(VLOOKUP($A27,'INVOICE TRACKER'!$B$7:$N$94244,8,FALSE)="","",VLOOKUP($A27,'INVOICE TRACKER'!$B$7:$N$94244,8,FALSE)))</f>
        <v/>
      </c>
      <c r="E27" s="270">
        <f>IF($A27="","",VLOOKUP($A27,'INVOICE TRACKER'!$B$7:$N$94244,6,FALSE))</f>
        <v/>
      </c>
      <c r="F27" s="271">
        <f>IF($A27="","",VLOOKUP($A27,'INVOICE TRACKER'!$B$7:$N$94244,9,FALSE))</f>
        <v/>
      </c>
      <c r="G27" s="6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</row>
    <row r="28" ht="16.5" customHeight="1" s="237">
      <c r="A28" s="34" t="n"/>
      <c r="B28" s="268">
        <f>IF($A28="","",VLOOKUP($A28,'INVOICE TRACKER'!$B$7:$N$94244,4,FALSE))</f>
        <v/>
      </c>
      <c r="C28" s="268">
        <f>IF($A28="","",VLOOKUP($A28,'INVOICE TRACKER'!$B$7:$N$94244,5,FALSE))</f>
        <v/>
      </c>
      <c r="D28" s="269">
        <f>IF($A28="","",IF(VLOOKUP($A28,'INVOICE TRACKER'!$B$7:$N$94244,8,FALSE)="","",VLOOKUP($A28,'INVOICE TRACKER'!$B$7:$N$94244,8,FALSE)))</f>
        <v/>
      </c>
      <c r="E28" s="270">
        <f>IF($A28="","",VLOOKUP($A28,'INVOICE TRACKER'!$B$7:$N$94244,6,FALSE))</f>
        <v/>
      </c>
      <c r="F28" s="271">
        <f>IF($A28="","",VLOOKUP($A28,'INVOICE TRACKER'!$B$7:$N$94244,9,FALSE))</f>
        <v/>
      </c>
      <c r="G28" s="6" t="n"/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</row>
    <row r="29" ht="16.5" customHeight="1" s="237">
      <c r="A29" s="34" t="n"/>
      <c r="B29" s="268">
        <f>IF($A29="","",VLOOKUP($A29,'INVOICE TRACKER'!$B$7:$N$94244,4,FALSE))</f>
        <v/>
      </c>
      <c r="C29" s="268">
        <f>IF($A29="","",VLOOKUP($A29,'INVOICE TRACKER'!$B$7:$N$94244,5,FALSE))</f>
        <v/>
      </c>
      <c r="D29" s="269">
        <f>IF($A29="","",IF(VLOOKUP($A29,'INVOICE TRACKER'!$B$7:$N$94244,8,FALSE)="","",VLOOKUP($A29,'INVOICE TRACKER'!$B$7:$N$94244,8,FALSE)))</f>
        <v/>
      </c>
      <c r="E29" s="270">
        <f>IF($A29="","",VLOOKUP($A29,'INVOICE TRACKER'!$B$7:$N$94244,6,FALSE))</f>
        <v/>
      </c>
      <c r="F29" s="271">
        <f>IF($A29="","",VLOOKUP($A29,'INVOICE TRACKER'!$B$7:$N$94244,9,FALSE))</f>
        <v/>
      </c>
      <c r="G29" s="6" t="n"/>
      <c r="H29" s="6" t="n"/>
      <c r="I29" s="6" t="n"/>
      <c r="J29" s="6" t="n"/>
      <c r="K29" s="6" t="n"/>
      <c r="L29" s="6" t="n"/>
      <c r="M29" s="6" t="n"/>
      <c r="N29" s="6" t="n"/>
      <c r="O29" s="6" t="n"/>
      <c r="P29" s="6" t="n"/>
    </row>
    <row r="30" ht="16.5" customHeight="1" s="237">
      <c r="A30" s="34" t="n"/>
      <c r="B30" s="268">
        <f>IF($A30="","",VLOOKUP($A30,'INVOICE TRACKER'!$B$7:$N$94244,4,FALSE))</f>
        <v/>
      </c>
      <c r="C30" s="268">
        <f>IF($A30="","",VLOOKUP($A30,'INVOICE TRACKER'!$B$7:$N$94244,5,FALSE))</f>
        <v/>
      </c>
      <c r="D30" s="269">
        <f>IF($A30="","",IF(VLOOKUP($A30,'INVOICE TRACKER'!$B$7:$N$94244,8,FALSE)="","",VLOOKUP($A30,'INVOICE TRACKER'!$B$7:$N$94244,8,FALSE)))</f>
        <v/>
      </c>
      <c r="E30" s="270">
        <f>IF($A30="","",VLOOKUP($A30,'INVOICE TRACKER'!$B$7:$N$94244,6,FALSE))</f>
        <v/>
      </c>
      <c r="F30" s="271">
        <f>IF($A30="","",VLOOKUP($A30,'INVOICE TRACKER'!$B$7:$N$94244,9,FALSE))</f>
        <v/>
      </c>
      <c r="G30" s="6" t="n"/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</row>
    <row r="31" ht="16.5" customHeight="1" s="237">
      <c r="A31" s="34" t="n"/>
      <c r="B31" s="268">
        <f>IF($A31="","",VLOOKUP($A31,'INVOICE TRACKER'!$B$7:$N$94244,4,FALSE))</f>
        <v/>
      </c>
      <c r="C31" s="268">
        <f>IF($A31="","",VLOOKUP($A31,'INVOICE TRACKER'!$B$7:$N$94244,5,FALSE))</f>
        <v/>
      </c>
      <c r="D31" s="269">
        <f>IF($A31="","",IF(VLOOKUP($A31,'INVOICE TRACKER'!$B$7:$N$94244,8,FALSE)="","",VLOOKUP($A31,'INVOICE TRACKER'!$B$7:$N$94244,8,FALSE)))</f>
        <v/>
      </c>
      <c r="E31" s="270">
        <f>IF($A31="","",VLOOKUP($A31,'INVOICE TRACKER'!$B$7:$N$94244,6,FALSE))</f>
        <v/>
      </c>
      <c r="F31" s="271">
        <f>IF($A31="","",VLOOKUP($A31,'INVOICE TRACKER'!$B$7:$N$94244,9,FALSE))</f>
        <v/>
      </c>
      <c r="G31" s="6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</row>
    <row r="32" ht="16.5" customHeight="1" s="237">
      <c r="A32" s="34" t="n"/>
      <c r="B32" s="268">
        <f>IF($A32="","",VLOOKUP($A32,'INVOICE TRACKER'!$B$7:$N$94244,4,FALSE))</f>
        <v/>
      </c>
      <c r="C32" s="268">
        <f>IF($A32="","",VLOOKUP($A32,'INVOICE TRACKER'!$B$7:$N$94244,5,FALSE))</f>
        <v/>
      </c>
      <c r="D32" s="269">
        <f>IF($A32="","",IF(VLOOKUP($A32,'INVOICE TRACKER'!$B$7:$N$94244,8,FALSE)="","",VLOOKUP($A32,'INVOICE TRACKER'!$B$7:$N$94244,8,FALSE)))</f>
        <v/>
      </c>
      <c r="E32" s="270">
        <f>IF($A32="","",VLOOKUP($A32,'INVOICE TRACKER'!$B$7:$N$94244,6,FALSE))</f>
        <v/>
      </c>
      <c r="F32" s="271">
        <f>IF($A32="","",VLOOKUP($A32,'INVOICE TRACKER'!$B$7:$N$94244,9,FALSE))</f>
        <v/>
      </c>
      <c r="G32" s="6" t="n"/>
      <c r="H32" s="6" t="n"/>
      <c r="I32" s="6" t="n"/>
      <c r="J32" s="6" t="n"/>
      <c r="K32" s="6" t="n"/>
      <c r="L32" s="6" t="n"/>
      <c r="M32" s="6" t="n"/>
      <c r="N32" s="6" t="n"/>
      <c r="O32" s="6" t="n"/>
      <c r="P32" s="6" t="n"/>
    </row>
    <row r="33" ht="16.5" customHeight="1" s="237">
      <c r="B33" s="268">
        <f>IF($A33="","",VLOOKUP($A33,'INVOICE TRACKER'!$B$7:$N$94244,4,FALSE))</f>
        <v/>
      </c>
      <c r="C33" s="268">
        <f>IF($A33="","",VLOOKUP($A33,'INVOICE TRACKER'!$B$7:$N$94244,5,FALSE))</f>
        <v/>
      </c>
      <c r="D33" s="269">
        <f>IF($A33="","",IF(VLOOKUP($A33,'INVOICE TRACKER'!$B$7:$N$94244,8,FALSE)="","",VLOOKUP($A33,'INVOICE TRACKER'!$B$7:$N$94244,8,FALSE)))</f>
        <v/>
      </c>
      <c r="E33" s="270">
        <f>IF($A33="","",VLOOKUP($A33,'INVOICE TRACKER'!$B$7:$N$94244,6,FALSE))</f>
        <v/>
      </c>
      <c r="F33" s="271">
        <f>IF($A33="","",VLOOKUP($A33,'INVOICE TRACKER'!$B$7:$N$94244,9,FALSE))</f>
        <v/>
      </c>
      <c r="G33" s="6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</row>
    <row r="34" ht="16.5" customHeight="1" s="237">
      <c r="B34" s="268">
        <f>IF($A34="","",VLOOKUP($A34,'INVOICE TRACKER'!$B$7:$N$94244,4,FALSE))</f>
        <v/>
      </c>
      <c r="C34" s="268">
        <f>IF($A34="","",VLOOKUP($A34,'INVOICE TRACKER'!$B$7:$N$94244,5,FALSE))</f>
        <v/>
      </c>
      <c r="D34" s="269">
        <f>IF($A34="","",IF(VLOOKUP($A34,'INVOICE TRACKER'!$B$7:$N$94244,8,FALSE)="","",VLOOKUP($A34,'INVOICE TRACKER'!$B$7:$N$94244,8,FALSE)))</f>
        <v/>
      </c>
      <c r="E34" s="270">
        <f>IF($A34="","",VLOOKUP($A34,'INVOICE TRACKER'!$B$7:$N$94244,6,FALSE))</f>
        <v/>
      </c>
      <c r="F34" s="271">
        <f>IF($A34="","",VLOOKUP($A34,'INVOICE TRACKER'!$B$7:$N$94244,9,FALSE))</f>
        <v/>
      </c>
      <c r="G34" s="6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</row>
    <row r="35" ht="16.5" customHeight="1" s="237">
      <c r="A35" s="10" t="n"/>
      <c r="B35" s="268">
        <f>IF($A35="","",VLOOKUP($A35,'INVOICE TRACKER'!$B$7:$N$94244,4,FALSE))</f>
        <v/>
      </c>
      <c r="C35" s="268">
        <f>IF($A35="","",VLOOKUP($A35,'INVOICE TRACKER'!$B$7:$N$94244,5,FALSE))</f>
        <v/>
      </c>
      <c r="D35" s="269">
        <f>IF($A35="","",IF(VLOOKUP($A35,'INVOICE TRACKER'!$B$7:$N$94244,8,FALSE)="","",VLOOKUP($A35,'INVOICE TRACKER'!$B$7:$N$94244,8,FALSE)))</f>
        <v/>
      </c>
      <c r="E35" s="270">
        <f>IF($A35="","",VLOOKUP($A35,'INVOICE TRACKER'!$B$7:$N$94244,6,FALSE))</f>
        <v/>
      </c>
      <c r="F35" s="271">
        <f>IF($A35="","",VLOOKUP($A35,'INVOICE TRACKER'!$B$7:$N$94244,9,FALSE))</f>
        <v/>
      </c>
      <c r="G35" s="6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</row>
    <row r="36" ht="16.5" customHeight="1" s="237">
      <c r="A36" s="10" t="n"/>
      <c r="B36" s="268">
        <f>IF($A36="","",VLOOKUP($A36,'INVOICE TRACKER'!$B$7:$N$94244,4,FALSE))</f>
        <v/>
      </c>
      <c r="C36" s="268">
        <f>IF($A36="","",VLOOKUP($A36,'INVOICE TRACKER'!$B$7:$N$94244,5,FALSE))</f>
        <v/>
      </c>
      <c r="D36" s="269">
        <f>IF($A36="","",IF(VLOOKUP($A36,'INVOICE TRACKER'!$B$7:$N$94244,8,FALSE)="","",VLOOKUP($A36,'INVOICE TRACKER'!$B$7:$N$94244,8,FALSE)))</f>
        <v/>
      </c>
      <c r="E36" s="270">
        <f>IF($A36="","",VLOOKUP($A36,'INVOICE TRACKER'!$B$7:$N$94244,6,FALSE))</f>
        <v/>
      </c>
      <c r="F36" s="271">
        <f>IF($A36="","",VLOOKUP($A36,'INVOICE TRACKER'!$B$7:$N$94244,9,FALSE))</f>
        <v/>
      </c>
      <c r="G36" s="6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</row>
    <row r="37" ht="16.5" customHeight="1" s="237">
      <c r="A37" s="10" t="n"/>
      <c r="B37" s="268">
        <f>IF($A37="","",VLOOKUP($A37,'INVOICE TRACKER'!$B$7:$N$94244,4,FALSE))</f>
        <v/>
      </c>
      <c r="C37" s="268">
        <f>IF($A37="","",VLOOKUP($A37,'INVOICE TRACKER'!$B$7:$N$94244,5,FALSE))</f>
        <v/>
      </c>
      <c r="D37" s="269">
        <f>IF($A37="","",IF(VLOOKUP($A37,'INVOICE TRACKER'!$B$7:$N$94244,8,FALSE)="","",VLOOKUP($A37,'INVOICE TRACKER'!$B$7:$N$94244,8,FALSE)))</f>
        <v/>
      </c>
      <c r="E37" s="270">
        <f>IF($A37="","",VLOOKUP($A37,'INVOICE TRACKER'!$B$7:$N$94244,6,FALSE))</f>
        <v/>
      </c>
      <c r="F37" s="271">
        <f>IF($A37="","",VLOOKUP($A37,'INVOICE TRACKER'!$B$7:$N$94244,9,FALSE))</f>
        <v/>
      </c>
      <c r="G37" s="6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</row>
    <row r="38" ht="16.5" customHeight="1" s="237">
      <c r="A38" s="10" t="n"/>
      <c r="B38" s="268">
        <f>IF($A38="","",VLOOKUP($A38,'INVOICE TRACKER'!$B$7:$N$94244,4,FALSE))</f>
        <v/>
      </c>
      <c r="C38" s="268">
        <f>IF($A38="","",VLOOKUP($A38,'INVOICE TRACKER'!$B$7:$N$94244,5,FALSE))</f>
        <v/>
      </c>
      <c r="D38" s="269">
        <f>IF($A38="","",IF(VLOOKUP($A38,'INVOICE TRACKER'!$B$7:$N$94244,8,FALSE)="","",VLOOKUP($A38,'INVOICE TRACKER'!$B$7:$N$94244,8,FALSE)))</f>
        <v/>
      </c>
      <c r="E38" s="270">
        <f>IF($A38="","",VLOOKUP($A38,'INVOICE TRACKER'!$B$7:$N$94244,6,FALSE))</f>
        <v/>
      </c>
      <c r="F38" s="271">
        <f>IF($A38="","",VLOOKUP($A38,'INVOICE TRACKER'!$B$7:$N$94244,9,FALSE))</f>
        <v/>
      </c>
      <c r="G38" s="6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</row>
    <row r="39" ht="16.5" customHeight="1" s="237">
      <c r="A39" s="10" t="n"/>
      <c r="B39" s="268">
        <f>IF($A39="","",VLOOKUP($A39,'INVOICE TRACKER'!$B$7:$N$94244,4,FALSE))</f>
        <v/>
      </c>
      <c r="C39" s="268">
        <f>IF($A39="","",VLOOKUP($A39,'INVOICE TRACKER'!$B$7:$N$94244,5,FALSE))</f>
        <v/>
      </c>
      <c r="D39" s="269">
        <f>IF($A39="","",IF(VLOOKUP($A39,'INVOICE TRACKER'!$B$7:$N$94244,8,FALSE)="","",VLOOKUP($A39,'INVOICE TRACKER'!$B$7:$N$94244,8,FALSE)))</f>
        <v/>
      </c>
      <c r="E39" s="270">
        <f>IF($A39="","",VLOOKUP($A39,'INVOICE TRACKER'!$B$7:$N$94244,6,FALSE))</f>
        <v/>
      </c>
      <c r="F39" s="271">
        <f>IF($A39="","",VLOOKUP($A39,'INVOICE TRACKER'!$B$7:$N$94244,9,FALSE))</f>
        <v/>
      </c>
      <c r="G39" s="6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</row>
    <row r="40" ht="16.5" customHeight="1" s="237">
      <c r="A40" s="43" t="inlineStr">
        <is>
          <t>__</t>
        </is>
      </c>
      <c r="B40" s="44" t="n"/>
      <c r="C40" s="44" t="n"/>
      <c r="D40" s="45" t="n"/>
      <c r="E40" s="272">
        <f>SUM(E7:E39)</f>
        <v/>
      </c>
      <c r="F40" s="273">
        <f>SUM(F7:F39)</f>
        <v/>
      </c>
      <c r="G40" s="6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</row>
    <row r="41" ht="16.5" customHeight="1" s="237">
      <c r="A41" s="43" t="n"/>
      <c r="B41" s="44" t="n"/>
      <c r="C41" s="44" t="n"/>
      <c r="D41" s="274" t="inlineStr">
        <is>
          <t>Balance</t>
        </is>
      </c>
      <c r="E41" s="275">
        <f>E40-F40</f>
        <v/>
      </c>
      <c r="F41" s="275" t="n"/>
      <c r="G41" s="6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</row>
    <row r="42" ht="16.5" customHeight="1" s="237">
      <c r="A42" s="10" t="n"/>
      <c r="B42" s="13" t="n"/>
      <c r="C42" s="13" t="n"/>
      <c r="D42" s="276" t="n"/>
      <c r="E42" s="243" t="n"/>
      <c r="F42" s="243" t="n"/>
      <c r="G42" s="6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</row>
    <row r="43" ht="16.5" customHeight="1" s="237">
      <c r="A43" s="10" t="n"/>
      <c r="B43" s="13" t="n"/>
      <c r="C43" s="13" t="n"/>
      <c r="D43" s="276" t="n"/>
      <c r="E43" s="243" t="n"/>
      <c r="F43" s="243" t="n"/>
      <c r="G43" s="6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</row>
    <row r="44" ht="16.5" customHeight="1" s="237">
      <c r="A44" s="10" t="n"/>
      <c r="B44" s="13" t="n"/>
      <c r="C44" s="13" t="n"/>
      <c r="D44" s="276" t="n"/>
      <c r="E44" s="243" t="n"/>
      <c r="F44" s="243" t="n"/>
      <c r="G44" s="6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</row>
    <row r="45" ht="16.5" customHeight="1" s="237">
      <c r="A45" s="10" t="n"/>
      <c r="B45" s="13" t="n"/>
      <c r="C45" s="13" t="n"/>
      <c r="D45" s="276" t="n"/>
      <c r="E45" s="243" t="n"/>
      <c r="F45" s="243" t="n"/>
      <c r="G45" s="6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</row>
    <row r="46" ht="16.5" customHeight="1" s="237">
      <c r="A46" s="10" t="n"/>
      <c r="B46" s="13" t="n"/>
      <c r="C46" s="13" t="n"/>
      <c r="D46" s="276" t="n"/>
      <c r="E46" s="243" t="n"/>
      <c r="F46" s="243" t="n"/>
      <c r="G46" s="6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</row>
    <row r="47" ht="16.5" customHeight="1" s="237">
      <c r="A47" s="10" t="n"/>
      <c r="B47" s="13" t="n"/>
      <c r="C47" s="13" t="n"/>
      <c r="D47" s="276" t="n"/>
      <c r="E47" s="243" t="n"/>
      <c r="F47" s="243" t="n"/>
      <c r="G47" s="6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</row>
    <row r="48" ht="16.5" customHeight="1" s="237">
      <c r="A48" s="10" t="n"/>
      <c r="B48" s="13" t="n"/>
      <c r="C48" s="13" t="n"/>
      <c r="D48" s="276" t="n"/>
      <c r="E48" s="243" t="n"/>
      <c r="F48" s="243" t="n"/>
      <c r="G48" s="6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</row>
    <row r="49" ht="16.5" customHeight="1" s="237">
      <c r="A49" s="10" t="n"/>
      <c r="B49" s="13" t="n"/>
      <c r="C49" s="13" t="n"/>
      <c r="D49" s="276" t="n"/>
      <c r="E49" s="243" t="n"/>
      <c r="F49" s="243" t="n"/>
      <c r="G49" s="6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</row>
    <row r="50" ht="16.5" customHeight="1" s="237">
      <c r="A50" s="10" t="n"/>
      <c r="B50" s="13" t="n"/>
      <c r="C50" s="13" t="n"/>
      <c r="D50" s="276" t="n"/>
      <c r="E50" s="243" t="n"/>
      <c r="F50" s="243" t="n"/>
      <c r="G50" s="6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</row>
    <row r="51" ht="16.5" customHeight="1" s="237">
      <c r="A51" s="10" t="n"/>
      <c r="B51" s="13" t="n"/>
      <c r="C51" s="13" t="n"/>
      <c r="D51" s="276" t="n"/>
      <c r="E51" s="243" t="n"/>
      <c r="F51" s="243" t="n"/>
      <c r="G51" s="6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</row>
    <row r="52" ht="16.5" customHeight="1" s="237">
      <c r="A52" s="10" t="n"/>
      <c r="B52" s="13" t="n"/>
      <c r="C52" s="13" t="n"/>
      <c r="D52" s="276" t="n"/>
      <c r="E52" s="243" t="n"/>
      <c r="F52" s="243" t="n"/>
      <c r="G52" s="6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</row>
    <row r="53" ht="16.5" customHeight="1" s="237">
      <c r="A53" s="10" t="n"/>
      <c r="B53" s="13" t="n"/>
      <c r="C53" s="13" t="n"/>
      <c r="D53" s="276" t="n"/>
      <c r="E53" s="243" t="n"/>
      <c r="F53" s="243" t="n"/>
      <c r="G53" s="6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</row>
    <row r="54" ht="16.5" customHeight="1" s="237">
      <c r="A54" s="10" t="n"/>
      <c r="B54" s="13" t="n"/>
      <c r="C54" s="13" t="n"/>
      <c r="D54" s="276" t="n"/>
      <c r="E54" s="243" t="n"/>
      <c r="F54" s="243" t="n"/>
      <c r="G54" s="6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</row>
    <row r="55" ht="16.5" customHeight="1" s="237">
      <c r="A55" s="10" t="n"/>
      <c r="B55" s="13" t="n"/>
      <c r="C55" s="13" t="n"/>
      <c r="D55" s="276" t="n"/>
      <c r="E55" s="243" t="n"/>
      <c r="F55" s="243" t="n"/>
      <c r="G55" s="6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</row>
    <row r="56" ht="16.5" customHeight="1" s="237">
      <c r="A56" s="10" t="n"/>
      <c r="B56" s="13" t="n"/>
      <c r="C56" s="13" t="n"/>
      <c r="D56" s="276" t="n"/>
      <c r="E56" s="243" t="n"/>
      <c r="F56" s="243" t="n"/>
      <c r="G56" s="6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</row>
    <row r="57" ht="16.5" customHeight="1" s="237">
      <c r="A57" s="10" t="n"/>
      <c r="B57" s="13" t="n"/>
      <c r="C57" s="13" t="n"/>
      <c r="D57" s="276" t="n"/>
      <c r="E57" s="243" t="n"/>
      <c r="F57" s="243" t="n"/>
      <c r="G57" s="6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</row>
    <row r="58" ht="16.5" customHeight="1" s="237">
      <c r="A58" s="10" t="n"/>
      <c r="B58" s="13" t="n"/>
      <c r="C58" s="13" t="n"/>
      <c r="D58" s="276" t="n"/>
      <c r="E58" s="243" t="n"/>
      <c r="F58" s="243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</row>
    <row r="59" ht="16.5" customHeight="1" s="237">
      <c r="A59" s="10" t="n"/>
      <c r="B59" s="13" t="n"/>
      <c r="C59" s="13" t="n"/>
      <c r="D59" s="276" t="n"/>
      <c r="E59" s="243" t="n"/>
      <c r="F59" s="243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</row>
    <row r="60" ht="16.5" customHeight="1" s="237">
      <c r="A60" s="10" t="n"/>
      <c r="B60" s="13" t="n"/>
      <c r="C60" s="13" t="n"/>
      <c r="D60" s="276" t="n"/>
      <c r="E60" s="243" t="n"/>
      <c r="F60" s="243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</row>
    <row r="61" ht="16.5" customHeight="1" s="237">
      <c r="A61" s="10" t="n"/>
      <c r="B61" s="13" t="n"/>
      <c r="C61" s="13" t="n"/>
      <c r="D61" s="276" t="n"/>
      <c r="E61" s="243" t="n"/>
      <c r="F61" s="243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</row>
    <row r="62" ht="16.5" customHeight="1" s="237">
      <c r="A62" s="10" t="n"/>
      <c r="B62" s="13" t="n"/>
      <c r="C62" s="13" t="n"/>
      <c r="D62" s="276" t="n"/>
      <c r="E62" s="243" t="n"/>
      <c r="F62" s="243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</row>
    <row r="63" ht="16.5" customHeight="1" s="237">
      <c r="A63" s="10" t="n"/>
      <c r="B63" s="13" t="n"/>
      <c r="C63" s="13" t="n"/>
      <c r="D63" s="276" t="n"/>
      <c r="E63" s="243" t="n"/>
      <c r="F63" s="243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</row>
    <row r="64" ht="16.5" customHeight="1" s="237">
      <c r="A64" s="10" t="n"/>
      <c r="B64" s="13" t="n"/>
      <c r="C64" s="13" t="n"/>
      <c r="D64" s="276" t="n"/>
      <c r="E64" s="243" t="n"/>
      <c r="F64" s="243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</row>
    <row r="65" ht="16.5" customHeight="1" s="237">
      <c r="A65" s="10" t="n"/>
      <c r="B65" s="13" t="n"/>
      <c r="C65" s="13" t="n"/>
      <c r="D65" s="276" t="n"/>
      <c r="E65" s="243" t="n"/>
      <c r="F65" s="243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</row>
    <row r="66" ht="16.5" customHeight="1" s="237">
      <c r="A66" s="10" t="n"/>
      <c r="B66" s="13" t="n"/>
      <c r="C66" s="13" t="n"/>
      <c r="D66" s="276" t="n"/>
      <c r="E66" s="243" t="n"/>
      <c r="F66" s="243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</row>
    <row r="67" ht="16.5" customHeight="1" s="237">
      <c r="A67" s="10" t="n"/>
      <c r="B67" s="13" t="n"/>
      <c r="C67" s="13" t="n"/>
      <c r="D67" s="276" t="n"/>
      <c r="E67" s="243" t="n"/>
      <c r="F67" s="243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</row>
    <row r="68" ht="16.5" customHeight="1" s="237">
      <c r="A68" s="10" t="n"/>
      <c r="B68" s="13" t="n"/>
      <c r="C68" s="13" t="n"/>
      <c r="D68" s="276" t="n"/>
      <c r="E68" s="243" t="n"/>
      <c r="F68" s="243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</row>
    <row r="69" ht="16.5" customHeight="1" s="237">
      <c r="A69" s="10" t="n"/>
      <c r="B69" s="13" t="n"/>
      <c r="C69" s="13" t="n"/>
      <c r="D69" s="276" t="n"/>
      <c r="E69" s="243" t="n"/>
      <c r="F69" s="243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</row>
    <row r="70" ht="16.5" customHeight="1" s="237">
      <c r="A70" s="10" t="n"/>
      <c r="B70" s="13" t="n"/>
      <c r="C70" s="13" t="n"/>
      <c r="D70" s="276" t="n"/>
      <c r="E70" s="243" t="n"/>
      <c r="F70" s="243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</row>
    <row r="71" ht="16.5" customHeight="1" s="237">
      <c r="A71" s="10" t="n"/>
      <c r="B71" s="13" t="n"/>
      <c r="C71" s="13" t="n"/>
      <c r="D71" s="276" t="n"/>
      <c r="E71" s="243" t="n"/>
      <c r="F71" s="243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</row>
    <row r="72" ht="16.5" customHeight="1" s="237">
      <c r="A72" s="10" t="n"/>
      <c r="B72" s="13" t="n"/>
      <c r="C72" s="13" t="n"/>
      <c r="D72" s="276" t="n"/>
      <c r="E72" s="243" t="n"/>
      <c r="F72" s="243" t="n"/>
      <c r="G72" s="6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</row>
    <row r="73" ht="16.5" customHeight="1" s="237">
      <c r="A73" s="10" t="n"/>
      <c r="B73" s="13" t="n"/>
      <c r="C73" s="13" t="n"/>
      <c r="D73" s="276" t="n"/>
      <c r="E73" s="243" t="n"/>
      <c r="F73" s="243" t="n"/>
      <c r="G73" s="6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</row>
    <row r="74" ht="16.5" customHeight="1" s="237">
      <c r="A74" s="10" t="n"/>
      <c r="B74" s="13" t="n"/>
      <c r="C74" s="13" t="n"/>
      <c r="D74" s="276" t="n"/>
      <c r="E74" s="243" t="n"/>
      <c r="F74" s="243" t="n"/>
      <c r="G74" s="6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</row>
    <row r="75" ht="16.5" customHeight="1" s="237">
      <c r="A75" s="10" t="n"/>
      <c r="B75" s="13" t="n"/>
      <c r="C75" s="13" t="n"/>
      <c r="D75" s="276" t="n"/>
      <c r="E75" s="243" t="n"/>
      <c r="F75" s="243" t="n"/>
      <c r="G75" s="6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</row>
    <row r="76" ht="16.5" customHeight="1" s="237">
      <c r="A76" s="10" t="n"/>
      <c r="B76" s="13" t="n"/>
      <c r="C76" s="13" t="n"/>
      <c r="D76" s="276" t="n"/>
      <c r="E76" s="243" t="n"/>
      <c r="F76" s="243" t="n"/>
      <c r="G76" s="6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</row>
    <row r="77" ht="16.5" customHeight="1" s="237">
      <c r="A77" s="10" t="n"/>
      <c r="B77" s="13" t="n"/>
      <c r="C77" s="13" t="n"/>
      <c r="D77" s="276" t="n"/>
      <c r="E77" s="243" t="n"/>
      <c r="F77" s="243" t="n"/>
      <c r="G77" s="6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</row>
    <row r="78" ht="16.5" customHeight="1" s="237">
      <c r="A78" s="10" t="n"/>
      <c r="B78" s="13" t="n"/>
      <c r="C78" s="13" t="n"/>
      <c r="D78" s="276" t="n"/>
      <c r="E78" s="243" t="n"/>
      <c r="F78" s="243" t="n"/>
      <c r="G78" s="6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</row>
    <row r="79" ht="16.5" customHeight="1" s="237">
      <c r="A79" s="10" t="n"/>
      <c r="B79" s="13" t="n"/>
      <c r="C79" s="13" t="n"/>
      <c r="D79" s="276" t="n"/>
      <c r="E79" s="243" t="n"/>
      <c r="F79" s="243" t="n"/>
      <c r="G79" s="6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</row>
    <row r="80" ht="16.5" customHeight="1" s="237">
      <c r="A80" s="10" t="n"/>
      <c r="B80" s="13" t="n"/>
      <c r="C80" s="13" t="n"/>
      <c r="D80" s="276" t="n"/>
      <c r="E80" s="243" t="n"/>
      <c r="F80" s="243" t="n"/>
      <c r="G80" s="6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</row>
    <row r="81" ht="16.5" customHeight="1" s="237">
      <c r="A81" s="10" t="n"/>
      <c r="B81" s="13" t="n"/>
      <c r="C81" s="13" t="n"/>
      <c r="D81" s="276" t="n"/>
      <c r="E81" s="243" t="n"/>
      <c r="F81" s="243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</row>
    <row r="82" ht="16.5" customHeight="1" s="237">
      <c r="A82" s="10" t="n"/>
      <c r="B82" s="13" t="n"/>
      <c r="C82" s="13" t="n"/>
      <c r="D82" s="276" t="n"/>
      <c r="E82" s="243" t="n"/>
      <c r="F82" s="243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</row>
    <row r="83" ht="16.5" customHeight="1" s="237">
      <c r="A83" s="10" t="n"/>
      <c r="B83" s="13" t="n"/>
      <c r="C83" s="13" t="n"/>
      <c r="D83" s="276" t="n"/>
      <c r="E83" s="243" t="n"/>
      <c r="F83" s="243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</row>
    <row r="84" ht="16.5" customHeight="1" s="237">
      <c r="A84" s="10" t="n"/>
      <c r="B84" s="13" t="n"/>
      <c r="C84" s="13" t="n"/>
      <c r="D84" s="276" t="n"/>
      <c r="E84" s="243" t="n"/>
      <c r="F84" s="243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</row>
    <row r="85" ht="16.5" customHeight="1" s="237">
      <c r="A85" s="10" t="n"/>
      <c r="B85" s="13" t="n"/>
      <c r="C85" s="13" t="n"/>
      <c r="D85" s="276" t="n"/>
      <c r="E85" s="243" t="n"/>
      <c r="F85" s="243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</row>
    <row r="86" ht="16.5" customHeight="1" s="237">
      <c r="A86" s="10" t="n"/>
      <c r="B86" s="13" t="n"/>
      <c r="C86" s="13" t="n"/>
      <c r="D86" s="276" t="n"/>
      <c r="E86" s="243" t="n"/>
      <c r="F86" s="243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</row>
    <row r="87" ht="16.5" customHeight="1" s="237">
      <c r="A87" s="10" t="n"/>
      <c r="B87" s="13" t="n"/>
      <c r="C87" s="13" t="n"/>
      <c r="D87" s="276" t="n"/>
      <c r="E87" s="243" t="n"/>
      <c r="F87" s="243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</row>
    <row r="88" ht="16.5" customHeight="1" s="237">
      <c r="A88" s="10" t="n"/>
      <c r="B88" s="13" t="n"/>
      <c r="C88" s="13" t="n"/>
      <c r="D88" s="276" t="n"/>
      <c r="E88" s="243" t="n"/>
      <c r="F88" s="243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</row>
    <row r="89" ht="16.5" customHeight="1" s="237">
      <c r="A89" s="10" t="n"/>
      <c r="B89" s="13" t="n"/>
      <c r="C89" s="13" t="n"/>
      <c r="D89" s="276" t="n"/>
      <c r="E89" s="243" t="n"/>
      <c r="F89" s="243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</row>
    <row r="90" ht="16.5" customHeight="1" s="237">
      <c r="A90" s="10" t="n"/>
      <c r="B90" s="13" t="n"/>
      <c r="C90" s="13" t="n"/>
      <c r="D90" s="276" t="n"/>
      <c r="E90" s="243" t="n"/>
      <c r="F90" s="243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</row>
    <row r="91" ht="16.5" customHeight="1" s="237">
      <c r="A91" s="10" t="n"/>
      <c r="B91" s="13" t="n"/>
      <c r="C91" s="13" t="n"/>
      <c r="D91" s="276" t="n"/>
      <c r="E91" s="243" t="n"/>
      <c r="F91" s="243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</row>
    <row r="92" ht="16.5" customHeight="1" s="237">
      <c r="A92" s="10" t="n"/>
      <c r="B92" s="13" t="n"/>
      <c r="C92" s="13" t="n"/>
      <c r="D92" s="276" t="n"/>
      <c r="E92" s="243" t="n"/>
      <c r="F92" s="243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</row>
    <row r="93" ht="16.5" customHeight="1" s="237">
      <c r="A93" s="10" t="n"/>
      <c r="B93" s="13" t="n"/>
      <c r="C93" s="13" t="n"/>
      <c r="D93" s="276" t="n"/>
      <c r="E93" s="243" t="n"/>
      <c r="F93" s="243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</row>
    <row r="94" ht="16.5" customHeight="1" s="237">
      <c r="A94" s="10" t="n"/>
      <c r="B94" s="13" t="n"/>
      <c r="C94" s="13" t="n"/>
      <c r="D94" s="276" t="n"/>
      <c r="E94" s="243" t="n"/>
      <c r="F94" s="243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</row>
    <row r="95" ht="16.5" customHeight="1" s="237">
      <c r="A95" s="10" t="n"/>
      <c r="B95" s="13" t="n"/>
      <c r="C95" s="13" t="n"/>
      <c r="D95" s="276" t="n"/>
      <c r="E95" s="243" t="n"/>
      <c r="F95" s="243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</row>
    <row r="96" ht="16.5" customHeight="1" s="237">
      <c r="A96" s="10" t="n"/>
      <c r="B96" s="13" t="n"/>
      <c r="C96" s="13" t="n"/>
      <c r="D96" s="276" t="n"/>
      <c r="E96" s="243" t="n"/>
      <c r="F96" s="243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</row>
    <row r="97" ht="16.5" customHeight="1" s="237">
      <c r="A97" s="10" t="n"/>
      <c r="B97" s="13" t="n"/>
      <c r="C97" s="13" t="n"/>
      <c r="D97" s="276" t="n"/>
      <c r="E97" s="243" t="n"/>
      <c r="F97" s="243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</row>
    <row r="98" ht="16.5" customHeight="1" s="237">
      <c r="A98" s="10" t="n"/>
      <c r="B98" s="13" t="n"/>
      <c r="C98" s="13" t="n"/>
      <c r="D98" s="276" t="n"/>
      <c r="E98" s="243" t="n"/>
      <c r="F98" s="243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</row>
    <row r="99" ht="16.5" customHeight="1" s="237">
      <c r="A99" s="10" t="n"/>
      <c r="B99" s="13" t="n"/>
      <c r="C99" s="13" t="n"/>
      <c r="D99" s="276" t="n"/>
      <c r="E99" s="243" t="n"/>
      <c r="F99" s="243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</row>
    <row r="100" ht="16.5" customHeight="1" s="237">
      <c r="A100" s="10" t="n"/>
      <c r="B100" s="13" t="n"/>
      <c r="C100" s="13" t="n"/>
      <c r="D100" s="276" t="n"/>
      <c r="E100" s="243" t="n"/>
      <c r="F100" s="243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</row>
    <row r="101" ht="16.5" customHeight="1" s="237">
      <c r="A101" s="10" t="n"/>
      <c r="B101" s="13" t="n"/>
      <c r="C101" s="13" t="n"/>
      <c r="D101" s="276" t="n"/>
      <c r="E101" s="243" t="n"/>
      <c r="F101" s="243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</row>
    <row r="102" ht="16.5" customHeight="1" s="237">
      <c r="A102" s="10" t="n"/>
      <c r="B102" s="13" t="n"/>
      <c r="C102" s="13" t="n"/>
      <c r="D102" s="276" t="n"/>
      <c r="E102" s="243" t="n"/>
      <c r="F102" s="243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</row>
    <row r="103" ht="16.5" customHeight="1" s="237">
      <c r="A103" s="10" t="n"/>
      <c r="B103" s="13" t="n"/>
      <c r="C103" s="13" t="n"/>
      <c r="D103" s="276" t="n"/>
      <c r="E103" s="243" t="n"/>
      <c r="F103" s="243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</row>
    <row r="104" ht="16.5" customHeight="1" s="237">
      <c r="A104" s="10" t="n"/>
      <c r="B104" s="13" t="n"/>
      <c r="C104" s="13" t="n"/>
      <c r="D104" s="276" t="n"/>
      <c r="E104" s="243" t="n"/>
      <c r="F104" s="243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</row>
    <row r="105" ht="16.5" customHeight="1" s="237">
      <c r="A105" s="10" t="n"/>
      <c r="B105" s="13" t="n"/>
      <c r="C105" s="13" t="n"/>
      <c r="D105" s="276" t="n"/>
      <c r="E105" s="243" t="n"/>
      <c r="F105" s="243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</row>
    <row r="106" ht="16.5" customHeight="1" s="237">
      <c r="A106" s="10" t="n"/>
      <c r="B106" s="13" t="n"/>
      <c r="C106" s="13" t="n"/>
      <c r="D106" s="276" t="n"/>
      <c r="E106" s="243" t="n"/>
      <c r="F106" s="243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</row>
    <row r="107" ht="16.5" customHeight="1" s="237">
      <c r="A107" s="10" t="n"/>
      <c r="B107" s="13" t="n"/>
      <c r="C107" s="13" t="n"/>
      <c r="D107" s="276" t="n"/>
      <c r="E107" s="243" t="n"/>
      <c r="F107" s="243" t="n"/>
      <c r="G107" s="6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</row>
    <row r="108" ht="16.5" customHeight="1" s="237">
      <c r="A108" s="10" t="n"/>
      <c r="B108" s="13" t="n"/>
      <c r="C108" s="13" t="n"/>
      <c r="D108" s="276" t="n"/>
      <c r="E108" s="243" t="n"/>
      <c r="F108" s="243" t="n"/>
      <c r="G108" s="6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</row>
    <row r="109" ht="16.5" customHeight="1" s="237">
      <c r="A109" s="10" t="n"/>
      <c r="B109" s="13" t="n"/>
      <c r="C109" s="13" t="n"/>
      <c r="D109" s="276" t="n"/>
      <c r="E109" s="243" t="n"/>
      <c r="F109" s="243" t="n"/>
      <c r="G109" s="6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</row>
    <row r="110" ht="16.5" customHeight="1" s="237">
      <c r="A110" s="10" t="n"/>
      <c r="B110" s="13" t="n"/>
      <c r="C110" s="13" t="n"/>
      <c r="D110" s="276" t="n"/>
      <c r="E110" s="243" t="n"/>
      <c r="F110" s="243" t="n"/>
      <c r="G110" s="6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</row>
    <row r="111" ht="16.5" customHeight="1" s="237">
      <c r="A111" s="10" t="n"/>
      <c r="B111" s="13" t="n"/>
      <c r="C111" s="13" t="n"/>
      <c r="D111" s="276" t="n"/>
      <c r="E111" s="243" t="n"/>
      <c r="F111" s="243" t="n"/>
      <c r="G111" s="6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</row>
    <row r="112" ht="16.5" customHeight="1" s="237">
      <c r="A112" s="10" t="n"/>
      <c r="B112" s="13" t="n"/>
      <c r="C112" s="13" t="n"/>
      <c r="D112" s="276" t="n"/>
      <c r="E112" s="243" t="n"/>
      <c r="F112" s="243" t="n"/>
      <c r="G112" s="6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</row>
    <row r="113" ht="16.5" customHeight="1" s="237">
      <c r="A113" s="10" t="n"/>
      <c r="B113" s="13" t="n"/>
      <c r="C113" s="13" t="n"/>
      <c r="D113" s="276" t="n"/>
      <c r="E113" s="243" t="n"/>
      <c r="F113" s="243" t="n"/>
      <c r="G113" s="6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</row>
    <row r="114" ht="16.5" customHeight="1" s="237">
      <c r="A114" s="10" t="n"/>
      <c r="B114" s="13" t="n"/>
      <c r="C114" s="13" t="n"/>
      <c r="D114" s="276" t="n"/>
      <c r="E114" s="243" t="n"/>
      <c r="F114" s="243" t="n"/>
      <c r="G114" s="6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</row>
    <row r="115" ht="16.5" customHeight="1" s="237">
      <c r="A115" s="10" t="n"/>
      <c r="B115" s="13" t="n"/>
      <c r="C115" s="13" t="n"/>
      <c r="D115" s="276" t="n"/>
      <c r="E115" s="243" t="n"/>
      <c r="F115" s="243" t="n"/>
      <c r="G115" s="6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</row>
    <row r="116" ht="16.5" customHeight="1" s="237">
      <c r="A116" s="10" t="n"/>
      <c r="B116" s="13" t="n"/>
      <c r="C116" s="13" t="n"/>
      <c r="D116" s="276" t="n"/>
      <c r="E116" s="243" t="n"/>
      <c r="F116" s="243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</row>
    <row r="117" ht="16.5" customHeight="1" s="237">
      <c r="A117" s="10" t="n"/>
      <c r="B117" s="13" t="n"/>
      <c r="C117" s="13" t="n"/>
      <c r="D117" s="276" t="n"/>
      <c r="E117" s="243" t="n"/>
      <c r="F117" s="243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</row>
    <row r="118" ht="16.5" customHeight="1" s="237">
      <c r="A118" s="10" t="n"/>
      <c r="B118" s="13" t="n"/>
      <c r="C118" s="13" t="n"/>
      <c r="D118" s="276" t="n"/>
      <c r="E118" s="243" t="n"/>
      <c r="F118" s="243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</row>
    <row r="119" ht="16.5" customHeight="1" s="237">
      <c r="A119" s="10" t="n"/>
      <c r="B119" s="13" t="n"/>
      <c r="C119" s="13" t="n"/>
      <c r="D119" s="276" t="n"/>
      <c r="E119" s="243" t="n"/>
      <c r="F119" s="243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</row>
    <row r="120" ht="16.5" customHeight="1" s="237">
      <c r="A120" s="10" t="n"/>
      <c r="B120" s="13" t="n"/>
      <c r="C120" s="13" t="n"/>
      <c r="D120" s="276" t="n"/>
      <c r="E120" s="243" t="n"/>
      <c r="F120" s="243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</row>
    <row r="121" ht="16.5" customHeight="1" s="237">
      <c r="A121" s="10" t="n"/>
      <c r="B121" s="13" t="n"/>
      <c r="C121" s="13" t="n"/>
      <c r="D121" s="276" t="n"/>
      <c r="E121" s="243" t="n"/>
      <c r="F121" s="243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</row>
    <row r="122" ht="16.5" customHeight="1" s="237">
      <c r="A122" s="10" t="n"/>
      <c r="B122" s="13" t="n"/>
      <c r="C122" s="13" t="n"/>
      <c r="D122" s="276" t="n"/>
      <c r="E122" s="243" t="n"/>
      <c r="F122" s="243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</row>
    <row r="123" ht="16.5" customHeight="1" s="237">
      <c r="A123" s="10" t="n"/>
      <c r="B123" s="13" t="n"/>
      <c r="C123" s="13" t="n"/>
      <c r="D123" s="276" t="n"/>
      <c r="E123" s="243" t="n"/>
      <c r="F123" s="243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</row>
    <row r="124" ht="16.5" customHeight="1" s="237">
      <c r="A124" s="10" t="n"/>
      <c r="B124" s="13" t="n"/>
      <c r="C124" s="13" t="n"/>
      <c r="D124" s="276" t="n"/>
      <c r="E124" s="243" t="n"/>
      <c r="F124" s="243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</row>
    <row r="125" ht="16.5" customHeight="1" s="237">
      <c r="A125" s="10" t="n"/>
      <c r="B125" s="13" t="n"/>
      <c r="C125" s="13" t="n"/>
      <c r="D125" s="276" t="n"/>
      <c r="E125" s="243" t="n"/>
      <c r="F125" s="243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</row>
    <row r="126" ht="16.5" customHeight="1" s="237">
      <c r="A126" s="10" t="n"/>
      <c r="B126" s="13" t="n"/>
      <c r="C126" s="13" t="n"/>
      <c r="D126" s="276" t="n"/>
      <c r="E126" s="243" t="n"/>
      <c r="F126" s="243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</row>
    <row r="127" ht="16.5" customHeight="1" s="237">
      <c r="A127" s="10" t="n"/>
      <c r="B127" s="13" t="n"/>
      <c r="C127" s="13" t="n"/>
      <c r="D127" s="276" t="n"/>
      <c r="E127" s="243" t="n"/>
      <c r="F127" s="243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</row>
    <row r="128" ht="16.5" customHeight="1" s="237">
      <c r="A128" s="10" t="n"/>
      <c r="B128" s="13" t="n"/>
      <c r="C128" s="13" t="n"/>
      <c r="D128" s="276" t="n"/>
      <c r="E128" s="243" t="n"/>
      <c r="F128" s="243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</row>
    <row r="129" ht="16.5" customHeight="1" s="237">
      <c r="A129" s="10" t="n"/>
      <c r="B129" s="13" t="n"/>
      <c r="C129" s="13" t="n"/>
      <c r="D129" s="276" t="n"/>
      <c r="E129" s="243" t="n"/>
      <c r="F129" s="243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</row>
    <row r="130" ht="16.5" customHeight="1" s="237">
      <c r="A130" s="10" t="n"/>
      <c r="B130" s="13" t="n"/>
      <c r="C130" s="13" t="n"/>
      <c r="D130" s="276" t="n"/>
      <c r="E130" s="243" t="n"/>
      <c r="F130" s="243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</row>
    <row r="131" ht="16.5" customHeight="1" s="237">
      <c r="A131" s="10" t="n"/>
      <c r="B131" s="13" t="n"/>
      <c r="C131" s="13" t="n"/>
      <c r="D131" s="276" t="n"/>
      <c r="E131" s="243" t="n"/>
      <c r="F131" s="243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</row>
    <row r="132" ht="16.5" customHeight="1" s="237">
      <c r="A132" s="10" t="n"/>
      <c r="B132" s="13" t="n"/>
      <c r="C132" s="13" t="n"/>
      <c r="D132" s="276" t="n"/>
      <c r="E132" s="243" t="n"/>
      <c r="F132" s="243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</row>
    <row r="133" ht="16.5" customHeight="1" s="237">
      <c r="A133" s="10" t="n"/>
      <c r="B133" s="13" t="n"/>
      <c r="C133" s="13" t="n"/>
      <c r="D133" s="276" t="n"/>
      <c r="E133" s="243" t="n"/>
      <c r="F133" s="243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</row>
    <row r="134" ht="16.5" customHeight="1" s="237">
      <c r="A134" s="10" t="n"/>
      <c r="B134" s="13" t="n"/>
      <c r="C134" s="13" t="n"/>
      <c r="D134" s="276" t="n"/>
      <c r="E134" s="243" t="n"/>
      <c r="F134" s="243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</row>
    <row r="135" ht="16.5" customHeight="1" s="237">
      <c r="A135" s="10" t="n"/>
      <c r="B135" s="13" t="n"/>
      <c r="C135" s="13" t="n"/>
      <c r="D135" s="276" t="n"/>
      <c r="E135" s="243" t="n"/>
      <c r="F135" s="243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</row>
    <row r="136" ht="16.5" customHeight="1" s="237">
      <c r="A136" s="10" t="n"/>
      <c r="B136" s="13" t="n"/>
      <c r="C136" s="13" t="n"/>
      <c r="D136" s="276" t="n"/>
      <c r="E136" s="243" t="n"/>
      <c r="F136" s="243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</row>
    <row r="137" ht="16.5" customHeight="1" s="237">
      <c r="A137" s="10" t="n"/>
      <c r="B137" s="13" t="n"/>
      <c r="C137" s="13" t="n"/>
      <c r="D137" s="276" t="n"/>
      <c r="E137" s="243" t="n"/>
      <c r="F137" s="243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</row>
    <row r="138" ht="16.5" customHeight="1" s="237">
      <c r="A138" s="10" t="n"/>
      <c r="B138" s="13" t="n"/>
      <c r="C138" s="13" t="n"/>
      <c r="D138" s="276" t="n"/>
      <c r="E138" s="243" t="n"/>
      <c r="F138" s="243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</row>
    <row r="139" ht="16.5" customHeight="1" s="237">
      <c r="A139" s="10" t="n"/>
      <c r="B139" s="13" t="n"/>
      <c r="C139" s="13" t="n"/>
      <c r="D139" s="276" t="n"/>
      <c r="E139" s="243" t="n"/>
      <c r="F139" s="243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</row>
    <row r="140" ht="16.5" customHeight="1" s="237">
      <c r="A140" s="10" t="n"/>
      <c r="B140" s="13" t="n"/>
      <c r="C140" s="13" t="n"/>
      <c r="D140" s="276" t="n"/>
      <c r="E140" s="243" t="n"/>
      <c r="F140" s="243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</row>
    <row r="141" ht="16.5" customHeight="1" s="237">
      <c r="A141" s="10" t="n"/>
      <c r="B141" s="13" t="n"/>
      <c r="C141" s="13" t="n"/>
      <c r="D141" s="276" t="n"/>
      <c r="E141" s="243" t="n"/>
      <c r="F141" s="243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</row>
    <row r="142" ht="16.5" customHeight="1" s="237">
      <c r="A142" s="10" t="n"/>
      <c r="B142" s="13" t="n"/>
      <c r="C142" s="13" t="n"/>
      <c r="D142" s="276" t="n"/>
      <c r="E142" s="243" t="n"/>
      <c r="F142" s="243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</row>
    <row r="143" ht="16.5" customHeight="1" s="237">
      <c r="A143" s="10" t="n"/>
      <c r="B143" s="13" t="n"/>
      <c r="C143" s="13" t="n"/>
      <c r="D143" s="276" t="n"/>
      <c r="E143" s="243" t="n"/>
      <c r="F143" s="243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</row>
    <row r="144" ht="16.5" customHeight="1" s="237">
      <c r="A144" s="10" t="n"/>
      <c r="B144" s="13" t="n"/>
      <c r="C144" s="13" t="n"/>
      <c r="D144" s="276" t="n"/>
      <c r="E144" s="243" t="n"/>
      <c r="F144" s="243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</row>
    <row r="145" ht="16.5" customHeight="1" s="237">
      <c r="A145" s="10" t="n"/>
      <c r="B145" s="13" t="n"/>
      <c r="C145" s="13" t="n"/>
      <c r="D145" s="276" t="n"/>
      <c r="E145" s="243" t="n"/>
      <c r="F145" s="243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</row>
    <row r="146" ht="16.5" customHeight="1" s="237">
      <c r="A146" s="10" t="n"/>
      <c r="B146" s="13" t="n"/>
      <c r="C146" s="13" t="n"/>
      <c r="D146" s="276" t="n"/>
      <c r="E146" s="243" t="n"/>
      <c r="F146" s="243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</row>
    <row r="147" ht="16.5" customHeight="1" s="237">
      <c r="A147" s="10" t="n"/>
      <c r="B147" s="13" t="n"/>
      <c r="C147" s="13" t="n"/>
      <c r="D147" s="276" t="n"/>
      <c r="E147" s="243" t="n"/>
      <c r="F147" s="243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</row>
    <row r="148" ht="16.5" customHeight="1" s="237">
      <c r="A148" s="10" t="n"/>
      <c r="B148" s="13" t="n"/>
      <c r="C148" s="13" t="n"/>
      <c r="D148" s="276" t="n"/>
      <c r="E148" s="243" t="n"/>
      <c r="F148" s="243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</row>
    <row r="149" ht="16.5" customHeight="1" s="237">
      <c r="A149" s="10" t="n"/>
      <c r="B149" s="13" t="n"/>
      <c r="C149" s="13" t="n"/>
      <c r="D149" s="276" t="n"/>
      <c r="E149" s="243" t="n"/>
      <c r="F149" s="243" t="n"/>
      <c r="G149" s="6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</row>
    <row r="150" ht="16.5" customHeight="1" s="237">
      <c r="A150" s="10" t="n"/>
      <c r="B150" s="13" t="n"/>
      <c r="C150" s="13" t="n"/>
      <c r="D150" s="276" t="n"/>
      <c r="E150" s="243" t="n"/>
      <c r="F150" s="243" t="n"/>
      <c r="G150" s="6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</row>
    <row r="151" ht="16.5" customHeight="1" s="237">
      <c r="A151" s="10" t="n"/>
      <c r="B151" s="13" t="n"/>
      <c r="C151" s="13" t="n"/>
      <c r="D151" s="276" t="n"/>
      <c r="E151" s="243" t="n"/>
      <c r="F151" s="243" t="n"/>
      <c r="G151" s="6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</row>
    <row r="152" ht="16.5" customHeight="1" s="237">
      <c r="A152" s="10" t="n"/>
      <c r="B152" s="13" t="n"/>
      <c r="C152" s="13" t="n"/>
      <c r="D152" s="276" t="n"/>
      <c r="E152" s="243" t="n"/>
      <c r="F152" s="243" t="n"/>
      <c r="G152" s="6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</row>
    <row r="153" ht="16.5" customHeight="1" s="237">
      <c r="A153" s="10" t="n"/>
      <c r="B153" s="13" t="n"/>
      <c r="C153" s="13" t="n"/>
      <c r="D153" s="276" t="n"/>
      <c r="E153" s="243" t="n"/>
      <c r="F153" s="243" t="n"/>
      <c r="G153" s="6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</row>
    <row r="154" ht="16.5" customHeight="1" s="237">
      <c r="A154" s="10" t="n"/>
      <c r="B154" s="13" t="n"/>
      <c r="C154" s="13" t="n"/>
      <c r="D154" s="276" t="n"/>
      <c r="E154" s="243" t="n"/>
      <c r="F154" s="243" t="n"/>
      <c r="G154" s="6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</row>
    <row r="155" ht="16.5" customHeight="1" s="237">
      <c r="A155" s="10" t="n"/>
      <c r="B155" s="13" t="n"/>
      <c r="C155" s="13" t="n"/>
      <c r="D155" s="276" t="n"/>
      <c r="E155" s="243" t="n"/>
      <c r="F155" s="243" t="n"/>
      <c r="G155" s="6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</row>
    <row r="156" ht="16.5" customHeight="1" s="237">
      <c r="A156" s="10" t="n"/>
      <c r="B156" s="13" t="n"/>
      <c r="C156" s="13" t="n"/>
      <c r="D156" s="276" t="n"/>
      <c r="E156" s="243" t="n"/>
      <c r="F156" s="243" t="n"/>
      <c r="G156" s="6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</row>
    <row r="157" ht="16.5" customHeight="1" s="237">
      <c r="A157" s="10" t="n"/>
      <c r="B157" s="13" t="n"/>
      <c r="C157" s="13" t="n"/>
      <c r="D157" s="276" t="n"/>
      <c r="E157" s="243" t="n"/>
      <c r="F157" s="243" t="n"/>
      <c r="G157" s="6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</row>
    <row r="158" ht="16.5" customHeight="1" s="237">
      <c r="A158" s="10" t="n"/>
      <c r="B158" s="13" t="n"/>
      <c r="C158" s="13" t="n"/>
      <c r="D158" s="276" t="n"/>
      <c r="E158" s="243" t="n"/>
      <c r="F158" s="243" t="n"/>
      <c r="G158" s="6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</row>
    <row r="159" ht="16.5" customHeight="1" s="237">
      <c r="A159" s="10" t="n"/>
      <c r="B159" s="13" t="n"/>
      <c r="C159" s="13" t="n"/>
      <c r="D159" s="276" t="n"/>
      <c r="E159" s="243" t="n"/>
      <c r="F159" s="243" t="n"/>
      <c r="G159" s="6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</row>
    <row r="160" ht="16.5" customHeight="1" s="237">
      <c r="A160" s="10" t="n"/>
      <c r="B160" s="13" t="n"/>
      <c r="C160" s="13" t="n"/>
      <c r="D160" s="276" t="n"/>
      <c r="E160" s="243" t="n"/>
      <c r="F160" s="243" t="n"/>
      <c r="G160" s="6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</row>
    <row r="161" ht="16.5" customHeight="1" s="237">
      <c r="A161" s="10" t="n"/>
      <c r="B161" s="13" t="n"/>
      <c r="C161" s="13" t="n"/>
      <c r="D161" s="276" t="n"/>
      <c r="E161" s="243" t="n"/>
      <c r="F161" s="243" t="n"/>
      <c r="G161" s="6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</row>
    <row r="162" ht="16.5" customHeight="1" s="237">
      <c r="A162" s="10" t="n"/>
      <c r="B162" s="13" t="n"/>
      <c r="C162" s="13" t="n"/>
      <c r="D162" s="276" t="n"/>
      <c r="E162" s="243" t="n"/>
      <c r="F162" s="243" t="n"/>
      <c r="G162" s="6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</row>
    <row r="163" ht="16.5" customHeight="1" s="237">
      <c r="A163" s="10" t="n"/>
      <c r="B163" s="13" t="n"/>
      <c r="C163" s="13" t="n"/>
      <c r="D163" s="276" t="n"/>
      <c r="E163" s="243" t="n"/>
      <c r="F163" s="243" t="n"/>
      <c r="G163" s="6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</row>
    <row r="164" ht="16.5" customHeight="1" s="237">
      <c r="A164" s="10" t="n"/>
      <c r="B164" s="13" t="n"/>
      <c r="C164" s="13" t="n"/>
      <c r="D164" s="276" t="n"/>
      <c r="E164" s="243" t="n"/>
      <c r="F164" s="243" t="n"/>
      <c r="G164" s="6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</row>
    <row r="165" ht="16.5" customHeight="1" s="237">
      <c r="A165" s="10" t="n"/>
      <c r="B165" s="13" t="n"/>
      <c r="C165" s="13" t="n"/>
      <c r="D165" s="276" t="n"/>
      <c r="E165" s="243" t="n"/>
      <c r="F165" s="243" t="n"/>
      <c r="G165" s="6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</row>
    <row r="166" ht="16.5" customHeight="1" s="237">
      <c r="A166" s="10" t="n"/>
      <c r="B166" s="13" t="n"/>
      <c r="C166" s="13" t="n"/>
      <c r="D166" s="276" t="n"/>
      <c r="E166" s="243" t="n"/>
      <c r="F166" s="243" t="n"/>
      <c r="G166" s="6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</row>
    <row r="167" ht="16.5" customHeight="1" s="237">
      <c r="A167" s="10" t="n"/>
      <c r="B167" s="13" t="n"/>
      <c r="C167" s="13" t="n"/>
      <c r="D167" s="276" t="n"/>
      <c r="E167" s="243" t="n"/>
      <c r="F167" s="243" t="n"/>
      <c r="G167" s="6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</row>
    <row r="168" ht="16.5" customHeight="1" s="237">
      <c r="A168" s="10" t="n"/>
      <c r="B168" s="13" t="n"/>
      <c r="C168" s="13" t="n"/>
      <c r="D168" s="276" t="n"/>
      <c r="E168" s="243" t="n"/>
      <c r="F168" s="243" t="n"/>
      <c r="G168" s="6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</row>
    <row r="169" ht="16.5" customHeight="1" s="237">
      <c r="A169" s="10" t="n"/>
      <c r="B169" s="13" t="n"/>
      <c r="C169" s="13" t="n"/>
      <c r="D169" s="276" t="n"/>
      <c r="E169" s="243" t="n"/>
      <c r="F169" s="243" t="n"/>
      <c r="G169" s="6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</row>
    <row r="170" ht="16.5" customHeight="1" s="237">
      <c r="A170" s="10" t="n"/>
      <c r="B170" s="13" t="n"/>
      <c r="C170" s="13" t="n"/>
      <c r="D170" s="276" t="n"/>
      <c r="E170" s="243" t="n"/>
      <c r="F170" s="243" t="n"/>
      <c r="G170" s="6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</row>
    <row r="171" ht="16.5" customHeight="1" s="237">
      <c r="A171" s="10" t="n"/>
      <c r="B171" s="13" t="n"/>
      <c r="C171" s="13" t="n"/>
      <c r="D171" s="276" t="n"/>
      <c r="E171" s="243" t="n"/>
      <c r="F171" s="243" t="n"/>
      <c r="G171" s="6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</row>
    <row r="172" ht="16.5" customHeight="1" s="237">
      <c r="A172" s="10" t="n"/>
      <c r="B172" s="13" t="n"/>
      <c r="C172" s="13" t="n"/>
      <c r="D172" s="276" t="n"/>
      <c r="E172" s="243" t="n"/>
      <c r="F172" s="243" t="n"/>
      <c r="G172" s="6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</row>
    <row r="173" ht="16.5" customHeight="1" s="237">
      <c r="A173" s="10" t="n"/>
      <c r="B173" s="13" t="n"/>
      <c r="C173" s="13" t="n"/>
      <c r="D173" s="276" t="n"/>
      <c r="E173" s="243" t="n"/>
      <c r="F173" s="243" t="n"/>
      <c r="G173" s="6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</row>
    <row r="174" ht="16.5" customHeight="1" s="237">
      <c r="A174" s="10" t="n"/>
      <c r="B174" s="13" t="n"/>
      <c r="C174" s="13" t="n"/>
      <c r="D174" s="276" t="n"/>
      <c r="E174" s="243" t="n"/>
      <c r="F174" s="243" t="n"/>
      <c r="G174" s="6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</row>
    <row r="175" ht="16.5" customHeight="1" s="237">
      <c r="A175" s="10" t="n"/>
      <c r="B175" s="13" t="n"/>
      <c r="C175" s="13" t="n"/>
      <c r="D175" s="276" t="n"/>
      <c r="E175" s="243" t="n"/>
      <c r="F175" s="243" t="n"/>
      <c r="G175" s="6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</row>
    <row r="176" ht="16.5" customHeight="1" s="237">
      <c r="A176" s="10" t="n"/>
      <c r="B176" s="13" t="n"/>
      <c r="C176" s="13" t="n"/>
      <c r="D176" s="276" t="n"/>
      <c r="E176" s="243" t="n"/>
      <c r="F176" s="243" t="n"/>
      <c r="G176" s="6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</row>
    <row r="177" ht="16.5" customHeight="1" s="237">
      <c r="A177" s="10" t="n"/>
      <c r="B177" s="13" t="n"/>
      <c r="C177" s="13" t="n"/>
      <c r="D177" s="276" t="n"/>
      <c r="E177" s="243" t="n"/>
      <c r="F177" s="243" t="n"/>
      <c r="G177" s="6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</row>
    <row r="178" ht="16.5" customHeight="1" s="237">
      <c r="A178" s="10" t="n"/>
      <c r="B178" s="13" t="n"/>
      <c r="C178" s="13" t="n"/>
      <c r="D178" s="276" t="n"/>
      <c r="E178" s="243" t="n"/>
      <c r="F178" s="243" t="n"/>
      <c r="G178" s="6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</row>
    <row r="179" ht="16.5" customHeight="1" s="237">
      <c r="A179" s="10" t="n"/>
      <c r="B179" s="13" t="n"/>
      <c r="C179" s="13" t="n"/>
      <c r="D179" s="276" t="n"/>
      <c r="E179" s="243" t="n"/>
      <c r="F179" s="243" t="n"/>
      <c r="G179" s="6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</row>
    <row r="180" ht="16.5" customHeight="1" s="237">
      <c r="A180" s="10" t="n"/>
      <c r="B180" s="13" t="n"/>
      <c r="C180" s="13" t="n"/>
      <c r="D180" s="276" t="n"/>
      <c r="E180" s="243" t="n"/>
      <c r="F180" s="243" t="n"/>
      <c r="G180" s="6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</row>
    <row r="181" ht="16.5" customHeight="1" s="237">
      <c r="A181" s="10" t="n"/>
      <c r="B181" s="13" t="n"/>
      <c r="C181" s="13" t="n"/>
      <c r="D181" s="276" t="n"/>
      <c r="E181" s="243" t="n"/>
      <c r="F181" s="243" t="n"/>
      <c r="G181" s="6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</row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</sheetData>
  <mergeCells count="3">
    <mergeCell ref="E4:F4"/>
    <mergeCell ref="B4:C4"/>
    <mergeCell ref="A1:F2"/>
  </mergeCells>
  <printOptions horizontalCentered="1"/>
  <pageMargins left="0.7" right="0.7" top="0.75" bottom="0.75" header="0.3" footer="0.3"/>
  <pageSetup orientation="portrait" paperSize="9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U866"/>
  <sheetViews>
    <sheetView showGridLines="0" zoomScale="85" zoomScaleNormal="85" workbookViewId="0">
      <pane xSplit="1" topLeftCell="N1" activePane="topRight" state="frozen"/>
      <selection pane="topRight" activeCell="T28" sqref="T28"/>
    </sheetView>
  </sheetViews>
  <sheetFormatPr baseColWidth="8" defaultColWidth="14.42578125" defaultRowHeight="15" customHeight="1"/>
  <cols>
    <col width="23.42578125" bestFit="1" customWidth="1" style="237" min="1" max="1"/>
    <col width="11.85546875" bestFit="1" customWidth="1" style="237" min="2" max="2"/>
    <col width="33.140625" bestFit="1" customWidth="1" style="237" min="3" max="3"/>
    <col width="16.28515625" bestFit="1" customWidth="1" style="237" min="4" max="4"/>
    <col width="12.42578125" bestFit="1" customWidth="1" style="237" min="5" max="5"/>
    <col width="16.7109375" bestFit="1" customWidth="1" style="237" min="6" max="6"/>
    <col width="17.7109375" bestFit="1" customWidth="1" style="237" min="7" max="7"/>
    <col width="30.140625" bestFit="1" customWidth="1" style="237" min="8" max="8"/>
    <col width="21.140625" bestFit="1" customWidth="1" style="237" min="9" max="9"/>
    <col width="11.85546875" bestFit="1" customWidth="1" style="237" min="10" max="10"/>
    <col width="26.85546875" bestFit="1" customWidth="1" style="237" min="11" max="11"/>
    <col width="25" bestFit="1" customWidth="1" style="158" min="12" max="12"/>
    <col width="20.140625" bestFit="1" customWidth="1" style="237" min="13" max="13"/>
    <col width="23.28515625" bestFit="1" customWidth="1" style="237" min="14" max="14"/>
    <col width="23.7109375" bestFit="1" customWidth="1" style="120" min="15" max="15"/>
    <col width="20.28515625" bestFit="1" customWidth="1" style="277" min="16" max="16"/>
    <col width="17.28515625" bestFit="1" customWidth="1" style="120" min="17" max="17"/>
    <col width="22.7109375" bestFit="1" customWidth="1" style="237" min="18" max="18"/>
    <col width="21.7109375" bestFit="1" customWidth="1" style="81" min="19" max="19"/>
    <col width="40" bestFit="1" customWidth="1" style="237" min="20" max="20"/>
    <col width="13.42578125" bestFit="1" customWidth="1" style="237" min="21" max="21"/>
  </cols>
  <sheetData>
    <row r="1" ht="16.5" customHeight="1" s="237">
      <c r="A1" s="76" t="inlineStr">
        <is>
          <t>Client</t>
        </is>
      </c>
      <c r="B1" s="77" t="inlineStr">
        <is>
          <t>DOB</t>
        </is>
      </c>
      <c r="C1" s="77" t="inlineStr">
        <is>
          <t>Address</t>
        </is>
      </c>
      <c r="D1" s="77" t="inlineStr">
        <is>
          <t>City</t>
        </is>
      </c>
      <c r="E1" s="77" t="inlineStr">
        <is>
          <t>State</t>
        </is>
      </c>
      <c r="F1" s="77" t="inlineStr">
        <is>
          <t>Zip Code</t>
        </is>
      </c>
      <c r="G1" s="77" t="inlineStr">
        <is>
          <t>Phone No.</t>
        </is>
      </c>
      <c r="H1" s="77" t="inlineStr">
        <is>
          <t>Insurance</t>
        </is>
      </c>
      <c r="I1" s="77" t="inlineStr">
        <is>
          <t>Claim No.</t>
        </is>
      </c>
      <c r="J1" s="77" t="inlineStr">
        <is>
          <t>DOI</t>
        </is>
      </c>
      <c r="K1" s="77" t="inlineStr">
        <is>
          <t>Adjuster</t>
        </is>
      </c>
      <c r="L1" s="77" t="inlineStr">
        <is>
          <t>Adjuster Number</t>
        </is>
      </c>
      <c r="M1" s="77" t="inlineStr">
        <is>
          <t>Adjuster Ext.</t>
        </is>
      </c>
      <c r="N1" s="77" t="inlineStr">
        <is>
          <t>Adjuster E-mail</t>
        </is>
      </c>
      <c r="O1" s="77" t="inlineStr">
        <is>
          <t>Disability Script</t>
        </is>
      </c>
      <c r="P1" s="278" t="inlineStr">
        <is>
          <t>Column1</t>
        </is>
      </c>
      <c r="Q1" s="77" t="inlineStr">
        <is>
          <t>Reminder</t>
        </is>
      </c>
      <c r="R1" s="77" t="inlineStr">
        <is>
          <t>Transport Type</t>
        </is>
      </c>
      <c r="S1" s="77" t="inlineStr">
        <is>
          <t>Headquarters</t>
        </is>
      </c>
      <c r="T1" s="77" t="inlineStr">
        <is>
          <t>Assistance</t>
        </is>
      </c>
      <c r="U1" s="78" t="inlineStr">
        <is>
          <t>Status</t>
        </is>
      </c>
    </row>
    <row r="2" ht="16.5" customHeight="1" s="237">
      <c r="A2" s="79" t="inlineStr">
        <is>
          <t>Alanna Norment</t>
        </is>
      </c>
      <c r="B2" s="97" t="inlineStr">
        <is>
          <t>N/A</t>
        </is>
      </c>
      <c r="C2" s="96" t="inlineStr">
        <is>
          <t>15667 Court Village Lane</t>
        </is>
      </c>
      <c r="D2" s="96" t="inlineStr">
        <is>
          <t>Taylor</t>
        </is>
      </c>
      <c r="E2" s="97" t="inlineStr">
        <is>
          <t>MI</t>
        </is>
      </c>
      <c r="F2" s="97" t="n">
        <v>48180</v>
      </c>
      <c r="G2" s="97" t="n"/>
      <c r="H2" s="96" t="n"/>
      <c r="I2" s="97" t="n"/>
      <c r="J2" s="279" t="n"/>
      <c r="K2" s="97" t="n"/>
      <c r="L2" s="280" t="n"/>
      <c r="M2" s="97" t="n"/>
      <c r="N2" s="97" t="n"/>
      <c r="O2" s="31" t="inlineStr">
        <is>
          <t>On record</t>
        </is>
      </c>
      <c r="P2" s="281" t="n">
        <v>45763</v>
      </c>
      <c r="Q2" s="97">
        <f>IF(Table2[[#This Row],[Disability Script]]="","",IF(Table2[[#This Row],[Column1]]&lt;TODAY(),"Expired",""))</f>
        <v/>
      </c>
      <c r="R2" s="30" t="inlineStr">
        <is>
          <t>Non-Wheel Chair</t>
        </is>
      </c>
      <c r="S2" s="33" t="n"/>
      <c r="T2" s="30" t="n"/>
      <c r="U2" s="74" t="inlineStr">
        <is>
          <t>Active</t>
        </is>
      </c>
    </row>
    <row r="3" ht="16.5" customHeight="1" s="237">
      <c r="A3" s="79" t="inlineStr">
        <is>
          <t>Antonio Simpson</t>
        </is>
      </c>
      <c r="B3" s="97" t="inlineStr">
        <is>
          <t>N/A</t>
        </is>
      </c>
      <c r="C3" s="96" t="inlineStr">
        <is>
          <t>4004 Minnesota St.</t>
        </is>
      </c>
      <c r="D3" s="96" t="inlineStr">
        <is>
          <t>Detroit</t>
        </is>
      </c>
      <c r="E3" s="97" t="inlineStr">
        <is>
          <t>MI</t>
        </is>
      </c>
      <c r="F3" s="97" t="n">
        <v>48212</v>
      </c>
      <c r="G3" s="97" t="n"/>
      <c r="H3" s="96" t="n"/>
      <c r="I3" s="97" t="n"/>
      <c r="J3" s="279" t="n"/>
      <c r="K3" s="97" t="n"/>
      <c r="L3" s="280" t="n"/>
      <c r="M3" s="97" t="n"/>
      <c r="N3" s="97" t="n"/>
      <c r="O3" s="31" t="inlineStr">
        <is>
          <t>On record</t>
        </is>
      </c>
      <c r="P3" s="281" t="n">
        <v>45777</v>
      </c>
      <c r="Q3" s="97">
        <f>IF(Table2[[#This Row],[Disability Script]]="","",IF(Table2[[#This Row],[Column1]]&lt;TODAY(),"Expired",""))</f>
        <v/>
      </c>
      <c r="R3" s="30" t="inlineStr">
        <is>
          <t>Non-Wheel Chair</t>
        </is>
      </c>
      <c r="S3" s="33" t="n"/>
      <c r="T3" s="30" t="n"/>
      <c r="U3" s="74" t="inlineStr">
        <is>
          <t>Active</t>
        </is>
      </c>
    </row>
    <row r="4" ht="16.5" customHeight="1" s="237">
      <c r="A4" s="79" t="inlineStr">
        <is>
          <t>Anucshka King</t>
        </is>
      </c>
      <c r="B4" s="97" t="inlineStr">
        <is>
          <t>N/A</t>
        </is>
      </c>
      <c r="C4" s="96" t="inlineStr">
        <is>
          <t>3286 Lothrop St.</t>
        </is>
      </c>
      <c r="D4" s="96" t="inlineStr">
        <is>
          <t>Detroit</t>
        </is>
      </c>
      <c r="E4" s="97" t="inlineStr">
        <is>
          <t>MI</t>
        </is>
      </c>
      <c r="F4" s="97" t="n">
        <v>48206</v>
      </c>
      <c r="G4" s="97" t="n"/>
      <c r="H4" s="96" t="n"/>
      <c r="I4" s="97" t="n"/>
      <c r="J4" s="279" t="n"/>
      <c r="K4" s="97" t="n"/>
      <c r="L4" s="280" t="n"/>
      <c r="M4" s="97" t="n"/>
      <c r="N4" s="97" t="n"/>
      <c r="O4" s="31" t="inlineStr">
        <is>
          <t>On record</t>
        </is>
      </c>
      <c r="P4" s="281" t="n">
        <v>45728</v>
      </c>
      <c r="Q4" s="97">
        <f>IF(Table2[[#This Row],[Disability Script]]="","",IF(Table2[[#This Row],[Column1]]&lt;TODAY(),"Expired",""))</f>
        <v/>
      </c>
      <c r="R4" s="30" t="inlineStr">
        <is>
          <t>Non-Wheel Chair</t>
        </is>
      </c>
      <c r="S4" s="33" t="n"/>
      <c r="T4" s="30" t="n"/>
      <c r="U4" s="74" t="inlineStr">
        <is>
          <t>Active</t>
        </is>
      </c>
    </row>
    <row r="5" ht="16.5" customHeight="1" s="237">
      <c r="A5" s="79" t="inlineStr">
        <is>
          <t>Arron Breazeale</t>
        </is>
      </c>
      <c r="B5" s="97" t="inlineStr">
        <is>
          <t>N/A</t>
        </is>
      </c>
      <c r="C5" s="96" t="inlineStr">
        <is>
          <t>9641 E. Outer Dr.</t>
        </is>
      </c>
      <c r="D5" s="96" t="inlineStr">
        <is>
          <t>Detroit</t>
        </is>
      </c>
      <c r="E5" s="97" t="inlineStr">
        <is>
          <t>MI</t>
        </is>
      </c>
      <c r="F5" s="97" t="n">
        <v>48213</v>
      </c>
      <c r="G5" s="97" t="n"/>
      <c r="H5" s="96" t="n"/>
      <c r="I5" s="97" t="n"/>
      <c r="J5" s="279" t="n"/>
      <c r="K5" s="97" t="n"/>
      <c r="L5" s="280" t="n"/>
      <c r="M5" s="97" t="n"/>
      <c r="N5" s="97" t="n"/>
      <c r="O5" s="31" t="inlineStr">
        <is>
          <t>On record</t>
        </is>
      </c>
      <c r="P5" s="281" t="n">
        <v>45777</v>
      </c>
      <c r="Q5" s="97">
        <f>IF(Table2[[#This Row],[Disability Script]]="","",IF(Table2[[#This Row],[Column1]]&lt;TODAY(),"Expired",""))</f>
        <v/>
      </c>
      <c r="R5" s="30" t="inlineStr">
        <is>
          <t>Non-Wheel Chair</t>
        </is>
      </c>
      <c r="S5" s="33" t="n"/>
      <c r="T5" s="30" t="n"/>
      <c r="U5" s="74" t="inlineStr">
        <is>
          <t>Active</t>
        </is>
      </c>
    </row>
    <row r="6" ht="16.5" customHeight="1" s="237">
      <c r="A6" s="79" t="inlineStr">
        <is>
          <t>Arron Kimbrough</t>
        </is>
      </c>
      <c r="B6" s="97" t="inlineStr">
        <is>
          <t>N/A</t>
        </is>
      </c>
      <c r="C6" s="96" t="inlineStr">
        <is>
          <t>9911 Stahelin St.</t>
        </is>
      </c>
      <c r="D6" s="96" t="inlineStr">
        <is>
          <t>Detroit</t>
        </is>
      </c>
      <c r="E6" s="97" t="inlineStr">
        <is>
          <t>MI</t>
        </is>
      </c>
      <c r="F6" s="97" t="n">
        <v>48219</v>
      </c>
      <c r="G6" s="97" t="n"/>
      <c r="H6" s="96" t="n"/>
      <c r="I6" s="97" t="n"/>
      <c r="J6" s="279" t="n"/>
      <c r="K6" s="97" t="n"/>
      <c r="L6" s="280" t="n"/>
      <c r="M6" s="97" t="n"/>
      <c r="N6" s="97" t="n"/>
      <c r="O6" s="31" t="inlineStr">
        <is>
          <t>On record</t>
        </is>
      </c>
      <c r="P6" s="281" t="n">
        <v>45728</v>
      </c>
      <c r="Q6" s="97">
        <f>IF(Table2[[#This Row],[Disability Script]]="","",IF(Table2[[#This Row],[Column1]]&lt;TODAY(),"Expired",""))</f>
        <v/>
      </c>
      <c r="R6" s="30" t="inlineStr">
        <is>
          <t>Non-Wheel Chair</t>
        </is>
      </c>
      <c r="S6" s="33" t="n"/>
      <c r="T6" s="30" t="n"/>
      <c r="U6" s="74" t="inlineStr">
        <is>
          <t>Active</t>
        </is>
      </c>
    </row>
    <row r="7" ht="16.5" customHeight="1" s="237">
      <c r="A7" s="79" t="inlineStr">
        <is>
          <t>Aya Hammoud</t>
        </is>
      </c>
      <c r="B7" s="97" t="inlineStr">
        <is>
          <t>N/A</t>
        </is>
      </c>
      <c r="C7" s="96" t="inlineStr">
        <is>
          <t>577 Norbourne Ave</t>
        </is>
      </c>
      <c r="D7" s="96" t="inlineStr">
        <is>
          <t>Dearborn Hts.</t>
        </is>
      </c>
      <c r="E7" s="97" t="inlineStr">
        <is>
          <t>MI</t>
        </is>
      </c>
      <c r="F7" s="97" t="n">
        <v>48127</v>
      </c>
      <c r="G7" s="97" t="n"/>
      <c r="H7" s="96" t="n"/>
      <c r="I7" s="97" t="n"/>
      <c r="J7" s="279" t="n"/>
      <c r="K7" s="97" t="n"/>
      <c r="L7" s="280" t="n"/>
      <c r="M7" s="97" t="n"/>
      <c r="N7" s="97" t="n"/>
      <c r="O7" s="31" t="inlineStr">
        <is>
          <t>On record</t>
        </is>
      </c>
      <c r="P7" s="281" t="n">
        <v>45777</v>
      </c>
      <c r="Q7" s="97">
        <f>IF(Table2[[#This Row],[Disability Script]]="","",IF(Table2[[#This Row],[Column1]]&lt;TODAY(),"Expired",""))</f>
        <v/>
      </c>
      <c r="R7" s="30" t="inlineStr">
        <is>
          <t>Non-Wheel Chair</t>
        </is>
      </c>
      <c r="S7" s="33" t="n"/>
      <c r="T7" s="30" t="n"/>
      <c r="U7" s="74" t="inlineStr">
        <is>
          <t>Active</t>
        </is>
      </c>
    </row>
    <row r="8" ht="16.5" customHeight="1" s="237">
      <c r="A8" s="79" t="inlineStr">
        <is>
          <t>Brandon Pinkey</t>
        </is>
      </c>
      <c r="B8" s="97" t="inlineStr">
        <is>
          <t>N/A</t>
        </is>
      </c>
      <c r="C8" s="96" t="inlineStr">
        <is>
          <t>1213 Mary Ave</t>
        </is>
      </c>
      <c r="D8" s="96" t="inlineStr">
        <is>
          <t>Lansing</t>
        </is>
      </c>
      <c r="E8" s="97" t="inlineStr">
        <is>
          <t>MI</t>
        </is>
      </c>
      <c r="F8" s="97" t="n">
        <v>48910</v>
      </c>
      <c r="G8" s="97" t="n"/>
      <c r="H8" s="96" t="n"/>
      <c r="I8" s="97" t="n"/>
      <c r="J8" s="279" t="n"/>
      <c r="K8" s="97" t="n"/>
      <c r="L8" s="280" t="n"/>
      <c r="M8" s="97" t="n"/>
      <c r="N8" s="97" t="n"/>
      <c r="O8" s="31" t="inlineStr">
        <is>
          <t>On record</t>
        </is>
      </c>
      <c r="P8" s="281" t="n">
        <v>45777</v>
      </c>
      <c r="Q8" s="97">
        <f>IF(Table2[[#This Row],[Disability Script]]="","",IF(Table2[[#This Row],[Column1]]&lt;TODAY(),"Expired",""))</f>
        <v/>
      </c>
      <c r="R8" s="30" t="inlineStr">
        <is>
          <t>Non-Wheel Chair</t>
        </is>
      </c>
      <c r="S8" s="33" t="n"/>
      <c r="T8" s="30" t="n"/>
      <c r="U8" s="74" t="inlineStr">
        <is>
          <t>Active</t>
        </is>
      </c>
    </row>
    <row r="9" ht="16.5" customHeight="1" s="237">
      <c r="A9" s="79" t="inlineStr">
        <is>
          <t>Courtney Cary</t>
        </is>
      </c>
      <c r="B9" s="97" t="inlineStr">
        <is>
          <t>N/A</t>
        </is>
      </c>
      <c r="C9" s="96" t="inlineStr">
        <is>
          <t>6475 Longacre St.</t>
        </is>
      </c>
      <c r="D9" s="96" t="inlineStr">
        <is>
          <t>Detroit</t>
        </is>
      </c>
      <c r="E9" s="97" t="inlineStr">
        <is>
          <t>MI</t>
        </is>
      </c>
      <c r="F9" s="97" t="n">
        <v>48228</v>
      </c>
      <c r="G9" s="282" t="n"/>
      <c r="H9" s="30" t="n"/>
      <c r="I9" s="30" t="n"/>
      <c r="J9" s="283" t="n"/>
      <c r="K9" s="30" t="n"/>
      <c r="L9" s="191" t="n"/>
      <c r="M9" s="30" t="n"/>
      <c r="N9" s="192" t="n"/>
      <c r="O9" s="31" t="inlineStr">
        <is>
          <t>On record</t>
        </is>
      </c>
      <c r="P9" s="281" t="n"/>
      <c r="Q9" s="173">
        <f>IF(Table2[[#This Row],[Disability Script]]="","",IF(Table2[[#This Row],[Column1]]&lt;TODAY(),"Expired",""))</f>
        <v/>
      </c>
      <c r="R9" s="30" t="inlineStr">
        <is>
          <t>Non-Wheel Chair</t>
        </is>
      </c>
      <c r="S9" s="33" t="n"/>
      <c r="T9" s="30" t="n"/>
      <c r="U9" s="74" t="inlineStr">
        <is>
          <t>Active</t>
        </is>
      </c>
    </row>
    <row r="10" ht="16.5" customHeight="1" s="237">
      <c r="A10" s="79" t="inlineStr">
        <is>
          <t xml:space="preserve">Danairrio Kegler </t>
        </is>
      </c>
      <c r="B10" s="97" t="inlineStr">
        <is>
          <t>N/A</t>
        </is>
      </c>
      <c r="C10" s="96" t="inlineStr">
        <is>
          <t>4025  W. Jolly Rd. Apt 13</t>
        </is>
      </c>
      <c r="D10" s="96" t="inlineStr">
        <is>
          <t>Lansing</t>
        </is>
      </c>
      <c r="E10" s="97" t="inlineStr">
        <is>
          <t>MI</t>
        </is>
      </c>
      <c r="F10" s="97" t="n">
        <v>48911</v>
      </c>
      <c r="G10" s="97" t="n"/>
      <c r="H10" s="96" t="n"/>
      <c r="I10" s="97" t="n"/>
      <c r="J10" s="279" t="n"/>
      <c r="K10" s="97" t="n"/>
      <c r="L10" s="280" t="n"/>
      <c r="M10" s="97" t="n"/>
      <c r="N10" s="97" t="n"/>
      <c r="O10" s="31" t="inlineStr">
        <is>
          <t>On record</t>
        </is>
      </c>
      <c r="P10" s="281" t="n">
        <v>45757</v>
      </c>
      <c r="Q10" s="97">
        <f>IF(Table2[[#This Row],[Disability Script]]="","",IF(Table2[[#This Row],[Column1]]&lt;TODAY(),"Expired",""))</f>
        <v/>
      </c>
      <c r="R10" s="30" t="inlineStr">
        <is>
          <t>Non-Wheel Chair</t>
        </is>
      </c>
      <c r="S10" s="33" t="n"/>
      <c r="T10" s="30" t="n"/>
      <c r="U10" s="74" t="inlineStr">
        <is>
          <t>Active</t>
        </is>
      </c>
    </row>
    <row r="11" ht="16.5" customHeight="1" s="237">
      <c r="A11" s="79" t="inlineStr">
        <is>
          <t>Danita_Mcknight</t>
        </is>
      </c>
      <c r="B11" s="97" t="inlineStr">
        <is>
          <t>N/A</t>
        </is>
      </c>
      <c r="C11" s="96" t="inlineStr">
        <is>
          <t>2301  Ewald  Circle</t>
        </is>
      </c>
      <c r="D11" s="96" t="inlineStr">
        <is>
          <t>Detroit</t>
        </is>
      </c>
      <c r="E11" s="97" t="inlineStr">
        <is>
          <t>MI</t>
        </is>
      </c>
      <c r="F11" s="97" t="n">
        <v>48238</v>
      </c>
      <c r="G11" s="97" t="n"/>
      <c r="H11" s="96" t="n"/>
      <c r="I11" s="97" t="n"/>
      <c r="J11" s="279" t="n"/>
      <c r="K11" s="97" t="n"/>
      <c r="L11" s="280" t="n"/>
      <c r="M11" s="97" t="n"/>
      <c r="N11" s="97" t="n"/>
      <c r="O11" s="31" t="inlineStr">
        <is>
          <t>On record</t>
        </is>
      </c>
      <c r="P11" s="281" t="n">
        <v>45763</v>
      </c>
      <c r="Q11" s="97">
        <f>IF(Table2[[#This Row],[Disability Script]]="","",IF(Table2[[#This Row],[Column1]]&lt;TODAY(),"Expired",""))</f>
        <v/>
      </c>
      <c r="R11" s="30" t="inlineStr">
        <is>
          <t>Non-Wheel Chair</t>
        </is>
      </c>
      <c r="S11" s="33" t="n"/>
      <c r="T11" s="30" t="n"/>
      <c r="U11" s="74" t="inlineStr">
        <is>
          <t>Active</t>
        </is>
      </c>
    </row>
    <row r="12" ht="16.5" customHeight="1" s="237">
      <c r="A12" s="79" t="inlineStr">
        <is>
          <t>Demetrius Thompsom</t>
        </is>
      </c>
      <c r="B12" s="97" t="inlineStr">
        <is>
          <t>N/A</t>
        </is>
      </c>
      <c r="C12" s="96" t="inlineStr">
        <is>
          <t>14475 Chelsea St.</t>
        </is>
      </c>
      <c r="D12" s="96" t="inlineStr">
        <is>
          <t>Detroit</t>
        </is>
      </c>
      <c r="E12" s="97" t="inlineStr">
        <is>
          <t>MI</t>
        </is>
      </c>
      <c r="F12" s="97" t="n">
        <v>48213</v>
      </c>
      <c r="G12" s="97" t="n"/>
      <c r="H12" s="96" t="n"/>
      <c r="I12" s="97" t="n"/>
      <c r="J12" s="279" t="n"/>
      <c r="K12" s="97" t="n"/>
      <c r="L12" s="280" t="n"/>
      <c r="M12" s="97" t="n"/>
      <c r="N12" s="97" t="n"/>
      <c r="O12" s="31" t="inlineStr">
        <is>
          <t>On record</t>
        </is>
      </c>
      <c r="P12" s="281" t="n">
        <v>45777</v>
      </c>
      <c r="Q12" s="97">
        <f>IF(Table2[[#This Row],[Disability Script]]="","",IF(Table2[[#This Row],[Column1]]&lt;TODAY(),"Expired",""))</f>
        <v/>
      </c>
      <c r="R12" s="30" t="inlineStr">
        <is>
          <t>Non-Wheel Chair</t>
        </is>
      </c>
      <c r="S12" s="33" t="n"/>
      <c r="T12" s="30" t="n"/>
      <c r="U12" s="74" t="inlineStr">
        <is>
          <t>Active</t>
        </is>
      </c>
    </row>
    <row r="13" ht="16.5" customHeight="1" s="237">
      <c r="A13" s="79" t="inlineStr">
        <is>
          <t>Dequanta Branner</t>
        </is>
      </c>
      <c r="B13" s="97" t="inlineStr">
        <is>
          <t>N/A</t>
        </is>
      </c>
      <c r="C13" s="96" t="inlineStr">
        <is>
          <t>3604 Brentwood Circle West</t>
        </is>
      </c>
      <c r="D13" s="96" t="inlineStr">
        <is>
          <t>White Lake</t>
        </is>
      </c>
      <c r="E13" s="97" t="inlineStr">
        <is>
          <t>MI</t>
        </is>
      </c>
      <c r="F13" s="97" t="n">
        <v>48383</v>
      </c>
      <c r="G13" s="282" t="n"/>
      <c r="H13" s="30" t="n"/>
      <c r="I13" s="30" t="n"/>
      <c r="J13" s="283" t="n"/>
      <c r="K13" s="30" t="n"/>
      <c r="L13" s="191" t="n"/>
      <c r="M13" s="30" t="n"/>
      <c r="N13" s="192" t="n"/>
      <c r="O13" s="31" t="inlineStr">
        <is>
          <t>On record</t>
        </is>
      </c>
      <c r="P13" s="281" t="n"/>
      <c r="Q13" s="173">
        <f>IF(Table2[[#This Row],[Disability Script]]="","",IF(Table2[[#This Row],[Column1]]&lt;TODAY(),"Expired",""))</f>
        <v/>
      </c>
      <c r="R13" s="30" t="inlineStr">
        <is>
          <t>Non-Wheel Chair</t>
        </is>
      </c>
      <c r="S13" s="33" t="n"/>
      <c r="T13" s="30" t="n"/>
      <c r="U13" s="74" t="inlineStr">
        <is>
          <t>Active</t>
        </is>
      </c>
    </row>
    <row r="14" ht="16.5" customHeight="1" s="237">
      <c r="A14" s="79" t="inlineStr">
        <is>
          <t>Desmond Ricks</t>
        </is>
      </c>
      <c r="B14" s="97" t="inlineStr">
        <is>
          <t>N/A</t>
        </is>
      </c>
      <c r="C14" s="96" t="inlineStr">
        <is>
          <t>30232 Southfield Rd.</t>
        </is>
      </c>
      <c r="D14" s="96" t="inlineStr">
        <is>
          <t>Southfield</t>
        </is>
      </c>
      <c r="E14" s="97" t="inlineStr">
        <is>
          <t>MI</t>
        </is>
      </c>
      <c r="F14" s="97" t="n">
        <v>48076</v>
      </c>
      <c r="G14" s="97" t="n"/>
      <c r="H14" s="96" t="n"/>
      <c r="I14" s="97" t="n"/>
      <c r="J14" s="279" t="n"/>
      <c r="K14" s="97" t="n"/>
      <c r="L14" s="280" t="n"/>
      <c r="M14" s="97" t="n"/>
      <c r="N14" s="97" t="n"/>
      <c r="O14" s="31" t="inlineStr">
        <is>
          <t>On record</t>
        </is>
      </c>
      <c r="P14" s="281" t="n">
        <v>45777</v>
      </c>
      <c r="Q14" s="97">
        <f>IF(Table2[[#This Row],[Disability Script]]="","",IF(Table2[[#This Row],[Column1]]&lt;TODAY(),"Expired",""))</f>
        <v/>
      </c>
      <c r="R14" s="30" t="inlineStr">
        <is>
          <t>Non-Wheel Chair</t>
        </is>
      </c>
      <c r="S14" s="33" t="n"/>
      <c r="T14" s="30" t="n"/>
      <c r="U14" s="74" t="inlineStr">
        <is>
          <t>Active</t>
        </is>
      </c>
    </row>
    <row r="15" ht="16.5" customHeight="1" s="237">
      <c r="A15" s="79" t="inlineStr">
        <is>
          <t>Dontae Davis Jr.</t>
        </is>
      </c>
      <c r="B15" s="97" t="inlineStr">
        <is>
          <t>N/A</t>
        </is>
      </c>
      <c r="C15" s="96" t="inlineStr">
        <is>
          <t>9875 Balfour Rd.</t>
        </is>
      </c>
      <c r="D15" s="96" t="inlineStr">
        <is>
          <t>Detroit</t>
        </is>
      </c>
      <c r="E15" s="97" t="inlineStr">
        <is>
          <t>MI</t>
        </is>
      </c>
      <c r="F15" s="97" t="n">
        <v>48224</v>
      </c>
      <c r="G15" s="282" t="n"/>
      <c r="H15" s="30" t="n"/>
      <c r="I15" s="30" t="n"/>
      <c r="J15" s="283" t="n"/>
      <c r="K15" s="30" t="n"/>
      <c r="L15" s="191" t="n"/>
      <c r="M15" s="30" t="n"/>
      <c r="N15" s="192" t="n"/>
      <c r="O15" s="31" t="inlineStr">
        <is>
          <t>On record</t>
        </is>
      </c>
      <c r="P15" s="281" t="n"/>
      <c r="Q15" s="173">
        <f>IF(Table2[[#This Row],[Disability Script]]="","",IF(Table2[[#This Row],[Column1]]&lt;TODAY(),"Expired",""))</f>
        <v/>
      </c>
      <c r="R15" s="30" t="inlineStr">
        <is>
          <t>Non-Wheel Chair</t>
        </is>
      </c>
      <c r="S15" s="33" t="n"/>
      <c r="T15" s="30" t="n"/>
      <c r="U15" s="74" t="inlineStr">
        <is>
          <t>Active</t>
        </is>
      </c>
    </row>
    <row r="16" ht="16.5" customHeight="1" s="237">
      <c r="A16" s="79" t="inlineStr">
        <is>
          <t>Dory Rutherford</t>
        </is>
      </c>
      <c r="B16" s="97" t="inlineStr">
        <is>
          <t>N/A</t>
        </is>
      </c>
      <c r="C16" s="96" t="inlineStr">
        <is>
          <t>17729 Collinson Ave</t>
        </is>
      </c>
      <c r="D16" s="96" t="inlineStr">
        <is>
          <t>Eastpointe</t>
        </is>
      </c>
      <c r="E16" s="97" t="inlineStr">
        <is>
          <t>MI</t>
        </is>
      </c>
      <c r="F16" s="97" t="n">
        <v>48021</v>
      </c>
      <c r="G16" s="97" t="n"/>
      <c r="H16" s="96" t="n"/>
      <c r="I16" s="97" t="n"/>
      <c r="J16" s="279" t="n"/>
      <c r="K16" s="97" t="n"/>
      <c r="L16" s="280" t="n"/>
      <c r="M16" s="97" t="n"/>
      <c r="N16" s="97" t="n"/>
      <c r="O16" s="31" t="inlineStr">
        <is>
          <t>On record</t>
        </is>
      </c>
      <c r="P16" s="281" t="n">
        <v>45763</v>
      </c>
      <c r="Q16" s="97">
        <f>IF(Table2[[#This Row],[Disability Script]]="","",IF(Table2[[#This Row],[Column1]]&lt;TODAY(),"Expired",""))</f>
        <v/>
      </c>
      <c r="R16" s="30" t="inlineStr">
        <is>
          <t>Non-Wheel Chair</t>
        </is>
      </c>
      <c r="S16" s="33" t="n"/>
      <c r="T16" s="30" t="n"/>
      <c r="U16" s="74" t="inlineStr">
        <is>
          <t>Active</t>
        </is>
      </c>
    </row>
    <row r="17" ht="16.5" customHeight="1" s="237">
      <c r="A17" s="79" t="inlineStr">
        <is>
          <t>Eboni Gibons</t>
        </is>
      </c>
      <c r="B17" s="97" t="inlineStr">
        <is>
          <t>N/A</t>
        </is>
      </c>
      <c r="C17" s="96" t="inlineStr">
        <is>
          <t>29200 Gloede</t>
        </is>
      </c>
      <c r="D17" s="96" t="inlineStr">
        <is>
          <t>Warren</t>
        </is>
      </c>
      <c r="E17" s="97" t="inlineStr">
        <is>
          <t>MI</t>
        </is>
      </c>
      <c r="F17" s="97" t="n">
        <v>48088</v>
      </c>
      <c r="G17" s="97" t="n"/>
      <c r="H17" s="96" t="n"/>
      <c r="I17" s="97" t="n"/>
      <c r="J17" s="279" t="n"/>
      <c r="K17" s="97" t="n"/>
      <c r="L17" s="280" t="n"/>
      <c r="M17" s="97" t="n"/>
      <c r="N17" s="97" t="n"/>
      <c r="O17" s="31" t="inlineStr">
        <is>
          <t>On record</t>
        </is>
      </c>
      <c r="P17" s="281" t="n">
        <v>45763</v>
      </c>
      <c r="Q17" s="97">
        <f>IF(Table2[[#This Row],[Disability Script]]="","",IF(Table2[[#This Row],[Column1]]&lt;TODAY(),"Expired",""))</f>
        <v/>
      </c>
      <c r="R17" s="30" t="inlineStr">
        <is>
          <t>Non-Wheel Chair</t>
        </is>
      </c>
      <c r="S17" s="33" t="n"/>
      <c r="T17" s="30" t="n"/>
      <c r="U17" s="74" t="inlineStr">
        <is>
          <t>Active</t>
        </is>
      </c>
    </row>
    <row r="18" ht="16.5" customHeight="1" s="237">
      <c r="A18" s="79" t="inlineStr">
        <is>
          <t>Emanuelle Grafton</t>
        </is>
      </c>
      <c r="B18" s="97" t="inlineStr">
        <is>
          <t>N/A</t>
        </is>
      </c>
      <c r="C18" s="96" t="inlineStr">
        <is>
          <t>14115 Centralia St.</t>
        </is>
      </c>
      <c r="D18" s="96" t="inlineStr">
        <is>
          <t>Redford</t>
        </is>
      </c>
      <c r="E18" s="97" t="inlineStr">
        <is>
          <t>MI</t>
        </is>
      </c>
      <c r="F18" s="97" t="n">
        <v>48239</v>
      </c>
      <c r="G18" s="97" t="n"/>
      <c r="H18" s="96" t="n"/>
      <c r="I18" s="97" t="n"/>
      <c r="J18" s="279" t="n"/>
      <c r="K18" s="97" t="n"/>
      <c r="L18" s="280" t="n"/>
      <c r="M18" s="97" t="n"/>
      <c r="N18" s="97" t="n"/>
      <c r="O18" s="31" t="inlineStr">
        <is>
          <t>On record</t>
        </is>
      </c>
      <c r="P18" s="281" t="n">
        <v>45747</v>
      </c>
      <c r="Q18" s="97">
        <f>IF(Table2[[#This Row],[Disability Script]]="","",IF(Table2[[#This Row],[Column1]]&lt;TODAY(),"Expired",""))</f>
        <v/>
      </c>
      <c r="R18" s="30" t="inlineStr">
        <is>
          <t>Non-Wheel Chair</t>
        </is>
      </c>
      <c r="S18" s="33" t="n"/>
      <c r="T18" s="30" t="n"/>
      <c r="U18" s="74" t="inlineStr">
        <is>
          <t>Active</t>
        </is>
      </c>
    </row>
    <row r="19" ht="16.5" customHeight="1" s="237">
      <c r="A19" s="79" t="inlineStr">
        <is>
          <t>Ervin Whitley</t>
        </is>
      </c>
      <c r="B19" s="97" t="inlineStr">
        <is>
          <t>N/A</t>
        </is>
      </c>
      <c r="C19" s="96" t="inlineStr">
        <is>
          <t>17234 Wormer St.</t>
        </is>
      </c>
      <c r="D19" s="96" t="inlineStr">
        <is>
          <t>Detroit</t>
        </is>
      </c>
      <c r="E19" s="97" t="inlineStr">
        <is>
          <t>MI</t>
        </is>
      </c>
      <c r="F19" s="97" t="n">
        <v>48219</v>
      </c>
      <c r="G19" s="97" t="n"/>
      <c r="H19" s="96" t="n"/>
      <c r="I19" s="97" t="n"/>
      <c r="J19" s="279" t="n"/>
      <c r="K19" s="97" t="n"/>
      <c r="L19" s="280" t="n"/>
      <c r="M19" s="97" t="n"/>
      <c r="N19" s="97" t="n"/>
      <c r="O19" s="31" t="inlineStr">
        <is>
          <t>On record</t>
        </is>
      </c>
      <c r="P19" s="284" t="n">
        <v>45777</v>
      </c>
      <c r="Q19" s="97">
        <f>IF(Table2[[#This Row],[Disability Script]]="","",IF(Table2[[#This Row],[Column1]]&lt;TODAY(),"Expired",""))</f>
        <v/>
      </c>
      <c r="R19" s="61" t="inlineStr">
        <is>
          <t>Non-Wheel Chair</t>
        </is>
      </c>
      <c r="S19" s="66" t="n"/>
      <c r="T19" s="61" t="n"/>
      <c r="U19" s="75" t="inlineStr">
        <is>
          <t>Active</t>
        </is>
      </c>
    </row>
    <row r="20" ht="16.5" customHeight="1" s="237">
      <c r="A20" s="79" t="inlineStr">
        <is>
          <t>Felicia Graham</t>
        </is>
      </c>
      <c r="B20" s="97" t="inlineStr">
        <is>
          <t>N/A</t>
        </is>
      </c>
      <c r="C20" s="96" t="inlineStr">
        <is>
          <t>9915 E. Pickwick building # 28</t>
        </is>
      </c>
      <c r="D20" s="96" t="inlineStr">
        <is>
          <t>Taylor</t>
        </is>
      </c>
      <c r="E20" s="97" t="inlineStr">
        <is>
          <t>MI</t>
        </is>
      </c>
      <c r="F20" s="97" t="n">
        <v>48180</v>
      </c>
      <c r="G20" s="97" t="n"/>
      <c r="H20" s="96" t="n"/>
      <c r="I20" s="97" t="n"/>
      <c r="J20" s="279" t="n"/>
      <c r="K20" s="97" t="n"/>
      <c r="L20" s="280" t="n"/>
      <c r="M20" s="97" t="n"/>
      <c r="N20" s="97" t="n"/>
      <c r="O20" s="31" t="inlineStr">
        <is>
          <t>On record</t>
        </is>
      </c>
      <c r="P20" s="284" t="n">
        <v>45743</v>
      </c>
      <c r="Q20" s="97">
        <f>IF(Table2[[#This Row],[Disability Script]]="","",IF(Table2[[#This Row],[Column1]]&lt;TODAY(),"Expired",""))</f>
        <v/>
      </c>
      <c r="R20" s="61" t="inlineStr">
        <is>
          <t>Non-Wheel Chair</t>
        </is>
      </c>
      <c r="S20" s="66" t="n"/>
      <c r="T20" s="61" t="n"/>
      <c r="U20" s="75" t="inlineStr">
        <is>
          <t>Active</t>
        </is>
      </c>
    </row>
    <row r="21" ht="16.5" customHeight="1" s="237">
      <c r="A21" s="79" t="inlineStr">
        <is>
          <t>Henry Montgomery</t>
        </is>
      </c>
      <c r="B21" s="97" t="inlineStr">
        <is>
          <t>N/A</t>
        </is>
      </c>
      <c r="C21" s="96" t="inlineStr">
        <is>
          <t>12809 Essex Ave.</t>
        </is>
      </c>
      <c r="D21" s="96" t="inlineStr">
        <is>
          <t>Detroit</t>
        </is>
      </c>
      <c r="E21" s="97" t="inlineStr">
        <is>
          <t>MI</t>
        </is>
      </c>
      <c r="F21" s="97" t="n">
        <v>48215</v>
      </c>
      <c r="G21" s="97" t="n"/>
      <c r="H21" s="96" t="n"/>
      <c r="I21" s="97" t="n"/>
      <c r="J21" s="279" t="n"/>
      <c r="K21" s="97" t="n"/>
      <c r="L21" s="280" t="n"/>
      <c r="M21" s="97" t="n"/>
      <c r="N21" s="97" t="n"/>
      <c r="O21" s="31" t="inlineStr">
        <is>
          <t>On record</t>
        </is>
      </c>
      <c r="P21" s="284" t="n">
        <v>45777</v>
      </c>
      <c r="Q21" s="97">
        <f>IF(Table2[[#This Row],[Disability Script]]="","",IF(Table2[[#This Row],[Column1]]&lt;TODAY(),"Expired",""))</f>
        <v/>
      </c>
      <c r="R21" s="61" t="inlineStr">
        <is>
          <t>Non-Wheel Chair</t>
        </is>
      </c>
      <c r="S21" s="66" t="n"/>
      <c r="T21" s="61" t="n"/>
      <c r="U21" s="75" t="inlineStr">
        <is>
          <t>Active</t>
        </is>
      </c>
    </row>
    <row r="22" ht="16.5" customHeight="1" s="237">
      <c r="A22" s="79" t="inlineStr">
        <is>
          <t>Jalen Hill</t>
        </is>
      </c>
      <c r="B22" s="97" t="inlineStr">
        <is>
          <t>N/A</t>
        </is>
      </c>
      <c r="C22" s="96" t="inlineStr">
        <is>
          <t>1055 Philip St.</t>
        </is>
      </c>
      <c r="D22" s="96" t="inlineStr">
        <is>
          <t>Detroit</t>
        </is>
      </c>
      <c r="E22" s="97" t="inlineStr">
        <is>
          <t>MI</t>
        </is>
      </c>
      <c r="F22" s="97" t="n">
        <v>48215</v>
      </c>
      <c r="G22" s="97" t="n"/>
      <c r="H22" s="96" t="n"/>
      <c r="I22" s="97" t="n"/>
      <c r="J22" s="279" t="n"/>
      <c r="K22" s="97" t="n"/>
      <c r="L22" s="280" t="n"/>
      <c r="M22" s="97" t="n"/>
      <c r="N22" s="97" t="n"/>
      <c r="O22" s="31" t="inlineStr">
        <is>
          <t>On record</t>
        </is>
      </c>
      <c r="P22" s="284" t="n">
        <v>45716</v>
      </c>
      <c r="Q22" s="97">
        <f>IF(Table2[[#This Row],[Disability Script]]="","",IF(Table2[[#This Row],[Column1]]&lt;TODAY(),"Expired",""))</f>
        <v/>
      </c>
      <c r="R22" s="61" t="inlineStr">
        <is>
          <t>Non-Wheel Chair</t>
        </is>
      </c>
      <c r="S22" s="66" t="n"/>
      <c r="T22" s="61" t="n"/>
      <c r="U22" s="75" t="inlineStr">
        <is>
          <t>Active</t>
        </is>
      </c>
    </row>
    <row r="23" ht="16.5" customHeight="1" s="237">
      <c r="A23" s="79" t="inlineStr">
        <is>
          <t>Jalen Sanders</t>
        </is>
      </c>
      <c r="B23" s="97" t="inlineStr">
        <is>
          <t>N/A</t>
        </is>
      </c>
      <c r="C23" s="96" t="inlineStr">
        <is>
          <t>17198 Santa Barbara</t>
        </is>
      </c>
      <c r="D23" s="96" t="inlineStr">
        <is>
          <t>Detroit</t>
        </is>
      </c>
      <c r="E23" s="97" t="inlineStr">
        <is>
          <t>MI</t>
        </is>
      </c>
      <c r="F23" s="97" t="n">
        <v>48221</v>
      </c>
      <c r="G23" s="282" t="n"/>
      <c r="H23" s="30" t="n"/>
      <c r="I23" s="30" t="n"/>
      <c r="J23" s="283" t="n"/>
      <c r="K23" s="30" t="n"/>
      <c r="L23" s="191" t="n"/>
      <c r="M23" s="30" t="n"/>
      <c r="N23" s="192" t="n"/>
      <c r="O23" s="31" t="inlineStr">
        <is>
          <t>On record</t>
        </is>
      </c>
      <c r="P23" s="284" t="n"/>
      <c r="Q23" s="173">
        <f>IF(Table2[[#This Row],[Disability Script]]="","",IF(Table2[[#This Row],[Column1]]&lt;TODAY(),"Expired",""))</f>
        <v/>
      </c>
      <c r="R23" s="61" t="inlineStr">
        <is>
          <t>Non-Wheel Chair</t>
        </is>
      </c>
      <c r="S23" s="66" t="n"/>
      <c r="T23" s="61" t="n"/>
      <c r="U23" s="75" t="inlineStr">
        <is>
          <t>Active</t>
        </is>
      </c>
    </row>
    <row r="24" ht="16.5" customHeight="1" s="237">
      <c r="A24" s="79" t="inlineStr">
        <is>
          <t>James Watts</t>
        </is>
      </c>
      <c r="B24" s="97" t="inlineStr">
        <is>
          <t>N/A</t>
        </is>
      </c>
      <c r="C24" s="96" t="inlineStr">
        <is>
          <t>6521 Red Maple Ln.</t>
        </is>
      </c>
      <c r="D24" s="96" t="inlineStr">
        <is>
          <t>Bloomfield Hills</t>
        </is>
      </c>
      <c r="E24" s="97" t="inlineStr">
        <is>
          <t>MI</t>
        </is>
      </c>
      <c r="F24" s="97" t="n">
        <v>48301</v>
      </c>
      <c r="G24" s="97" t="n"/>
      <c r="H24" s="96" t="n"/>
      <c r="I24" s="97" t="n"/>
      <c r="J24" s="279" t="n"/>
      <c r="K24" s="97" t="n"/>
      <c r="L24" s="280" t="n"/>
      <c r="M24" s="97" t="n"/>
      <c r="N24" s="97" t="n"/>
      <c r="O24" s="31" t="inlineStr">
        <is>
          <t>On record</t>
        </is>
      </c>
      <c r="P24" s="284" t="n">
        <v>45733</v>
      </c>
      <c r="Q24" s="97">
        <f>IF(Table2[[#This Row],[Disability Script]]="","",IF(Table2[[#This Row],[Column1]]&lt;TODAY(),"Expired",""))</f>
        <v/>
      </c>
      <c r="R24" s="61" t="inlineStr">
        <is>
          <t>Non-Wheel Chair</t>
        </is>
      </c>
      <c r="S24" s="66" t="n"/>
      <c r="T24" s="61" t="n"/>
      <c r="U24" s="75" t="inlineStr">
        <is>
          <t>Active</t>
        </is>
      </c>
    </row>
    <row r="25" ht="16.5" customHeight="1" s="237">
      <c r="A25" s="79" t="inlineStr">
        <is>
          <t xml:space="preserve">Jarrell Hutchins </t>
        </is>
      </c>
      <c r="B25" s="97" t="inlineStr">
        <is>
          <t>N/A</t>
        </is>
      </c>
      <c r="C25" s="96" t="inlineStr">
        <is>
          <t>4722 Alter Rd.</t>
        </is>
      </c>
      <c r="D25" s="96" t="inlineStr">
        <is>
          <t>Detroit</t>
        </is>
      </c>
      <c r="E25" s="97" t="inlineStr">
        <is>
          <t>MI</t>
        </is>
      </c>
      <c r="F25" s="97" t="n">
        <v>48215</v>
      </c>
      <c r="G25" s="97" t="n"/>
      <c r="H25" s="96" t="n"/>
      <c r="I25" s="177" t="n"/>
      <c r="J25" s="279" t="n"/>
      <c r="K25" s="97" t="n"/>
      <c r="L25" s="280" t="n"/>
      <c r="M25" s="97" t="n"/>
      <c r="N25" s="97" t="n"/>
      <c r="O25" s="31" t="inlineStr">
        <is>
          <t>On record</t>
        </is>
      </c>
      <c r="P25" s="281" t="n">
        <v>45701</v>
      </c>
      <c r="Q25" s="97">
        <f>IF(Table2[[#This Row],[Disability Script]]="","",IF(Table2[[#This Row],[Column1]]&lt;TODAY(),"Expired",""))</f>
        <v/>
      </c>
      <c r="R25" s="61" t="inlineStr">
        <is>
          <t>Non-Wheel Chair</t>
        </is>
      </c>
      <c r="S25" s="66" t="n"/>
      <c r="T25" s="61" t="n"/>
      <c r="U25" s="75" t="inlineStr">
        <is>
          <t>Active</t>
        </is>
      </c>
    </row>
    <row r="26" ht="16.5" customHeight="1" s="237">
      <c r="A26" s="79" t="inlineStr">
        <is>
          <t>Jesse Beckwith</t>
        </is>
      </c>
      <c r="B26" s="97" t="inlineStr">
        <is>
          <t>N/A</t>
        </is>
      </c>
      <c r="C26" s="96" t="inlineStr">
        <is>
          <t>27329 Alden St.</t>
        </is>
      </c>
      <c r="D26" s="96" t="inlineStr">
        <is>
          <t>Madison Hts.</t>
        </is>
      </c>
      <c r="E26" s="97" t="inlineStr">
        <is>
          <t>MI</t>
        </is>
      </c>
      <c r="F26" s="97" t="n">
        <v>48071</v>
      </c>
      <c r="G26" s="97" t="n"/>
      <c r="H26" s="96" t="n"/>
      <c r="I26" s="177" t="n"/>
      <c r="J26" s="279" t="n"/>
      <c r="K26" s="97" t="n"/>
      <c r="L26" s="280" t="n"/>
      <c r="M26" s="97" t="n"/>
      <c r="N26" s="97" t="n"/>
      <c r="O26" s="31" t="inlineStr">
        <is>
          <t>On record</t>
        </is>
      </c>
      <c r="P26" s="284" t="n">
        <v>45723</v>
      </c>
      <c r="Q26" s="97">
        <f>IF(Table2[[#This Row],[Disability Script]]="","",IF(Table2[[#This Row],[Column1]]&lt;TODAY(),"Expired",""))</f>
        <v/>
      </c>
      <c r="R26" s="61" t="inlineStr">
        <is>
          <t>Non-Wheel Chair</t>
        </is>
      </c>
      <c r="S26" s="66" t="n"/>
      <c r="T26" s="61" t="n"/>
      <c r="U26" s="75" t="inlineStr">
        <is>
          <t>Active</t>
        </is>
      </c>
    </row>
    <row r="27" ht="16.5" customHeight="1" s="237">
      <c r="A27" s="79" t="inlineStr">
        <is>
          <t>Juwan Patton</t>
        </is>
      </c>
      <c r="B27" s="97" t="inlineStr">
        <is>
          <t>N/A</t>
        </is>
      </c>
      <c r="C27" s="96" t="inlineStr">
        <is>
          <t>173 Onieda St.</t>
        </is>
      </c>
      <c r="D27" s="96" t="inlineStr">
        <is>
          <t>Pontiac</t>
        </is>
      </c>
      <c r="E27" s="97" t="inlineStr">
        <is>
          <t>MI</t>
        </is>
      </c>
      <c r="F27" s="97" t="n">
        <v>48341</v>
      </c>
      <c r="G27" s="97" t="n"/>
      <c r="H27" s="96" t="n"/>
      <c r="I27" s="97" t="n"/>
      <c r="J27" s="279" t="n"/>
      <c r="K27" s="97" t="n"/>
      <c r="L27" s="280" t="n"/>
      <c r="M27" s="97" t="n"/>
      <c r="N27" s="97" t="n"/>
      <c r="O27" s="31" t="inlineStr">
        <is>
          <t>On record</t>
        </is>
      </c>
      <c r="P27" s="284" t="n">
        <v>45730</v>
      </c>
      <c r="Q27" s="97">
        <f>IF(Table2[[#This Row],[Disability Script]]="","",IF(Table2[[#This Row],[Column1]]&lt;TODAY(),"Expired",""))</f>
        <v/>
      </c>
      <c r="R27" s="61" t="inlineStr">
        <is>
          <t>Non-Wheel Chair</t>
        </is>
      </c>
      <c r="S27" s="66" t="n"/>
      <c r="T27" s="61" t="n"/>
      <c r="U27" s="75" t="inlineStr">
        <is>
          <t>Active</t>
        </is>
      </c>
    </row>
    <row r="28" ht="16.5" customHeight="1" s="237">
      <c r="A28" s="79" t="inlineStr">
        <is>
          <t>Kelly Hernendez</t>
        </is>
      </c>
      <c r="B28" s="97" t="inlineStr">
        <is>
          <t>N/A</t>
        </is>
      </c>
      <c r="C28" s="96" t="inlineStr">
        <is>
          <t>232 Plymouth Rd.</t>
        </is>
      </c>
      <c r="D28" s="96" t="inlineStr">
        <is>
          <t>Plymouth</t>
        </is>
      </c>
      <c r="E28" s="97" t="inlineStr">
        <is>
          <t>MI</t>
        </is>
      </c>
      <c r="F28" s="97" t="n">
        <v>48170</v>
      </c>
      <c r="G28" s="97" t="n"/>
      <c r="H28" s="96" t="n"/>
      <c r="I28" s="97" t="n"/>
      <c r="J28" s="279" t="n"/>
      <c r="K28" s="97" t="n"/>
      <c r="L28" s="280" t="n"/>
      <c r="M28" s="97" t="n"/>
      <c r="N28" s="97" t="n"/>
      <c r="O28" s="31" t="inlineStr">
        <is>
          <t>On record</t>
        </is>
      </c>
      <c r="P28" s="284" t="n">
        <v>45722</v>
      </c>
      <c r="Q28" s="97">
        <f>IF(Table2[[#This Row],[Disability Script]]="","",IF(Table2[[#This Row],[Column1]]&lt;TODAY(),"Expired",""))</f>
        <v/>
      </c>
      <c r="R28" s="61" t="inlineStr">
        <is>
          <t>Wheel Chair</t>
        </is>
      </c>
      <c r="S28" s="66" t="n"/>
      <c r="T28" s="61" t="inlineStr">
        <is>
          <t>Wheel Chair Assistance
$100 Charge</t>
        </is>
      </c>
      <c r="U28" s="75" t="inlineStr">
        <is>
          <t>Active</t>
        </is>
      </c>
    </row>
    <row r="29" ht="16.5" customHeight="1" s="237">
      <c r="A29" s="79" t="inlineStr">
        <is>
          <t>Kenneth Fields</t>
        </is>
      </c>
      <c r="B29" s="97" t="inlineStr">
        <is>
          <t>N/A</t>
        </is>
      </c>
      <c r="C29" s="96" t="inlineStr">
        <is>
          <t>39 University Place</t>
        </is>
      </c>
      <c r="D29" s="96" t="inlineStr">
        <is>
          <t>Pontiac</t>
        </is>
      </c>
      <c r="E29" s="97" t="inlineStr">
        <is>
          <t>MI</t>
        </is>
      </c>
      <c r="F29" s="97" t="n">
        <v>49342</v>
      </c>
      <c r="G29" s="97" t="n"/>
      <c r="H29" s="96" t="n"/>
      <c r="I29" s="97" t="n"/>
      <c r="J29" s="279" t="n"/>
      <c r="K29" s="97" t="n"/>
      <c r="L29" s="280" t="n"/>
      <c r="M29" s="97" t="n"/>
      <c r="N29" s="97" t="n"/>
      <c r="O29" s="31" t="inlineStr">
        <is>
          <t>On record</t>
        </is>
      </c>
      <c r="P29" s="284" t="n">
        <v>45777</v>
      </c>
      <c r="Q29" s="97">
        <f>IF(Table2[[#This Row],[Disability Script]]="","",IF(Table2[[#This Row],[Column1]]&lt;TODAY(),"Expired",""))</f>
        <v/>
      </c>
      <c r="R29" s="61" t="inlineStr">
        <is>
          <t>Non-Wheel Chair</t>
        </is>
      </c>
      <c r="S29" s="66" t="n"/>
      <c r="T29" s="61" t="n"/>
      <c r="U29" s="75" t="inlineStr">
        <is>
          <t>Active</t>
        </is>
      </c>
    </row>
    <row r="30" ht="16.5" customHeight="1" s="237">
      <c r="A30" s="79" t="inlineStr">
        <is>
          <t>Kewan Lewis</t>
        </is>
      </c>
      <c r="B30" s="97" t="inlineStr">
        <is>
          <t>N/A</t>
        </is>
      </c>
      <c r="C30" s="96" t="inlineStr">
        <is>
          <t>99 Mark Ave</t>
        </is>
      </c>
      <c r="D30" s="96" t="inlineStr">
        <is>
          <t>Pontiac</t>
        </is>
      </c>
      <c r="E30" s="97" t="inlineStr">
        <is>
          <t>MI</t>
        </is>
      </c>
      <c r="F30" s="97" t="n">
        <v>48340</v>
      </c>
      <c r="G30" s="97" t="n"/>
      <c r="H30" s="96" t="n"/>
      <c r="I30" s="97" t="n"/>
      <c r="J30" s="279" t="n"/>
      <c r="K30" s="97" t="n"/>
      <c r="L30" s="280" t="n"/>
      <c r="M30" s="97" t="n"/>
      <c r="N30" s="97" t="n"/>
      <c r="O30" s="31" t="inlineStr">
        <is>
          <t>On record</t>
        </is>
      </c>
      <c r="P30" s="284" t="n">
        <v>45732</v>
      </c>
      <c r="Q30" s="97">
        <f>IF(Table2[[#This Row],[Disability Script]]="","",IF(Table2[[#This Row],[Column1]]&lt;TODAY(),"Expired",""))</f>
        <v/>
      </c>
      <c r="R30" s="61" t="inlineStr">
        <is>
          <t>Non-Wheel Chair</t>
        </is>
      </c>
      <c r="S30" s="66" t="n"/>
      <c r="T30" s="61" t="n"/>
      <c r="U30" s="75" t="inlineStr">
        <is>
          <t>Active</t>
        </is>
      </c>
    </row>
    <row r="31" ht="16.5" customHeight="1" s="237">
      <c r="A31" s="79" t="inlineStr">
        <is>
          <t>Lachanda Neely</t>
        </is>
      </c>
      <c r="B31" s="97" t="inlineStr">
        <is>
          <t>N/A</t>
        </is>
      </c>
      <c r="C31" s="96" t="inlineStr">
        <is>
          <t>18977 Algonac St.</t>
        </is>
      </c>
      <c r="D31" s="96" t="inlineStr">
        <is>
          <t>Detroit</t>
        </is>
      </c>
      <c r="E31" s="97" t="inlineStr">
        <is>
          <t>MI</t>
        </is>
      </c>
      <c r="F31" s="97" t="n">
        <v>48234</v>
      </c>
      <c r="G31" s="97" t="n"/>
      <c r="H31" s="96" t="n"/>
      <c r="I31" s="177" t="n"/>
      <c r="J31" s="279" t="n"/>
      <c r="K31" s="97" t="n"/>
      <c r="L31" s="280" t="n"/>
      <c r="M31" s="97" t="n"/>
      <c r="N31" s="97" t="n"/>
      <c r="O31" s="31" t="inlineStr">
        <is>
          <t>On record</t>
        </is>
      </c>
      <c r="P31" s="284" t="n">
        <v>45732</v>
      </c>
      <c r="Q31" s="97">
        <f>IF(Table2[[#This Row],[Disability Script]]="","",IF(Table2[[#This Row],[Column1]]&lt;TODAY(),"Expired",""))</f>
        <v/>
      </c>
      <c r="R31" s="61" t="inlineStr">
        <is>
          <t>Non-Wheel Chair</t>
        </is>
      </c>
      <c r="S31" s="66" t="n"/>
      <c r="T31" s="61" t="n"/>
      <c r="U31" s="75" t="inlineStr">
        <is>
          <t>Active</t>
        </is>
      </c>
    </row>
    <row r="32" ht="16.5" customHeight="1" s="237">
      <c r="A32" s="79" t="inlineStr">
        <is>
          <t>LeShawn Jennings</t>
        </is>
      </c>
      <c r="B32" s="97" t="inlineStr">
        <is>
          <t>N/A</t>
        </is>
      </c>
      <c r="C32" s="96" t="inlineStr">
        <is>
          <t>2514 Belvidere St.</t>
        </is>
      </c>
      <c r="D32" s="96" t="inlineStr">
        <is>
          <t>Detroit</t>
        </is>
      </c>
      <c r="E32" s="97" t="inlineStr">
        <is>
          <t>MI</t>
        </is>
      </c>
      <c r="F32" s="97" t="n">
        <v>48214</v>
      </c>
      <c r="G32" s="97" t="n"/>
      <c r="H32" s="96" t="n"/>
      <c r="I32" s="177" t="n"/>
      <c r="J32" s="279" t="n"/>
      <c r="K32" s="97" t="n"/>
      <c r="L32" s="280" t="n"/>
      <c r="M32" s="97" t="n"/>
      <c r="N32" s="97" t="n"/>
      <c r="O32" s="31" t="inlineStr">
        <is>
          <t>On record</t>
        </is>
      </c>
      <c r="P32" s="284" t="n">
        <v>45749</v>
      </c>
      <c r="Q32" s="97">
        <f>IF(Table2[[#This Row],[Disability Script]]="","",IF(Table2[[#This Row],[Column1]]&lt;TODAY(),"Expired",""))</f>
        <v/>
      </c>
      <c r="R32" s="61" t="inlineStr">
        <is>
          <t>Non-Wheel Chair</t>
        </is>
      </c>
      <c r="S32" s="66" t="n"/>
      <c r="T32" s="61" t="n"/>
      <c r="U32" s="75" t="inlineStr">
        <is>
          <t>Active</t>
        </is>
      </c>
    </row>
    <row r="33" ht="16.5" customHeight="1" s="237">
      <c r="A33" s="79" t="inlineStr">
        <is>
          <t>Lonnie Glover</t>
        </is>
      </c>
      <c r="B33" s="97" t="inlineStr">
        <is>
          <t>N/A</t>
        </is>
      </c>
      <c r="C33" s="96" t="inlineStr">
        <is>
          <t>2137 Forest St.</t>
        </is>
      </c>
      <c r="D33" s="96" t="inlineStr">
        <is>
          <t>Lansing</t>
        </is>
      </c>
      <c r="E33" s="97" t="inlineStr">
        <is>
          <t>MI</t>
        </is>
      </c>
      <c r="F33" s="97" t="n">
        <v>48910</v>
      </c>
      <c r="G33" s="97" t="n"/>
      <c r="H33" s="96" t="n"/>
      <c r="I33" s="177" t="n"/>
      <c r="J33" s="279" t="n"/>
      <c r="K33" s="97" t="n"/>
      <c r="L33" s="280" t="n"/>
      <c r="M33" s="97" t="n"/>
      <c r="N33" s="97" t="n"/>
      <c r="O33" s="31" t="inlineStr">
        <is>
          <t>On record</t>
        </is>
      </c>
      <c r="P33" s="284" t="n"/>
      <c r="Q33" s="173">
        <f>IF(Table2[[#This Row],[Disability Script]]="","",IF(Table2[[#This Row],[Column1]]&lt;TODAY(),"Expired",""))</f>
        <v/>
      </c>
      <c r="R33" s="61" t="inlineStr">
        <is>
          <t>Non-Wheel Chair</t>
        </is>
      </c>
      <c r="S33" s="66" t="n"/>
      <c r="T33" s="61" t="n"/>
      <c r="U33" s="75" t="inlineStr">
        <is>
          <t>Active</t>
        </is>
      </c>
    </row>
    <row r="34" ht="16.5" customHeight="1" s="237">
      <c r="A34" s="79" t="inlineStr">
        <is>
          <t>Lonnie Manciel</t>
        </is>
      </c>
      <c r="B34" s="97" t="inlineStr">
        <is>
          <t>N/A</t>
        </is>
      </c>
      <c r="C34" s="96" t="inlineStr">
        <is>
          <t>28278 Suburban Dr.</t>
        </is>
      </c>
      <c r="D34" s="96" t="inlineStr">
        <is>
          <t>Warren</t>
        </is>
      </c>
      <c r="E34" s="97" t="inlineStr">
        <is>
          <t>MI</t>
        </is>
      </c>
      <c r="F34" s="97" t="n">
        <v>48088</v>
      </c>
      <c r="G34" s="97" t="n"/>
      <c r="H34" s="96" t="n"/>
      <c r="I34" s="97" t="n"/>
      <c r="J34" s="279" t="n"/>
      <c r="K34" s="97" t="n"/>
      <c r="L34" s="280" t="n"/>
      <c r="M34" s="97" t="n"/>
      <c r="N34" s="97" t="n"/>
      <c r="O34" s="31" t="inlineStr">
        <is>
          <t>On record</t>
        </is>
      </c>
      <c r="P34" s="284" t="n">
        <v>45733</v>
      </c>
      <c r="Q34" s="97">
        <f>IF(Table2[[#This Row],[Disability Script]]="","",IF(Table2[[#This Row],[Column1]]&lt;TODAY(),"Expired",""))</f>
        <v/>
      </c>
      <c r="R34" s="61" t="inlineStr">
        <is>
          <t>Non-Wheel Chair</t>
        </is>
      </c>
      <c r="S34" s="66" t="n"/>
      <c r="T34" s="61" t="n"/>
      <c r="U34" s="75" t="inlineStr">
        <is>
          <t>Active</t>
        </is>
      </c>
    </row>
    <row r="35" ht="16.5" customHeight="1" s="237">
      <c r="A35" s="79" t="inlineStr">
        <is>
          <t>Margaret Hartsfield</t>
        </is>
      </c>
      <c r="B35" s="97" t="inlineStr">
        <is>
          <t>N/A</t>
        </is>
      </c>
      <c r="C35" s="96" t="inlineStr">
        <is>
          <t>15467 Mendota St.</t>
        </is>
      </c>
      <c r="D35" s="96" t="inlineStr">
        <is>
          <t>Detroit</t>
        </is>
      </c>
      <c r="E35" s="97" t="inlineStr">
        <is>
          <t>MI</t>
        </is>
      </c>
      <c r="F35" s="97" t="n">
        <v>48238</v>
      </c>
      <c r="G35" s="97" t="n"/>
      <c r="H35" s="96" t="n"/>
      <c r="I35" s="97" t="n"/>
      <c r="J35" s="279" t="n"/>
      <c r="K35" s="97" t="n"/>
      <c r="L35" s="280" t="n"/>
      <c r="M35" s="97" t="n"/>
      <c r="N35" s="97" t="n"/>
      <c r="O35" s="31" t="inlineStr">
        <is>
          <t>On record</t>
        </is>
      </c>
      <c r="P35" s="284" t="n">
        <v>45734</v>
      </c>
      <c r="Q35" s="97">
        <f>IF(Table2[[#This Row],[Disability Script]]="","",IF(Table2[[#This Row],[Column1]]&lt;TODAY(),"Expired",""))</f>
        <v/>
      </c>
      <c r="R35" s="61" t="inlineStr">
        <is>
          <t>Non-Wheel Chair</t>
        </is>
      </c>
      <c r="S35" s="66" t="n"/>
      <c r="T35" s="61" t="n"/>
      <c r="U35" s="75" t="inlineStr">
        <is>
          <t>Active</t>
        </is>
      </c>
    </row>
    <row r="36" ht="16.5" customHeight="1" s="237">
      <c r="A36" s="79" t="inlineStr">
        <is>
          <t>Martez Davis</t>
        </is>
      </c>
      <c r="B36" s="97" t="inlineStr">
        <is>
          <t>N/A</t>
        </is>
      </c>
      <c r="C36" s="96" t="inlineStr">
        <is>
          <t>18504 Salem St.</t>
        </is>
      </c>
      <c r="D36" s="96" t="inlineStr">
        <is>
          <t>Detroit</t>
        </is>
      </c>
      <c r="E36" s="97" t="inlineStr">
        <is>
          <t>MI</t>
        </is>
      </c>
      <c r="F36" s="97" t="n">
        <v>48219</v>
      </c>
      <c r="G36" s="97" t="n"/>
      <c r="H36" s="96" t="n"/>
      <c r="I36" s="97" t="n"/>
      <c r="J36" s="279" t="n"/>
      <c r="K36" s="97" t="n"/>
      <c r="L36" s="280" t="n"/>
      <c r="M36" s="97" t="n"/>
      <c r="N36" s="97" t="n"/>
      <c r="O36" s="31" t="inlineStr">
        <is>
          <t>On record</t>
        </is>
      </c>
      <c r="P36" s="284" t="n">
        <v>45735</v>
      </c>
      <c r="Q36" s="97">
        <f>IF(Table2[[#This Row],[Disability Script]]="","",IF(Table2[[#This Row],[Column1]]&lt;TODAY(),"Expired",""))</f>
        <v/>
      </c>
      <c r="R36" s="61" t="inlineStr">
        <is>
          <t>Non-Wheel Chair</t>
        </is>
      </c>
      <c r="S36" s="66" t="n"/>
      <c r="T36" s="61" t="n"/>
      <c r="U36" s="75" t="inlineStr">
        <is>
          <t>Active</t>
        </is>
      </c>
    </row>
    <row r="37" ht="16.5" customHeight="1" s="237">
      <c r="A37" s="79" t="inlineStr">
        <is>
          <t xml:space="preserve">Monea Ricumstrict </t>
        </is>
      </c>
      <c r="B37" s="97" t="inlineStr">
        <is>
          <t>N/A</t>
        </is>
      </c>
      <c r="C37" s="96" t="inlineStr">
        <is>
          <t>7630 Auburn St.</t>
        </is>
      </c>
      <c r="D37" s="96" t="inlineStr">
        <is>
          <t>Detroit</t>
        </is>
      </c>
      <c r="E37" s="97" t="inlineStr">
        <is>
          <t>MI</t>
        </is>
      </c>
      <c r="F37" s="97" t="n">
        <v>48224</v>
      </c>
      <c r="G37" s="97" t="n"/>
      <c r="H37" s="96" t="n"/>
      <c r="I37" s="97" t="n"/>
      <c r="J37" s="279" t="n"/>
      <c r="K37" s="97" t="n"/>
      <c r="L37" s="280" t="n"/>
      <c r="M37" s="97" t="n"/>
      <c r="N37" s="97" t="n"/>
      <c r="O37" s="31" t="inlineStr">
        <is>
          <t>On record</t>
        </is>
      </c>
      <c r="P37" s="284" t="n">
        <v>45736</v>
      </c>
      <c r="Q37" s="97">
        <f>IF(Table2[[#This Row],[Disability Script]]="","",IF(Table2[[#This Row],[Column1]]&lt;TODAY(),"Expired",""))</f>
        <v/>
      </c>
      <c r="R37" s="61" t="inlineStr">
        <is>
          <t>Non-Wheel Chair</t>
        </is>
      </c>
      <c r="S37" s="66" t="n"/>
      <c r="T37" s="61" t="n"/>
      <c r="U37" s="75" t="inlineStr">
        <is>
          <t>Active</t>
        </is>
      </c>
    </row>
    <row r="38" ht="16.5" customHeight="1" s="237">
      <c r="A38" s="79" t="inlineStr">
        <is>
          <t>Niko Brown</t>
        </is>
      </c>
      <c r="B38" s="97" t="inlineStr">
        <is>
          <t>N/A</t>
        </is>
      </c>
      <c r="C38" s="96" t="inlineStr">
        <is>
          <t>26406 West Hills Dr.</t>
        </is>
      </c>
      <c r="D38" s="96" t="inlineStr">
        <is>
          <t>Inkster</t>
        </is>
      </c>
      <c r="E38" s="97" t="inlineStr">
        <is>
          <t>MI</t>
        </is>
      </c>
      <c r="F38" s="97" t="n">
        <v>48141</v>
      </c>
      <c r="G38" s="97" t="n"/>
      <c r="H38" s="96" t="n"/>
      <c r="I38" s="97" t="n"/>
      <c r="J38" s="279" t="n"/>
      <c r="K38" s="97" t="n"/>
      <c r="L38" s="280" t="n"/>
      <c r="M38" s="97" t="n"/>
      <c r="N38" s="97" t="n"/>
      <c r="O38" s="31" t="inlineStr">
        <is>
          <t>On record</t>
        </is>
      </c>
      <c r="P38" s="281" t="n">
        <v>45739</v>
      </c>
      <c r="Q38" s="97">
        <f>IF(Table2[[#This Row],[Disability Script]]="","",IF(Table2[[#This Row],[Column1]]&lt;TODAY(),"Expired",""))</f>
        <v/>
      </c>
      <c r="R38" s="61" t="inlineStr">
        <is>
          <t>Non-Wheel Chair</t>
        </is>
      </c>
      <c r="S38" s="66" t="n"/>
      <c r="T38" s="61" t="n"/>
      <c r="U38" s="75" t="inlineStr">
        <is>
          <t>Active</t>
        </is>
      </c>
    </row>
    <row r="39" ht="16.5" customHeight="1" s="237">
      <c r="A39" s="79" t="inlineStr">
        <is>
          <t xml:space="preserve">Nolon Carbone </t>
        </is>
      </c>
      <c r="B39" s="97" t="inlineStr">
        <is>
          <t>N/A</t>
        </is>
      </c>
      <c r="C39" s="96" t="inlineStr">
        <is>
          <t>43811 Coachmaker Dr.</t>
        </is>
      </c>
      <c r="D39" s="96" t="inlineStr">
        <is>
          <t>Sterling Hts.</t>
        </is>
      </c>
      <c r="E39" s="97" t="inlineStr">
        <is>
          <t>MI</t>
        </is>
      </c>
      <c r="F39" s="97" t="n">
        <v>48313</v>
      </c>
      <c r="G39" s="97" t="n"/>
      <c r="H39" s="96" t="n"/>
      <c r="I39" s="97" t="n"/>
      <c r="J39" s="279" t="n"/>
      <c r="K39" s="97" t="n"/>
      <c r="L39" s="280" t="n"/>
      <c r="M39" s="97" t="n"/>
      <c r="N39" s="97" t="n"/>
      <c r="O39" s="31" t="inlineStr">
        <is>
          <t>On record</t>
        </is>
      </c>
      <c r="P39" s="281" t="n">
        <v>45769</v>
      </c>
      <c r="Q39" s="97">
        <f>IF(Table2[[#This Row],[Disability Script]]="","",IF(Table2[[#This Row],[Column1]]&lt;TODAY(),"Expired",""))</f>
        <v/>
      </c>
      <c r="R39" s="61" t="inlineStr">
        <is>
          <t>Non-Wheel Chair</t>
        </is>
      </c>
      <c r="S39" s="66" t="n"/>
      <c r="T39" s="61" t="n"/>
      <c r="U39" s="75" t="inlineStr">
        <is>
          <t>Active</t>
        </is>
      </c>
    </row>
    <row r="40" ht="16.5" customHeight="1" s="237">
      <c r="A40" s="79" t="inlineStr">
        <is>
          <t>Randall Johnson</t>
        </is>
      </c>
      <c r="B40" s="97" t="inlineStr">
        <is>
          <t>N/A</t>
        </is>
      </c>
      <c r="C40" s="96" t="inlineStr">
        <is>
          <t>600 Alger St.</t>
        </is>
      </c>
      <c r="D40" s="96" t="inlineStr">
        <is>
          <t>Detroit</t>
        </is>
      </c>
      <c r="E40" s="97" t="inlineStr">
        <is>
          <t>MI</t>
        </is>
      </c>
      <c r="F40" s="97" t="n">
        <v>48202</v>
      </c>
      <c r="G40" s="97" t="n"/>
      <c r="H40" s="96" t="n"/>
      <c r="I40" s="97" t="n"/>
      <c r="J40" s="279" t="n"/>
      <c r="K40" s="97" t="n"/>
      <c r="L40" s="280" t="n"/>
      <c r="M40" s="97" t="n"/>
      <c r="N40" s="97" t="n"/>
      <c r="O40" s="31" t="inlineStr">
        <is>
          <t>On record</t>
        </is>
      </c>
      <c r="P40" s="284" t="n">
        <v>45754</v>
      </c>
      <c r="Q40" s="173">
        <f>IF(Table2[[#This Row],[Disability Script]]="","",IF(Table2[[#This Row],[Column1]]&lt;TODAY(),"Expired",""))</f>
        <v/>
      </c>
      <c r="R40" s="61" t="inlineStr">
        <is>
          <t>Non-Wheel Chair</t>
        </is>
      </c>
      <c r="S40" s="66" t="n"/>
      <c r="T40" s="61" t="n"/>
      <c r="U40" s="75" t="inlineStr">
        <is>
          <t>Active</t>
        </is>
      </c>
    </row>
    <row r="41" ht="16.5" customHeight="1" s="237">
      <c r="A41" s="79" t="inlineStr">
        <is>
          <t>Rubeath Osman</t>
        </is>
      </c>
      <c r="B41" s="97" t="inlineStr">
        <is>
          <t>N/A</t>
        </is>
      </c>
      <c r="C41" s="96" t="inlineStr">
        <is>
          <t>27329 Alden St.</t>
        </is>
      </c>
      <c r="D41" s="96" t="inlineStr">
        <is>
          <t>Madison Hts.</t>
        </is>
      </c>
      <c r="E41" s="97" t="inlineStr">
        <is>
          <t>MI</t>
        </is>
      </c>
      <c r="F41" s="97" t="n">
        <v>48071</v>
      </c>
      <c r="G41" s="97" t="n"/>
      <c r="H41" s="96" t="n"/>
      <c r="I41" s="97" t="n"/>
      <c r="J41" s="279" t="n"/>
      <c r="K41" s="97" t="n"/>
      <c r="L41" s="280" t="n"/>
      <c r="M41" s="97" t="n"/>
      <c r="N41" s="97" t="n"/>
      <c r="O41" s="31" t="inlineStr">
        <is>
          <t>On record</t>
        </is>
      </c>
      <c r="P41" s="284" t="n">
        <v>45733</v>
      </c>
      <c r="Q41" s="97">
        <f>IF(Table2[[#This Row],[Disability Script]]="","",IF(Table2[[#This Row],[Column1]]&lt;TODAY(),"Expired",""))</f>
        <v/>
      </c>
      <c r="R41" s="61" t="inlineStr">
        <is>
          <t>Non-Wheel Chair</t>
        </is>
      </c>
      <c r="S41" s="66" t="n"/>
      <c r="T41" s="61" t="n"/>
      <c r="U41" s="75" t="inlineStr">
        <is>
          <t>Active</t>
        </is>
      </c>
    </row>
    <row r="42" ht="16.5" customHeight="1" s="237">
      <c r="A42" s="79" t="inlineStr">
        <is>
          <t>Sa'Nya Miller</t>
        </is>
      </c>
      <c r="B42" s="97" t="inlineStr">
        <is>
          <t>N/A</t>
        </is>
      </c>
      <c r="C42" s="96" t="inlineStr">
        <is>
          <t>21751 Bournemouth St</t>
        </is>
      </c>
      <c r="D42" s="96" t="inlineStr">
        <is>
          <t>Harper Woods</t>
        </is>
      </c>
      <c r="E42" s="97" t="inlineStr">
        <is>
          <t>MI</t>
        </is>
      </c>
      <c r="F42" s="97" t="n">
        <v>48225</v>
      </c>
      <c r="G42" s="97" t="n"/>
      <c r="H42" s="96" t="n"/>
      <c r="I42" s="97" t="n"/>
      <c r="J42" s="279" t="n"/>
      <c r="K42" s="97" t="n"/>
      <c r="L42" s="280" t="n"/>
      <c r="M42" s="97" t="n"/>
      <c r="N42" s="97" t="n"/>
      <c r="O42" s="31" t="inlineStr">
        <is>
          <t>On record</t>
        </is>
      </c>
      <c r="P42" s="284" t="n">
        <v>45777</v>
      </c>
      <c r="Q42" s="168">
        <f>IF(Table2[[#This Row],[Disability Script]]="","",IF(Table2[[#This Row],[Column1]]&lt;TODAY(),"Expired",""))</f>
        <v/>
      </c>
      <c r="R42" s="61" t="inlineStr">
        <is>
          <t>Non-Wheel Chair</t>
        </is>
      </c>
      <c r="S42" s="66" t="n"/>
      <c r="T42" s="61" t="n"/>
      <c r="U42" s="75" t="inlineStr">
        <is>
          <t>Active</t>
        </is>
      </c>
    </row>
    <row r="43" ht="16.5" customHeight="1" s="237">
      <c r="A43" s="79" t="inlineStr">
        <is>
          <t>Thomas Weems</t>
        </is>
      </c>
      <c r="B43" s="97" t="inlineStr">
        <is>
          <t>N/A</t>
        </is>
      </c>
      <c r="C43" s="96" t="inlineStr">
        <is>
          <t>3520 Moore Pl</t>
        </is>
      </c>
      <c r="D43" s="96" t="inlineStr">
        <is>
          <t>Detroit</t>
        </is>
      </c>
      <c r="E43" s="97" t="inlineStr">
        <is>
          <t>MI</t>
        </is>
      </c>
      <c r="F43" s="97" t="n">
        <v>48202</v>
      </c>
      <c r="G43" s="97" t="n"/>
      <c r="H43" s="96" t="n"/>
      <c r="I43" s="97" t="n"/>
      <c r="J43" s="279" t="n"/>
      <c r="K43" s="97" t="n"/>
      <c r="L43" s="280" t="n"/>
      <c r="M43" s="97" t="n"/>
      <c r="N43" s="97" t="n"/>
      <c r="O43" s="31" t="inlineStr">
        <is>
          <t>On record</t>
        </is>
      </c>
      <c r="P43" s="284" t="n">
        <v>45777</v>
      </c>
      <c r="Q43" s="168">
        <f>IF(Table2[[#This Row],[Disability Script]]="","",IF(Table2[[#This Row],[Column1]]&lt;TODAY(),"Expired",""))</f>
        <v/>
      </c>
      <c r="R43" s="61" t="inlineStr">
        <is>
          <t>Non-Wheel Chair</t>
        </is>
      </c>
      <c r="S43" s="66" t="n"/>
      <c r="T43" s="61" t="n"/>
      <c r="U43" s="75" t="inlineStr">
        <is>
          <t>Active</t>
        </is>
      </c>
    </row>
    <row r="44" ht="16.5" customHeight="1" s="237">
      <c r="A44" s="178" t="inlineStr">
        <is>
          <t>Timothy Daniell</t>
        </is>
      </c>
      <c r="B44" s="168" t="inlineStr">
        <is>
          <t>N/A</t>
        </is>
      </c>
      <c r="C44" s="102" t="inlineStr">
        <is>
          <t>14841 Littlefield St.</t>
        </is>
      </c>
      <c r="D44" s="102" t="inlineStr">
        <is>
          <t>Detroit</t>
        </is>
      </c>
      <c r="E44" s="168" t="inlineStr">
        <is>
          <t>MI</t>
        </is>
      </c>
      <c r="F44" s="168" t="n">
        <v>48227</v>
      </c>
      <c r="G44" s="168" t="n"/>
      <c r="H44" s="102" t="n"/>
      <c r="I44" s="197" t="n"/>
      <c r="J44" s="285" t="n"/>
      <c r="K44" s="168" t="n"/>
      <c r="L44" s="286" t="n"/>
      <c r="M44" s="168" t="n"/>
      <c r="N44" s="168" t="n"/>
      <c r="O44" s="31" t="inlineStr">
        <is>
          <t>On record</t>
        </is>
      </c>
      <c r="P44" s="281" t="n">
        <v>45716</v>
      </c>
      <c r="Q44" s="168">
        <f>IF(Table2[[#This Row],[Disability Script]]="","",IF(Table2[[#This Row],[Column1]]&lt;TODAY(),"Expired",""))</f>
        <v/>
      </c>
      <c r="R44" s="61" t="inlineStr">
        <is>
          <t>Non-Wheel Chair</t>
        </is>
      </c>
      <c r="S44" s="66" t="n"/>
      <c r="T44" s="61" t="n"/>
      <c r="U44" s="75" t="inlineStr">
        <is>
          <t>Active</t>
        </is>
      </c>
    </row>
    <row r="45" ht="16.5" customHeight="1" s="237">
      <c r="A45" s="178" t="inlineStr">
        <is>
          <t>Tony Knight III</t>
        </is>
      </c>
      <c r="B45" s="168" t="inlineStr">
        <is>
          <t>N/A</t>
        </is>
      </c>
      <c r="C45" s="102" t="inlineStr">
        <is>
          <t>20760 Camden Square Apt 109</t>
        </is>
      </c>
      <c r="D45" s="102" t="inlineStr">
        <is>
          <t>Southfield</t>
        </is>
      </c>
      <c r="E45" s="168" t="inlineStr">
        <is>
          <t>MI</t>
        </is>
      </c>
      <c r="F45" s="168" t="n">
        <v>48076</v>
      </c>
      <c r="G45" s="97" t="n"/>
      <c r="H45" s="96" t="n"/>
      <c r="I45" s="97" t="n"/>
      <c r="J45" s="279" t="n"/>
      <c r="K45" s="97" t="n"/>
      <c r="L45" s="280" t="n"/>
      <c r="M45" s="97" t="n"/>
      <c r="N45" s="97" t="n"/>
      <c r="O45" s="31" t="inlineStr">
        <is>
          <t>On record</t>
        </is>
      </c>
      <c r="P45" s="281" t="n">
        <v>45727</v>
      </c>
      <c r="Q45" s="97">
        <f>IF(Table2[[#This Row],[Disability Script]]="","",IF(Table2[[#This Row],[Column1]]&lt;TODAY(),"Expired",""))</f>
        <v/>
      </c>
      <c r="R45" s="61" t="inlineStr">
        <is>
          <t>Non-Wheel Chair</t>
        </is>
      </c>
      <c r="S45" s="66" t="n"/>
      <c r="T45" s="61" t="n"/>
      <c r="U45" s="75" t="inlineStr">
        <is>
          <t>Active</t>
        </is>
      </c>
    </row>
    <row r="46" ht="16.5" customHeight="1" s="237">
      <c r="A46" s="178" t="inlineStr">
        <is>
          <t>Wendell Valentine</t>
        </is>
      </c>
      <c r="B46" s="168" t="inlineStr">
        <is>
          <t>N/A</t>
        </is>
      </c>
      <c r="C46" s="102" t="inlineStr">
        <is>
          <t>24211 Blackmar Ave</t>
        </is>
      </c>
      <c r="D46" s="102" t="inlineStr">
        <is>
          <t>Warren</t>
        </is>
      </c>
      <c r="E46" s="168" t="inlineStr">
        <is>
          <t>MI</t>
        </is>
      </c>
      <c r="F46" s="168" t="n">
        <v>48901</v>
      </c>
      <c r="G46" s="97" t="n"/>
      <c r="H46" s="96" t="n"/>
      <c r="I46" s="97" t="n"/>
      <c r="J46" s="279" t="n"/>
      <c r="K46" s="97" t="n"/>
      <c r="L46" s="280" t="n"/>
      <c r="M46" s="97" t="n"/>
      <c r="N46" s="97" t="n"/>
      <c r="O46" s="31" t="inlineStr">
        <is>
          <t>On record</t>
        </is>
      </c>
      <c r="P46" s="281" t="n">
        <v>45733</v>
      </c>
      <c r="Q46" s="97">
        <f>IF(Table2[[#This Row],[Disability Script]]="","",IF(Table2[[#This Row],[Column1]]&lt;TODAY(),"Expired",""))</f>
        <v/>
      </c>
      <c r="R46" s="61" t="inlineStr">
        <is>
          <t>Non-Wheel Chair</t>
        </is>
      </c>
      <c r="S46" s="66" t="n"/>
      <c r="T46" s="61" t="n"/>
      <c r="U46" s="75" t="inlineStr">
        <is>
          <t>Active</t>
        </is>
      </c>
    </row>
    <row r="47" ht="16.5" customHeight="1" s="237">
      <c r="A47" s="178" t="inlineStr">
        <is>
          <t>Zainab Alsaid</t>
        </is>
      </c>
      <c r="B47" s="168" t="inlineStr">
        <is>
          <t>N/A</t>
        </is>
      </c>
      <c r="C47" s="102" t="inlineStr">
        <is>
          <t>900 Lincoln Ln Apt 803</t>
        </is>
      </c>
      <c r="D47" s="102" t="inlineStr">
        <is>
          <t>Dearborn</t>
        </is>
      </c>
      <c r="E47" s="168" t="inlineStr">
        <is>
          <t>MI</t>
        </is>
      </c>
      <c r="F47" s="168" t="n">
        <v>48126</v>
      </c>
      <c r="G47" s="168" t="n"/>
      <c r="H47" s="102" t="n"/>
      <c r="I47" s="168" t="n"/>
      <c r="J47" s="279" t="n"/>
      <c r="K47" s="168" t="n"/>
      <c r="L47" s="286" t="n"/>
      <c r="M47" s="168" t="n"/>
      <c r="N47" s="168" t="n"/>
      <c r="O47" s="31" t="inlineStr">
        <is>
          <t>On record</t>
        </is>
      </c>
      <c r="P47" s="284" t="n">
        <v>45785</v>
      </c>
      <c r="Q47" s="168">
        <f>IF(Table2[[#This Row],[Disability Script]]="","",IF(Table2[[#This Row],[Column1]]&lt;TODAY(),"Expired",""))</f>
        <v/>
      </c>
      <c r="R47" s="61" t="inlineStr">
        <is>
          <t>Non-Wheel Chair</t>
        </is>
      </c>
      <c r="S47" s="66" t="n"/>
      <c r="T47" s="61" t="n"/>
      <c r="U47" s="75" t="inlineStr">
        <is>
          <t>Active</t>
        </is>
      </c>
    </row>
    <row r="48" ht="16.5" customHeight="1" s="237">
      <c r="A48" s="178" t="inlineStr">
        <is>
          <t>Zeinab Daoud</t>
        </is>
      </c>
      <c r="B48" s="168" t="inlineStr">
        <is>
          <t>N/A</t>
        </is>
      </c>
      <c r="C48" s="102" t="inlineStr">
        <is>
          <t>5121 Jonathon St.</t>
        </is>
      </c>
      <c r="D48" s="102" t="inlineStr">
        <is>
          <t>Dearborn</t>
        </is>
      </c>
      <c r="E48" s="168" t="inlineStr">
        <is>
          <t>MI</t>
        </is>
      </c>
      <c r="F48" s="168" t="n">
        <v>48126</v>
      </c>
      <c r="G48" s="168" t="n"/>
      <c r="H48" s="102" t="n"/>
      <c r="I48" s="168" t="n"/>
      <c r="J48" s="285" t="n"/>
      <c r="K48" s="168" t="n"/>
      <c r="L48" s="286" t="n"/>
      <c r="M48" s="168" t="n"/>
      <c r="N48" s="168" t="n"/>
      <c r="O48" s="31" t="inlineStr">
        <is>
          <t>On record</t>
        </is>
      </c>
      <c r="P48" s="284" t="n">
        <v>45777</v>
      </c>
      <c r="Q48" s="168">
        <f>IF(Table2[[#This Row],[Disability Script]]="","",IF(Table2[[#This Row],[Column1]]&lt;TODAY(),"Expired",""))</f>
        <v/>
      </c>
      <c r="R48" s="61" t="inlineStr">
        <is>
          <t>Non-Wheel Chair</t>
        </is>
      </c>
      <c r="S48" s="66" t="n"/>
      <c r="T48" s="61" t="n"/>
      <c r="U48" s="75" t="inlineStr">
        <is>
          <t>Active</t>
        </is>
      </c>
    </row>
    <row r="49" ht="16.5" customHeight="1" s="237">
      <c r="A49" s="12" t="n"/>
      <c r="B49" s="287" t="n"/>
      <c r="C49" s="12" t="n"/>
      <c r="D49" s="12" t="n"/>
      <c r="E49" s="236" t="n"/>
      <c r="F49" s="236" t="n"/>
      <c r="G49" s="288" t="n"/>
      <c r="H49" s="12" t="n"/>
      <c r="I49" s="236" t="n"/>
      <c r="J49" s="287" t="n"/>
      <c r="K49" s="236" t="n"/>
      <c r="L49" s="157" t="n"/>
      <c r="M49" s="236" t="n"/>
      <c r="N49" s="236" t="n"/>
      <c r="O49" s="236" t="n"/>
      <c r="P49" s="287" t="n"/>
      <c r="Q49" s="236" t="n"/>
      <c r="R49" s="236" t="n"/>
      <c r="S49" s="20" t="n"/>
      <c r="T49" s="20" t="n"/>
      <c r="U49" s="20" t="n"/>
    </row>
    <row r="50" ht="16.5" customHeight="1" s="237">
      <c r="A50" s="12" t="n"/>
      <c r="B50" s="287" t="n"/>
      <c r="C50" s="12" t="n"/>
      <c r="D50" s="12" t="n"/>
      <c r="E50" s="236" t="n"/>
      <c r="F50" s="236" t="n"/>
      <c r="G50" s="288" t="n"/>
      <c r="H50" s="12" t="n"/>
      <c r="I50" s="236" t="n"/>
      <c r="J50" s="287" t="n"/>
      <c r="K50" s="236" t="n"/>
      <c r="L50" s="157" t="n"/>
      <c r="M50" s="236" t="n"/>
      <c r="N50" s="236" t="n"/>
      <c r="O50" s="236" t="n"/>
      <c r="P50" s="287" t="n"/>
      <c r="Q50" s="236" t="n"/>
      <c r="R50" s="236" t="n"/>
      <c r="S50" s="20" t="n"/>
      <c r="T50" s="20" t="n"/>
      <c r="U50" s="20" t="n"/>
    </row>
    <row r="51" ht="16.5" customHeight="1" s="237">
      <c r="A51" s="12" t="n"/>
      <c r="B51" s="287" t="n"/>
      <c r="C51" s="12" t="n"/>
      <c r="D51" s="12" t="n"/>
      <c r="E51" s="236" t="n"/>
      <c r="F51" s="236" t="n"/>
      <c r="G51" s="288" t="n"/>
      <c r="H51" s="12" t="n"/>
      <c r="I51" s="236" t="n"/>
      <c r="J51" s="287" t="n"/>
      <c r="K51" s="236" t="n"/>
      <c r="L51" s="157" t="n"/>
      <c r="M51" s="236" t="n"/>
      <c r="N51" s="236" t="n"/>
      <c r="O51" s="236" t="n"/>
      <c r="P51" s="287" t="n"/>
      <c r="Q51" s="236" t="n"/>
      <c r="R51" s="236" t="n"/>
      <c r="S51" s="20" t="n"/>
      <c r="T51" s="20" t="n"/>
      <c r="U51" s="20" t="n"/>
    </row>
    <row r="52" ht="16.5" customHeight="1" s="237">
      <c r="A52" s="12" t="n"/>
      <c r="B52" s="287" t="n"/>
      <c r="C52" s="12" t="n"/>
      <c r="D52" s="12" t="n"/>
      <c r="E52" s="236" t="n"/>
      <c r="F52" s="236" t="n"/>
      <c r="G52" s="288" t="n"/>
      <c r="H52" s="12" t="n"/>
      <c r="I52" s="236" t="n"/>
      <c r="J52" s="287" t="n"/>
      <c r="K52" s="236" t="n"/>
      <c r="L52" s="157" t="n"/>
      <c r="M52" s="236" t="n"/>
      <c r="N52" s="236" t="n"/>
      <c r="O52" s="236" t="n"/>
      <c r="P52" s="287" t="n"/>
      <c r="Q52" s="236" t="n"/>
      <c r="R52" s="236" t="n"/>
      <c r="S52" s="20" t="n"/>
      <c r="T52" s="20" t="n"/>
      <c r="U52" s="20" t="n"/>
    </row>
    <row r="53" ht="16.5" customHeight="1" s="237">
      <c r="A53" s="12" t="n"/>
      <c r="B53" s="287" t="n"/>
      <c r="C53" s="12" t="n"/>
      <c r="D53" s="12" t="n"/>
      <c r="E53" s="236" t="n"/>
      <c r="F53" s="236" t="n"/>
      <c r="G53" s="288" t="n"/>
      <c r="H53" s="12" t="n"/>
      <c r="I53" s="236" t="n"/>
      <c r="J53" s="287" t="n"/>
      <c r="K53" s="236" t="n"/>
      <c r="L53" s="157" t="n"/>
      <c r="M53" s="236" t="n"/>
      <c r="N53" s="236" t="n"/>
      <c r="O53" s="236" t="n"/>
      <c r="P53" s="287" t="n"/>
      <c r="Q53" s="236" t="n"/>
      <c r="R53" s="236" t="n"/>
      <c r="S53" s="20" t="n"/>
      <c r="T53" s="20" t="n"/>
      <c r="U53" s="20" t="n"/>
    </row>
    <row r="54" ht="16.5" customHeight="1" s="237">
      <c r="A54" s="12" t="n"/>
      <c r="B54" s="287" t="n"/>
      <c r="C54" s="12" t="n"/>
      <c r="D54" s="12" t="n"/>
      <c r="E54" s="236" t="n"/>
      <c r="F54" s="236" t="n"/>
      <c r="G54" s="288" t="n"/>
      <c r="H54" s="12" t="n"/>
      <c r="I54" s="236" t="n"/>
      <c r="J54" s="287" t="n"/>
      <c r="K54" s="236" t="n"/>
      <c r="L54" s="157" t="n"/>
      <c r="M54" s="236" t="n"/>
      <c r="N54" s="236" t="n"/>
      <c r="O54" s="236" t="n"/>
      <c r="P54" s="287" t="n"/>
      <c r="Q54" s="236" t="n"/>
      <c r="R54" s="236" t="n"/>
      <c r="S54" s="20" t="n"/>
      <c r="T54" s="20" t="n"/>
      <c r="U54" s="20" t="n"/>
    </row>
    <row r="55" ht="16.5" customHeight="1" s="237">
      <c r="A55" s="12" t="n"/>
      <c r="B55" s="287" t="n"/>
      <c r="C55" s="12" t="n"/>
      <c r="D55" s="12" t="n"/>
      <c r="E55" s="236" t="n"/>
      <c r="F55" s="236" t="n"/>
      <c r="G55" s="288" t="n"/>
      <c r="H55" s="12" t="n"/>
      <c r="I55" s="236" t="n"/>
      <c r="J55" s="287" t="n"/>
      <c r="K55" s="236" t="n"/>
      <c r="L55" s="157" t="n"/>
      <c r="M55" s="236" t="n"/>
      <c r="N55" s="236" t="n"/>
      <c r="O55" s="236" t="n"/>
      <c r="P55" s="287" t="n"/>
      <c r="Q55" s="236" t="n"/>
      <c r="R55" s="236" t="n"/>
      <c r="S55" s="20" t="n"/>
      <c r="T55" s="20" t="n"/>
      <c r="U55" s="20" t="n"/>
    </row>
    <row r="56" ht="16.5" customHeight="1" s="237">
      <c r="A56" s="12" t="n"/>
      <c r="B56" s="287" t="n"/>
      <c r="C56" s="12" t="n"/>
      <c r="D56" s="12" t="n"/>
      <c r="E56" s="236" t="n"/>
      <c r="F56" s="236" t="n"/>
      <c r="G56" s="288" t="n"/>
      <c r="H56" s="12" t="n"/>
      <c r="I56" s="236" t="n"/>
      <c r="J56" s="287" t="n"/>
      <c r="K56" s="236" t="n"/>
      <c r="L56" s="157" t="n"/>
      <c r="M56" s="236" t="n"/>
      <c r="N56" s="236" t="n"/>
      <c r="O56" s="236" t="n"/>
      <c r="P56" s="287" t="n"/>
      <c r="Q56" s="236" t="n"/>
      <c r="R56" s="236" t="n"/>
      <c r="S56" s="20" t="n"/>
      <c r="T56" s="20" t="n"/>
      <c r="U56" s="20" t="n"/>
    </row>
    <row r="57" ht="16.5" customHeight="1" s="237">
      <c r="A57" s="12" t="n"/>
      <c r="B57" s="287" t="n"/>
      <c r="C57" s="12" t="n"/>
      <c r="D57" s="12" t="n"/>
      <c r="E57" s="236" t="n"/>
      <c r="F57" s="236" t="n"/>
      <c r="G57" s="288" t="n"/>
      <c r="H57" s="12" t="n"/>
      <c r="I57" s="236" t="n"/>
      <c r="J57" s="287" t="n"/>
      <c r="K57" s="236" t="n"/>
      <c r="L57" s="157" t="n"/>
      <c r="M57" s="236" t="n"/>
      <c r="N57" s="236" t="n"/>
      <c r="O57" s="236" t="n"/>
      <c r="P57" s="287" t="n"/>
      <c r="Q57" s="236" t="n"/>
      <c r="R57" s="236" t="n"/>
      <c r="S57" s="20" t="n"/>
      <c r="T57" s="20" t="n"/>
      <c r="U57" s="20" t="n"/>
    </row>
    <row r="58" ht="16.5" customHeight="1" s="237">
      <c r="A58" s="12" t="n"/>
      <c r="B58" s="287" t="n"/>
      <c r="C58" s="12" t="n"/>
      <c r="D58" s="12" t="n"/>
      <c r="E58" s="236" t="n"/>
      <c r="F58" s="236" t="n"/>
      <c r="G58" s="288" t="n"/>
      <c r="H58" s="12" t="n"/>
      <c r="I58" s="236" t="n"/>
      <c r="J58" s="287" t="n"/>
      <c r="K58" s="236" t="n"/>
      <c r="L58" s="157" t="n"/>
      <c r="M58" s="236" t="n"/>
      <c r="N58" s="236" t="n"/>
      <c r="O58" s="236" t="n"/>
      <c r="P58" s="287" t="n"/>
      <c r="Q58" s="236" t="n"/>
      <c r="R58" s="236" t="n"/>
      <c r="S58" s="20" t="n"/>
      <c r="T58" s="20" t="n"/>
      <c r="U58" s="20" t="n"/>
    </row>
    <row r="59" ht="16.5" customHeight="1" s="237">
      <c r="A59" s="12" t="n"/>
      <c r="B59" s="287" t="n"/>
      <c r="C59" s="12" t="n"/>
      <c r="D59" s="12" t="n"/>
      <c r="E59" s="236" t="n"/>
      <c r="F59" s="236" t="n"/>
      <c r="G59" s="288" t="n"/>
      <c r="H59" s="12" t="n"/>
      <c r="I59" s="236" t="n"/>
      <c r="J59" s="287" t="n"/>
      <c r="K59" s="236" t="n"/>
      <c r="L59" s="157" t="n"/>
      <c r="M59" s="236" t="n"/>
      <c r="N59" s="236" t="n"/>
      <c r="O59" s="236" t="n"/>
      <c r="P59" s="287" t="n"/>
      <c r="Q59" s="236" t="n"/>
      <c r="R59" s="236" t="n"/>
      <c r="S59" s="20" t="n"/>
      <c r="T59" s="20" t="n"/>
      <c r="U59" s="20" t="n"/>
    </row>
    <row r="60" ht="16.5" customHeight="1" s="237">
      <c r="A60" s="12" t="n"/>
      <c r="B60" s="287" t="n"/>
      <c r="C60" s="12" t="n"/>
      <c r="D60" s="12" t="n"/>
      <c r="E60" s="236" t="n"/>
      <c r="F60" s="236" t="n"/>
      <c r="G60" s="288" t="n"/>
      <c r="H60" s="12" t="n"/>
      <c r="I60" s="236" t="n"/>
      <c r="J60" s="287" t="n"/>
      <c r="K60" s="236" t="n"/>
      <c r="L60" s="157" t="n"/>
      <c r="M60" s="236" t="n"/>
      <c r="N60" s="236" t="n"/>
      <c r="O60" s="236" t="n"/>
      <c r="P60" s="287" t="n"/>
      <c r="Q60" s="236" t="n"/>
      <c r="R60" s="236" t="n"/>
      <c r="S60" s="20" t="n"/>
      <c r="T60" s="20" t="n"/>
      <c r="U60" s="20" t="n"/>
    </row>
    <row r="61" ht="16.5" customHeight="1" s="237">
      <c r="A61" s="12" t="n"/>
      <c r="B61" s="287" t="n"/>
      <c r="C61" s="12" t="n"/>
      <c r="D61" s="12" t="n"/>
      <c r="E61" s="236" t="n"/>
      <c r="F61" s="236" t="n"/>
      <c r="G61" s="288" t="n"/>
      <c r="H61" s="12" t="n"/>
      <c r="I61" s="236" t="n"/>
      <c r="J61" s="287" t="n"/>
      <c r="K61" s="236" t="n"/>
      <c r="L61" s="157" t="n"/>
      <c r="M61" s="236" t="n"/>
      <c r="N61" s="236" t="n"/>
      <c r="O61" s="236" t="n"/>
      <c r="P61" s="287" t="n"/>
      <c r="Q61" s="236" t="n"/>
      <c r="R61" s="236" t="n"/>
      <c r="S61" s="20" t="n"/>
      <c r="T61" s="20" t="n"/>
      <c r="U61" s="20" t="n"/>
    </row>
    <row r="62" ht="16.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157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6.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157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6.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157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6.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157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6.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157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6.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157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6.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157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6.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157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6.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157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6.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157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6.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157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6.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157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6.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157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6.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157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6.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157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6.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157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6.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157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6.5" customHeight="1" s="237">
      <c r="A79" s="12" t="n"/>
      <c r="B79" s="287" t="n"/>
      <c r="C79" s="12" t="n"/>
      <c r="D79" s="12" t="n"/>
      <c r="E79" s="236" t="n"/>
      <c r="F79" s="236" t="n"/>
      <c r="G79" s="288" t="n"/>
      <c r="H79" s="12" t="n"/>
      <c r="I79" s="236" t="n"/>
      <c r="J79" s="287" t="n"/>
      <c r="K79" s="236" t="n"/>
      <c r="L79" s="157" t="n"/>
      <c r="M79" s="236" t="n"/>
      <c r="N79" s="236" t="n"/>
      <c r="O79" s="236" t="n"/>
      <c r="P79" s="287" t="n"/>
      <c r="Q79" s="236" t="n"/>
      <c r="R79" s="236" t="n"/>
      <c r="S79" s="20" t="n"/>
      <c r="T79" s="20" t="n"/>
      <c r="U79" s="20" t="n"/>
    </row>
    <row r="80" ht="16.5" customHeight="1" s="237">
      <c r="A80" s="12" t="n"/>
      <c r="B80" s="287" t="n"/>
      <c r="C80" s="12" t="n"/>
      <c r="D80" s="12" t="n"/>
      <c r="E80" s="236" t="n"/>
      <c r="F80" s="236" t="n"/>
      <c r="G80" s="288" t="n"/>
      <c r="H80" s="12" t="n"/>
      <c r="I80" s="236" t="n"/>
      <c r="J80" s="287" t="n"/>
      <c r="K80" s="236" t="n"/>
      <c r="L80" s="157" t="n"/>
      <c r="M80" s="236" t="n"/>
      <c r="N80" s="236" t="n"/>
      <c r="O80" s="236" t="n"/>
      <c r="P80" s="287" t="n"/>
      <c r="Q80" s="236" t="n"/>
      <c r="R80" s="236" t="n"/>
      <c r="S80" s="20" t="n"/>
      <c r="T80" s="20" t="n"/>
      <c r="U80" s="20" t="n"/>
    </row>
    <row r="81" ht="16.5" customHeight="1" s="237">
      <c r="A81" s="12" t="n"/>
      <c r="B81" s="287" t="n"/>
      <c r="C81" s="12" t="n"/>
      <c r="D81" s="12" t="n"/>
      <c r="E81" s="236" t="n"/>
      <c r="F81" s="236" t="n"/>
      <c r="G81" s="288" t="n"/>
      <c r="H81" s="12" t="n"/>
      <c r="I81" s="236" t="n"/>
      <c r="J81" s="287" t="n"/>
      <c r="K81" s="236" t="n"/>
      <c r="L81" s="157" t="n"/>
      <c r="M81" s="236" t="n"/>
      <c r="N81" s="236" t="n"/>
      <c r="O81" s="236" t="n"/>
      <c r="P81" s="287" t="n"/>
      <c r="Q81" s="236" t="n"/>
      <c r="R81" s="236" t="n"/>
      <c r="S81" s="20" t="n"/>
      <c r="T81" s="20" t="n"/>
      <c r="U81" s="20" t="n"/>
    </row>
    <row r="82" ht="16.5" customHeight="1" s="237">
      <c r="A82" s="12" t="n"/>
      <c r="B82" s="287" t="n"/>
      <c r="C82" s="12" t="n"/>
      <c r="D82" s="12" t="n"/>
      <c r="E82" s="236" t="n"/>
      <c r="F82" s="236" t="n"/>
      <c r="G82" s="288" t="n"/>
      <c r="H82" s="12" t="n"/>
      <c r="I82" s="236" t="n"/>
      <c r="J82" s="287" t="n"/>
      <c r="K82" s="236" t="n"/>
      <c r="L82" s="157" t="n"/>
      <c r="M82" s="236" t="n"/>
      <c r="N82" s="236" t="n"/>
      <c r="O82" s="236" t="n"/>
      <c r="P82" s="287" t="n"/>
      <c r="Q82" s="236" t="n"/>
      <c r="R82" s="236" t="n"/>
      <c r="S82" s="20" t="n"/>
      <c r="T82" s="20" t="n"/>
      <c r="U82" s="20" t="n"/>
    </row>
    <row r="83" ht="16.5" customHeight="1" s="237">
      <c r="A83" s="12" t="n"/>
      <c r="B83" s="287" t="n"/>
      <c r="C83" s="12" t="n"/>
      <c r="D83" s="12" t="n"/>
      <c r="E83" s="236" t="n"/>
      <c r="F83" s="236" t="n"/>
      <c r="G83" s="288" t="n"/>
      <c r="H83" s="12" t="n"/>
      <c r="I83" s="236" t="n"/>
      <c r="J83" s="287" t="n"/>
      <c r="K83" s="236" t="n"/>
      <c r="L83" s="157" t="n"/>
      <c r="M83" s="236" t="n"/>
      <c r="N83" s="236" t="n"/>
      <c r="O83" s="236" t="n"/>
      <c r="P83" s="287" t="n"/>
      <c r="Q83" s="236" t="n"/>
      <c r="R83" s="236" t="n"/>
      <c r="S83" s="20" t="n"/>
      <c r="T83" s="20" t="n"/>
      <c r="U83" s="20" t="n"/>
    </row>
    <row r="84" ht="16.5" customHeight="1" s="237">
      <c r="A84" s="12" t="n"/>
      <c r="B84" s="287" t="n"/>
      <c r="C84" s="12" t="n"/>
      <c r="D84" s="12" t="n"/>
      <c r="E84" s="236" t="n"/>
      <c r="F84" s="236" t="n"/>
      <c r="G84" s="288" t="n"/>
      <c r="H84" s="12" t="n"/>
      <c r="I84" s="236" t="n"/>
      <c r="J84" s="287" t="n"/>
      <c r="K84" s="236" t="n"/>
      <c r="L84" s="157" t="n"/>
      <c r="M84" s="236" t="n"/>
      <c r="N84" s="236" t="n"/>
      <c r="O84" s="236" t="n"/>
      <c r="P84" s="287" t="n"/>
      <c r="Q84" s="236" t="n"/>
      <c r="R84" s="236" t="n"/>
      <c r="S84" s="20" t="n"/>
      <c r="T84" s="20" t="n"/>
      <c r="U84" s="20" t="n"/>
    </row>
    <row r="85" ht="16.5" customHeight="1" s="237">
      <c r="A85" s="12" t="n"/>
      <c r="B85" s="287" t="n"/>
      <c r="C85" s="12" t="n"/>
      <c r="D85" s="12" t="n"/>
      <c r="E85" s="236" t="n"/>
      <c r="F85" s="236" t="n"/>
      <c r="G85" s="288" t="n"/>
      <c r="H85" s="12" t="n"/>
      <c r="I85" s="236" t="n"/>
      <c r="J85" s="287" t="n"/>
      <c r="K85" s="236" t="n"/>
      <c r="L85" s="157" t="n"/>
      <c r="M85" s="236" t="n"/>
      <c r="N85" s="236" t="n"/>
      <c r="O85" s="236" t="n"/>
      <c r="P85" s="287" t="n"/>
      <c r="Q85" s="236" t="n"/>
      <c r="R85" s="236" t="n"/>
      <c r="S85" s="20" t="n"/>
      <c r="T85" s="20" t="n"/>
      <c r="U85" s="20" t="n"/>
    </row>
    <row r="86" ht="16.5" customHeight="1" s="237">
      <c r="A86" s="12" t="n"/>
      <c r="B86" s="287" t="n"/>
      <c r="C86" s="12" t="n"/>
      <c r="D86" s="12" t="n"/>
      <c r="E86" s="236" t="n"/>
      <c r="F86" s="236" t="n"/>
      <c r="G86" s="288" t="n"/>
      <c r="H86" s="12" t="n"/>
      <c r="I86" s="236" t="n"/>
      <c r="J86" s="287" t="n"/>
      <c r="K86" s="236" t="n"/>
      <c r="L86" s="157" t="n"/>
      <c r="M86" s="236" t="n"/>
      <c r="N86" s="236" t="n"/>
      <c r="O86" s="236" t="n"/>
      <c r="P86" s="287" t="n"/>
      <c r="Q86" s="236" t="n"/>
      <c r="R86" s="236" t="n"/>
      <c r="S86" s="20" t="n"/>
      <c r="T86" s="20" t="n"/>
      <c r="U86" s="20" t="n"/>
    </row>
    <row r="87" ht="16.5" customHeight="1" s="237">
      <c r="A87" s="12" t="n"/>
      <c r="B87" s="287" t="n"/>
      <c r="C87" s="12" t="n"/>
      <c r="D87" s="12" t="n"/>
      <c r="E87" s="236" t="n"/>
      <c r="F87" s="236" t="n"/>
      <c r="G87" s="288" t="n"/>
      <c r="H87" s="12" t="n"/>
      <c r="I87" s="236" t="n"/>
      <c r="J87" s="287" t="n"/>
      <c r="K87" s="236" t="n"/>
      <c r="L87" s="157" t="n"/>
      <c r="M87" s="236" t="n"/>
      <c r="N87" s="236" t="n"/>
      <c r="O87" s="236" t="n"/>
      <c r="P87" s="287" t="n"/>
      <c r="Q87" s="236" t="n"/>
      <c r="R87" s="236" t="n"/>
      <c r="S87" s="20" t="n"/>
      <c r="T87" s="20" t="n"/>
      <c r="U87" s="20" t="n"/>
    </row>
    <row r="88" ht="16.5" customHeight="1" s="237">
      <c r="A88" s="12" t="n"/>
      <c r="B88" s="287" t="n"/>
      <c r="C88" s="12" t="n"/>
      <c r="D88" s="12" t="n"/>
      <c r="E88" s="236" t="n"/>
      <c r="F88" s="236" t="n"/>
      <c r="G88" s="288" t="n"/>
      <c r="H88" s="12" t="n"/>
      <c r="I88" s="236" t="n"/>
      <c r="J88" s="287" t="n"/>
      <c r="K88" s="236" t="n"/>
      <c r="L88" s="157" t="n"/>
      <c r="M88" s="236" t="n"/>
      <c r="N88" s="236" t="n"/>
      <c r="O88" s="236" t="n"/>
      <c r="P88" s="287" t="n"/>
      <c r="Q88" s="236" t="n"/>
      <c r="R88" s="236" t="n"/>
      <c r="S88" s="20" t="n"/>
      <c r="T88" s="20" t="n"/>
      <c r="U88" s="20" t="n"/>
    </row>
    <row r="89" ht="16.5" customHeight="1" s="237">
      <c r="A89" s="12" t="n"/>
      <c r="B89" s="287" t="n"/>
      <c r="C89" s="12" t="n"/>
      <c r="D89" s="12" t="n"/>
      <c r="E89" s="236" t="n"/>
      <c r="F89" s="236" t="n"/>
      <c r="G89" s="288" t="n"/>
      <c r="H89" s="12" t="n"/>
      <c r="I89" s="236" t="n"/>
      <c r="J89" s="287" t="n"/>
      <c r="K89" s="236" t="n"/>
      <c r="L89" s="157" t="n"/>
      <c r="M89" s="236" t="n"/>
      <c r="N89" s="236" t="n"/>
      <c r="O89" s="236" t="n"/>
      <c r="P89" s="287" t="n"/>
      <c r="Q89" s="236" t="n"/>
      <c r="R89" s="236" t="n"/>
      <c r="S89" s="20" t="n"/>
      <c r="T89" s="20" t="n"/>
      <c r="U89" s="20" t="n"/>
    </row>
    <row r="90" ht="16.5" customHeight="1" s="237">
      <c r="A90" s="12" t="n"/>
      <c r="B90" s="287" t="n"/>
      <c r="C90" s="12" t="n"/>
      <c r="D90" s="12" t="n"/>
      <c r="E90" s="236" t="n"/>
      <c r="F90" s="236" t="n"/>
      <c r="G90" s="288" t="n"/>
      <c r="H90" s="12" t="n"/>
      <c r="I90" s="236" t="n"/>
      <c r="J90" s="287" t="n"/>
      <c r="K90" s="236" t="n"/>
      <c r="L90" s="157" t="n"/>
      <c r="M90" s="236" t="n"/>
      <c r="N90" s="236" t="n"/>
      <c r="O90" s="236" t="n"/>
      <c r="P90" s="287" t="n"/>
      <c r="Q90" s="236" t="n"/>
      <c r="R90" s="236" t="n"/>
      <c r="S90" s="20" t="n"/>
      <c r="T90" s="20" t="n"/>
      <c r="U90" s="20" t="n"/>
    </row>
    <row r="91" ht="16.5" customHeight="1" s="237">
      <c r="A91" s="12" t="n"/>
      <c r="B91" s="287" t="n"/>
      <c r="C91" s="12" t="n"/>
      <c r="D91" s="12" t="n"/>
      <c r="E91" s="236" t="n"/>
      <c r="F91" s="236" t="n"/>
      <c r="G91" s="288" t="n"/>
      <c r="H91" s="12" t="n"/>
      <c r="I91" s="236" t="n"/>
      <c r="J91" s="287" t="n"/>
      <c r="K91" s="236" t="n"/>
      <c r="L91" s="157" t="n"/>
      <c r="M91" s="236" t="n"/>
      <c r="N91" s="236" t="n"/>
      <c r="O91" s="236" t="n"/>
      <c r="P91" s="287" t="n"/>
      <c r="Q91" s="236" t="n"/>
      <c r="R91" s="236" t="n"/>
      <c r="S91" s="20" t="n"/>
      <c r="T91" s="20" t="n"/>
      <c r="U91" s="20" t="n"/>
    </row>
    <row r="92" ht="16.5" customHeight="1" s="237">
      <c r="A92" s="12" t="n"/>
      <c r="B92" s="287" t="n"/>
      <c r="C92" s="12" t="n"/>
      <c r="D92" s="12" t="n"/>
      <c r="E92" s="236" t="n"/>
      <c r="F92" s="236" t="n"/>
      <c r="G92" s="288" t="n"/>
      <c r="H92" s="12" t="n"/>
      <c r="I92" s="236" t="n"/>
      <c r="J92" s="287" t="n"/>
      <c r="K92" s="236" t="n"/>
      <c r="L92" s="157" t="n"/>
      <c r="M92" s="236" t="n"/>
      <c r="N92" s="236" t="n"/>
      <c r="O92" s="236" t="n"/>
      <c r="P92" s="287" t="n"/>
      <c r="Q92" s="236" t="n"/>
      <c r="R92" s="236" t="n"/>
      <c r="S92" s="20" t="n"/>
      <c r="T92" s="20" t="n"/>
      <c r="U92" s="20" t="n"/>
    </row>
    <row r="93" ht="16.5" customHeight="1" s="237">
      <c r="A93" s="12" t="n"/>
      <c r="B93" s="287" t="n"/>
      <c r="C93" s="12" t="n"/>
      <c r="D93" s="12" t="n"/>
      <c r="E93" s="236" t="n"/>
      <c r="F93" s="236" t="n"/>
      <c r="G93" s="288" t="n"/>
      <c r="H93" s="12" t="n"/>
      <c r="I93" s="236" t="n"/>
      <c r="J93" s="287" t="n"/>
      <c r="K93" s="236" t="n"/>
      <c r="L93" s="157" t="n"/>
      <c r="M93" s="236" t="n"/>
      <c r="N93" s="236" t="n"/>
      <c r="O93" s="236" t="n"/>
      <c r="P93" s="287" t="n"/>
      <c r="Q93" s="236" t="n"/>
      <c r="R93" s="236" t="n"/>
      <c r="S93" s="20" t="n"/>
      <c r="T93" s="20" t="n"/>
      <c r="U93" s="20" t="n"/>
    </row>
    <row r="94" ht="16.5" customHeight="1" s="237">
      <c r="A94" s="12" t="n"/>
      <c r="B94" s="287" t="n"/>
      <c r="C94" s="12" t="n"/>
      <c r="D94" s="12" t="n"/>
      <c r="E94" s="236" t="n"/>
      <c r="F94" s="236" t="n"/>
      <c r="G94" s="288" t="n"/>
      <c r="H94" s="12" t="n"/>
      <c r="I94" s="236" t="n"/>
      <c r="J94" s="287" t="n"/>
      <c r="K94" s="236" t="n"/>
      <c r="L94" s="157" t="n"/>
      <c r="M94" s="236" t="n"/>
      <c r="N94" s="236" t="n"/>
      <c r="O94" s="236" t="n"/>
      <c r="P94" s="287" t="n"/>
      <c r="Q94" s="236" t="n"/>
      <c r="R94" s="236" t="n"/>
      <c r="S94" s="20" t="n"/>
      <c r="T94" s="20" t="n"/>
      <c r="U94" s="20" t="n"/>
    </row>
    <row r="95" ht="16.5" customHeight="1" s="237">
      <c r="A95" s="12" t="n"/>
      <c r="B95" s="287" t="n"/>
      <c r="C95" s="12" t="n"/>
      <c r="D95" s="12" t="n"/>
      <c r="E95" s="236" t="n"/>
      <c r="F95" s="236" t="n"/>
      <c r="G95" s="288" t="n"/>
      <c r="H95" s="12" t="n"/>
      <c r="I95" s="236" t="n"/>
      <c r="J95" s="287" t="n"/>
      <c r="K95" s="236" t="n"/>
      <c r="L95" s="157" t="n"/>
      <c r="M95" s="236" t="n"/>
      <c r="N95" s="236" t="n"/>
      <c r="O95" s="236" t="n"/>
      <c r="P95" s="287" t="n"/>
      <c r="Q95" s="236" t="n"/>
      <c r="R95" s="236" t="n"/>
      <c r="S95" s="20" t="n"/>
      <c r="T95" s="20" t="n"/>
      <c r="U95" s="20" t="n"/>
    </row>
    <row r="96" ht="16.5" customHeight="1" s="237">
      <c r="A96" s="12" t="n"/>
      <c r="B96" s="287" t="n"/>
      <c r="C96" s="12" t="n"/>
      <c r="D96" s="12" t="n"/>
      <c r="E96" s="236" t="n"/>
      <c r="F96" s="236" t="n"/>
      <c r="G96" s="288" t="n"/>
      <c r="H96" s="12" t="n"/>
      <c r="I96" s="236" t="n"/>
      <c r="J96" s="287" t="n"/>
      <c r="K96" s="236" t="n"/>
      <c r="L96" s="157" t="n"/>
      <c r="M96" s="236" t="n"/>
      <c r="N96" s="236" t="n"/>
      <c r="O96" s="236" t="n"/>
      <c r="P96" s="287" t="n"/>
      <c r="Q96" s="236" t="n"/>
      <c r="R96" s="236" t="n"/>
      <c r="S96" s="20" t="n"/>
      <c r="T96" s="20" t="n"/>
      <c r="U96" s="20" t="n"/>
    </row>
    <row r="97" ht="16.5" customHeight="1" s="237">
      <c r="A97" s="12" t="n"/>
      <c r="B97" s="287" t="n"/>
      <c r="C97" s="12" t="n"/>
      <c r="D97" s="12" t="n"/>
      <c r="E97" s="236" t="n"/>
      <c r="F97" s="236" t="n"/>
      <c r="G97" s="288" t="n"/>
      <c r="H97" s="12" t="n"/>
      <c r="I97" s="236" t="n"/>
      <c r="J97" s="287" t="n"/>
      <c r="K97" s="236" t="n"/>
      <c r="L97" s="157" t="n"/>
      <c r="M97" s="236" t="n"/>
      <c r="N97" s="236" t="n"/>
      <c r="O97" s="236" t="n"/>
      <c r="P97" s="287" t="n"/>
      <c r="Q97" s="236" t="n"/>
      <c r="R97" s="236" t="n"/>
      <c r="S97" s="20" t="n"/>
      <c r="T97" s="20" t="n"/>
      <c r="U97" s="20" t="n"/>
    </row>
    <row r="98" ht="16.5" customHeight="1" s="237">
      <c r="A98" s="12" t="n"/>
      <c r="B98" s="287" t="n"/>
      <c r="C98" s="12" t="n"/>
      <c r="D98" s="12" t="n"/>
      <c r="E98" s="236" t="n"/>
      <c r="F98" s="236" t="n"/>
      <c r="G98" s="288" t="n"/>
      <c r="H98" s="12" t="n"/>
      <c r="I98" s="236" t="n"/>
      <c r="J98" s="287" t="n"/>
      <c r="K98" s="236" t="n"/>
      <c r="L98" s="157" t="n"/>
      <c r="M98" s="236" t="n"/>
      <c r="N98" s="236" t="n"/>
      <c r="O98" s="236" t="n"/>
      <c r="P98" s="287" t="n"/>
      <c r="Q98" s="236" t="n"/>
      <c r="R98" s="236" t="n"/>
      <c r="S98" s="20" t="n"/>
      <c r="T98" s="20" t="n"/>
      <c r="U98" s="20" t="n"/>
    </row>
    <row r="99" ht="16.5" customHeight="1" s="237">
      <c r="A99" s="12" t="n"/>
      <c r="B99" s="287" t="n"/>
      <c r="C99" s="12" t="n"/>
      <c r="D99" s="12" t="n"/>
      <c r="E99" s="236" t="n"/>
      <c r="F99" s="236" t="n"/>
      <c r="G99" s="288" t="n"/>
      <c r="H99" s="12" t="n"/>
      <c r="I99" s="236" t="n"/>
      <c r="J99" s="287" t="n"/>
      <c r="K99" s="236" t="n"/>
      <c r="L99" s="157" t="n"/>
      <c r="M99" s="236" t="n"/>
      <c r="N99" s="236" t="n"/>
      <c r="O99" s="236" t="n"/>
      <c r="P99" s="287" t="n"/>
      <c r="Q99" s="236" t="n"/>
      <c r="R99" s="236" t="n"/>
      <c r="S99" s="20" t="n"/>
      <c r="T99" s="20" t="n"/>
      <c r="U99" s="20" t="n"/>
    </row>
    <row r="100" ht="16.5" customHeight="1" s="237">
      <c r="A100" s="12" t="n"/>
      <c r="B100" s="287" t="n"/>
      <c r="C100" s="12" t="n"/>
      <c r="D100" s="12" t="n"/>
      <c r="E100" s="236" t="n"/>
      <c r="F100" s="236" t="n"/>
      <c r="G100" s="288" t="n"/>
      <c r="H100" s="12" t="n"/>
      <c r="I100" s="236" t="n"/>
      <c r="J100" s="287" t="n"/>
      <c r="K100" s="236" t="n"/>
      <c r="L100" s="157" t="n"/>
      <c r="M100" s="236" t="n"/>
      <c r="N100" s="236" t="n"/>
      <c r="O100" s="236" t="n"/>
      <c r="P100" s="287" t="n"/>
      <c r="Q100" s="236" t="n"/>
      <c r="R100" s="236" t="n"/>
      <c r="S100" s="20" t="n"/>
      <c r="T100" s="20" t="n"/>
      <c r="U100" s="20" t="n"/>
    </row>
    <row r="101" ht="16.5" customHeight="1" s="237">
      <c r="A101" s="12" t="n"/>
      <c r="B101" s="287" t="n"/>
      <c r="C101" s="12" t="n"/>
      <c r="D101" s="12" t="n"/>
      <c r="E101" s="236" t="n"/>
      <c r="F101" s="236" t="n"/>
      <c r="G101" s="288" t="n"/>
      <c r="H101" s="12" t="n"/>
      <c r="I101" s="236" t="n"/>
      <c r="J101" s="287" t="n"/>
      <c r="K101" s="236" t="n"/>
      <c r="L101" s="157" t="n"/>
      <c r="M101" s="236" t="n"/>
      <c r="N101" s="236" t="n"/>
      <c r="O101" s="236" t="n"/>
      <c r="P101" s="287" t="n"/>
      <c r="Q101" s="236" t="n"/>
      <c r="R101" s="236" t="n"/>
      <c r="S101" s="20" t="n"/>
      <c r="T101" s="20" t="n"/>
      <c r="U101" s="20" t="n"/>
    </row>
    <row r="102" ht="16.5" customHeight="1" s="237">
      <c r="A102" s="12" t="n"/>
      <c r="B102" s="287" t="n"/>
      <c r="C102" s="12" t="n"/>
      <c r="D102" s="12" t="n"/>
      <c r="E102" s="236" t="n"/>
      <c r="F102" s="236" t="n"/>
      <c r="G102" s="288" t="n"/>
      <c r="H102" s="12" t="n"/>
      <c r="I102" s="236" t="n"/>
      <c r="J102" s="287" t="n"/>
      <c r="K102" s="236" t="n"/>
      <c r="L102" s="157" t="n"/>
      <c r="M102" s="236" t="n"/>
      <c r="N102" s="236" t="n"/>
      <c r="O102" s="236" t="n"/>
      <c r="P102" s="287" t="n"/>
      <c r="Q102" s="236" t="n"/>
      <c r="R102" s="236" t="n"/>
      <c r="S102" s="20" t="n"/>
      <c r="T102" s="20" t="n"/>
      <c r="U102" s="20" t="n"/>
    </row>
    <row r="103" ht="16.5" customHeight="1" s="237">
      <c r="A103" s="12" t="n"/>
      <c r="B103" s="287" t="n"/>
      <c r="C103" s="12" t="n"/>
      <c r="D103" s="12" t="n"/>
      <c r="E103" s="236" t="n"/>
      <c r="F103" s="236" t="n"/>
      <c r="G103" s="288" t="n"/>
      <c r="H103" s="12" t="n"/>
      <c r="I103" s="236" t="n"/>
      <c r="J103" s="287" t="n"/>
      <c r="K103" s="236" t="n"/>
      <c r="L103" s="157" t="n"/>
      <c r="M103" s="236" t="n"/>
      <c r="N103" s="236" t="n"/>
      <c r="O103" s="236" t="n"/>
      <c r="P103" s="287" t="n"/>
      <c r="Q103" s="236" t="n"/>
      <c r="R103" s="236" t="n"/>
      <c r="S103" s="20" t="n"/>
      <c r="T103" s="20" t="n"/>
      <c r="U103" s="20" t="n"/>
    </row>
    <row r="104" ht="16.5" customHeight="1" s="237">
      <c r="A104" s="12" t="n"/>
      <c r="B104" s="287" t="n"/>
      <c r="C104" s="12" t="n"/>
      <c r="D104" s="12" t="n"/>
      <c r="E104" s="236" t="n"/>
      <c r="F104" s="236" t="n"/>
      <c r="G104" s="288" t="n"/>
      <c r="H104" s="12" t="n"/>
      <c r="I104" s="236" t="n"/>
      <c r="J104" s="287" t="n"/>
      <c r="K104" s="236" t="n"/>
      <c r="L104" s="157" t="n"/>
      <c r="M104" s="236" t="n"/>
      <c r="N104" s="236" t="n"/>
      <c r="O104" s="236" t="n"/>
      <c r="P104" s="287" t="n"/>
      <c r="Q104" s="236" t="n"/>
      <c r="R104" s="236" t="n"/>
      <c r="S104" s="20" t="n"/>
      <c r="T104" s="20" t="n"/>
      <c r="U104" s="20" t="n"/>
    </row>
    <row r="105" ht="16.5" customHeight="1" s="237">
      <c r="A105" s="12" t="n"/>
      <c r="B105" s="287" t="n"/>
      <c r="C105" s="12" t="n"/>
      <c r="D105" s="12" t="n"/>
      <c r="E105" s="236" t="n"/>
      <c r="F105" s="236" t="n"/>
      <c r="G105" s="288" t="n"/>
      <c r="H105" s="12" t="n"/>
      <c r="I105" s="236" t="n"/>
      <c r="J105" s="287" t="n"/>
      <c r="K105" s="236" t="n"/>
      <c r="L105" s="157" t="n"/>
      <c r="M105" s="236" t="n"/>
      <c r="N105" s="236" t="n"/>
      <c r="O105" s="236" t="n"/>
      <c r="P105" s="287" t="n"/>
      <c r="Q105" s="236" t="n"/>
      <c r="R105" s="236" t="n"/>
      <c r="S105" s="20" t="n"/>
      <c r="T105" s="20" t="n"/>
      <c r="U105" s="20" t="n"/>
    </row>
    <row r="106" ht="16.5" customHeight="1" s="237">
      <c r="A106" s="12" t="n"/>
      <c r="B106" s="287" t="n"/>
      <c r="C106" s="12" t="n"/>
      <c r="D106" s="12" t="n"/>
      <c r="E106" s="236" t="n"/>
      <c r="F106" s="236" t="n"/>
      <c r="G106" s="288" t="n"/>
      <c r="H106" s="12" t="n"/>
      <c r="I106" s="236" t="n"/>
      <c r="J106" s="287" t="n"/>
      <c r="K106" s="236" t="n"/>
      <c r="L106" s="157" t="n"/>
      <c r="M106" s="236" t="n"/>
      <c r="N106" s="236" t="n"/>
      <c r="O106" s="236" t="n"/>
      <c r="P106" s="287" t="n"/>
      <c r="Q106" s="236" t="n"/>
      <c r="R106" s="236" t="n"/>
      <c r="S106" s="20" t="n"/>
      <c r="T106" s="20" t="n"/>
      <c r="U106" s="20" t="n"/>
    </row>
    <row r="107" ht="16.5" customHeight="1" s="237">
      <c r="A107" s="12" t="n"/>
      <c r="B107" s="287" t="n"/>
      <c r="C107" s="12" t="n"/>
      <c r="D107" s="12" t="n"/>
      <c r="E107" s="236" t="n"/>
      <c r="F107" s="236" t="n"/>
      <c r="G107" s="288" t="n"/>
      <c r="H107" s="12" t="n"/>
      <c r="I107" s="236" t="n"/>
      <c r="J107" s="287" t="n"/>
      <c r="K107" s="236" t="n"/>
      <c r="L107" s="157" t="n"/>
      <c r="M107" s="236" t="n"/>
      <c r="N107" s="236" t="n"/>
      <c r="O107" s="236" t="n"/>
      <c r="P107" s="287" t="n"/>
      <c r="Q107" s="236" t="n"/>
      <c r="R107" s="236" t="n"/>
      <c r="S107" s="20" t="n"/>
      <c r="T107" s="20" t="n"/>
      <c r="U107" s="20" t="n"/>
    </row>
    <row r="108" ht="16.5" customHeight="1" s="237">
      <c r="A108" s="12" t="n"/>
      <c r="B108" s="287" t="n"/>
      <c r="C108" s="12" t="n"/>
      <c r="D108" s="12" t="n"/>
      <c r="E108" s="236" t="n"/>
      <c r="F108" s="236" t="n"/>
      <c r="G108" s="288" t="n"/>
      <c r="H108" s="12" t="n"/>
      <c r="I108" s="236" t="n"/>
      <c r="J108" s="287" t="n"/>
      <c r="K108" s="236" t="n"/>
      <c r="L108" s="157" t="n"/>
      <c r="M108" s="236" t="n"/>
      <c r="N108" s="236" t="n"/>
      <c r="O108" s="236" t="n"/>
      <c r="P108" s="287" t="n"/>
      <c r="Q108" s="236" t="n"/>
      <c r="R108" s="236" t="n"/>
      <c r="S108" s="20" t="n"/>
      <c r="T108" s="20" t="n"/>
      <c r="U108" s="20" t="n"/>
    </row>
    <row r="109" ht="16.5" customHeight="1" s="237">
      <c r="A109" s="12" t="n"/>
      <c r="B109" s="287" t="n"/>
      <c r="C109" s="12" t="n"/>
      <c r="D109" s="12" t="n"/>
      <c r="E109" s="236" t="n"/>
      <c r="F109" s="236" t="n"/>
      <c r="G109" s="288" t="n"/>
      <c r="H109" s="12" t="n"/>
      <c r="I109" s="236" t="n"/>
      <c r="J109" s="287" t="n"/>
      <c r="K109" s="236" t="n"/>
      <c r="L109" s="157" t="n"/>
      <c r="M109" s="236" t="n"/>
      <c r="N109" s="236" t="n"/>
      <c r="O109" s="236" t="n"/>
      <c r="P109" s="287" t="n"/>
      <c r="Q109" s="236" t="n"/>
      <c r="R109" s="236" t="n"/>
      <c r="S109" s="20" t="n"/>
      <c r="T109" s="20" t="n"/>
      <c r="U109" s="20" t="n"/>
    </row>
    <row r="110" ht="16.5" customHeight="1" s="237">
      <c r="A110" s="12" t="n"/>
      <c r="B110" s="287" t="n"/>
      <c r="C110" s="12" t="n"/>
      <c r="D110" s="12" t="n"/>
      <c r="E110" s="236" t="n"/>
      <c r="F110" s="236" t="n"/>
      <c r="G110" s="288" t="n"/>
      <c r="H110" s="12" t="n"/>
      <c r="I110" s="236" t="n"/>
      <c r="J110" s="287" t="n"/>
      <c r="K110" s="236" t="n"/>
      <c r="L110" s="157" t="n"/>
      <c r="M110" s="236" t="n"/>
      <c r="N110" s="236" t="n"/>
      <c r="O110" s="236" t="n"/>
      <c r="P110" s="287" t="n"/>
      <c r="Q110" s="236" t="n"/>
      <c r="R110" s="236" t="n"/>
      <c r="S110" s="20" t="n"/>
      <c r="T110" s="20" t="n"/>
      <c r="U110" s="20" t="n"/>
    </row>
    <row r="111" ht="16.5" customHeight="1" s="237">
      <c r="A111" s="12" t="n"/>
      <c r="B111" s="287" t="n"/>
      <c r="C111" s="12" t="n"/>
      <c r="D111" s="12" t="n"/>
      <c r="E111" s="236" t="n"/>
      <c r="F111" s="236" t="n"/>
      <c r="G111" s="288" t="n"/>
      <c r="H111" s="12" t="n"/>
      <c r="I111" s="236" t="n"/>
      <c r="J111" s="287" t="n"/>
      <c r="K111" s="236" t="n"/>
      <c r="L111" s="157" t="n"/>
      <c r="M111" s="236" t="n"/>
      <c r="N111" s="236" t="n"/>
      <c r="O111" s="236" t="n"/>
      <c r="P111" s="287" t="n"/>
      <c r="Q111" s="236" t="n"/>
      <c r="R111" s="236" t="n"/>
      <c r="S111" s="20" t="n"/>
      <c r="T111" s="20" t="n"/>
      <c r="U111" s="20" t="n"/>
    </row>
    <row r="112" ht="16.5" customHeight="1" s="237">
      <c r="A112" s="12" t="n"/>
      <c r="B112" s="287" t="n"/>
      <c r="C112" s="12" t="n"/>
      <c r="D112" s="12" t="n"/>
      <c r="E112" s="236" t="n"/>
      <c r="F112" s="236" t="n"/>
      <c r="G112" s="288" t="n"/>
      <c r="H112" s="12" t="n"/>
      <c r="I112" s="236" t="n"/>
      <c r="J112" s="287" t="n"/>
      <c r="K112" s="236" t="n"/>
      <c r="L112" s="157" t="n"/>
      <c r="M112" s="236" t="n"/>
      <c r="N112" s="236" t="n"/>
      <c r="O112" s="236" t="n"/>
      <c r="P112" s="287" t="n"/>
      <c r="Q112" s="236" t="n"/>
      <c r="R112" s="236" t="n"/>
      <c r="S112" s="20" t="n"/>
      <c r="T112" s="20" t="n"/>
      <c r="U112" s="20" t="n"/>
    </row>
    <row r="113" ht="16.5" customHeight="1" s="237">
      <c r="A113" s="12" t="n"/>
      <c r="B113" s="287" t="n"/>
      <c r="C113" s="12" t="n"/>
      <c r="D113" s="12" t="n"/>
      <c r="E113" s="236" t="n"/>
      <c r="F113" s="236" t="n"/>
      <c r="G113" s="288" t="n"/>
      <c r="H113" s="12" t="n"/>
      <c r="I113" s="236" t="n"/>
      <c r="J113" s="287" t="n"/>
      <c r="K113" s="236" t="n"/>
      <c r="L113" s="157" t="n"/>
      <c r="M113" s="236" t="n"/>
      <c r="N113" s="236" t="n"/>
      <c r="O113" s="236" t="n"/>
      <c r="P113" s="287" t="n"/>
      <c r="Q113" s="236" t="n"/>
      <c r="R113" s="236" t="n"/>
      <c r="S113" s="20" t="n"/>
      <c r="T113" s="20" t="n"/>
      <c r="U113" s="20" t="n"/>
    </row>
    <row r="114" ht="16.5" customHeight="1" s="237">
      <c r="A114" s="12" t="n"/>
      <c r="B114" s="287" t="n"/>
      <c r="C114" s="12" t="n"/>
      <c r="D114" s="12" t="n"/>
      <c r="E114" s="236" t="n"/>
      <c r="F114" s="236" t="n"/>
      <c r="G114" s="288" t="n"/>
      <c r="H114" s="12" t="n"/>
      <c r="I114" s="236" t="n"/>
      <c r="J114" s="287" t="n"/>
      <c r="K114" s="236" t="n"/>
      <c r="L114" s="157" t="n"/>
      <c r="M114" s="236" t="n"/>
      <c r="N114" s="236" t="n"/>
      <c r="O114" s="236" t="n"/>
      <c r="P114" s="287" t="n"/>
      <c r="Q114" s="236" t="n"/>
      <c r="R114" s="236" t="n"/>
      <c r="S114" s="20" t="n"/>
      <c r="T114" s="20" t="n"/>
      <c r="U114" s="20" t="n"/>
    </row>
    <row r="115" ht="16.5" customHeight="1" s="237">
      <c r="A115" s="12" t="n"/>
      <c r="B115" s="287" t="n"/>
      <c r="C115" s="12" t="n"/>
      <c r="D115" s="12" t="n"/>
      <c r="E115" s="236" t="n"/>
      <c r="F115" s="236" t="n"/>
      <c r="G115" s="288" t="n"/>
      <c r="H115" s="12" t="n"/>
      <c r="I115" s="236" t="n"/>
      <c r="J115" s="287" t="n"/>
      <c r="K115" s="236" t="n"/>
      <c r="L115" s="157" t="n"/>
      <c r="M115" s="236" t="n"/>
      <c r="N115" s="236" t="n"/>
      <c r="O115" s="236" t="n"/>
      <c r="P115" s="287" t="n"/>
      <c r="Q115" s="236" t="n"/>
      <c r="R115" s="236" t="n"/>
      <c r="S115" s="20" t="n"/>
      <c r="T115" s="20" t="n"/>
      <c r="U115" s="20" t="n"/>
    </row>
    <row r="116" ht="16.5" customHeight="1" s="237">
      <c r="A116" s="12" t="n"/>
      <c r="B116" s="287" t="n"/>
      <c r="C116" s="12" t="n"/>
      <c r="D116" s="12" t="n"/>
      <c r="E116" s="236" t="n"/>
      <c r="F116" s="236" t="n"/>
      <c r="G116" s="288" t="n"/>
      <c r="H116" s="12" t="n"/>
      <c r="I116" s="236" t="n"/>
      <c r="J116" s="287" t="n"/>
      <c r="K116" s="236" t="n"/>
      <c r="L116" s="157" t="n"/>
      <c r="M116" s="236" t="n"/>
      <c r="N116" s="236" t="n"/>
      <c r="O116" s="236" t="n"/>
      <c r="P116" s="287" t="n"/>
      <c r="Q116" s="236" t="n"/>
      <c r="R116" s="236" t="n"/>
      <c r="S116" s="20" t="n"/>
      <c r="T116" s="20" t="n"/>
      <c r="U116" s="20" t="n"/>
    </row>
    <row r="117" ht="16.5" customHeight="1" s="237">
      <c r="A117" s="12" t="n"/>
      <c r="B117" s="287" t="n"/>
      <c r="C117" s="12" t="n"/>
      <c r="D117" s="12" t="n"/>
      <c r="E117" s="236" t="n"/>
      <c r="F117" s="236" t="n"/>
      <c r="G117" s="288" t="n"/>
      <c r="H117" s="12" t="n"/>
      <c r="I117" s="236" t="n"/>
      <c r="J117" s="287" t="n"/>
      <c r="K117" s="236" t="n"/>
      <c r="L117" s="157" t="n"/>
      <c r="M117" s="236" t="n"/>
      <c r="N117" s="236" t="n"/>
      <c r="O117" s="236" t="n"/>
      <c r="P117" s="287" t="n"/>
      <c r="Q117" s="236" t="n"/>
      <c r="R117" s="236" t="n"/>
      <c r="S117" s="20" t="n"/>
      <c r="T117" s="20" t="n"/>
      <c r="U117" s="20" t="n"/>
    </row>
    <row r="118" ht="16.5" customHeight="1" s="237">
      <c r="A118" s="12" t="n"/>
      <c r="B118" s="287" t="n"/>
      <c r="C118" s="12" t="n"/>
      <c r="D118" s="12" t="n"/>
      <c r="E118" s="236" t="n"/>
      <c r="F118" s="236" t="n"/>
      <c r="G118" s="288" t="n"/>
      <c r="H118" s="12" t="n"/>
      <c r="I118" s="236" t="n"/>
      <c r="J118" s="287" t="n"/>
      <c r="K118" s="236" t="n"/>
      <c r="L118" s="157" t="n"/>
      <c r="M118" s="236" t="n"/>
      <c r="N118" s="236" t="n"/>
      <c r="O118" s="236" t="n"/>
      <c r="P118" s="287" t="n"/>
      <c r="Q118" s="236" t="n"/>
      <c r="R118" s="236" t="n"/>
      <c r="S118" s="20" t="n"/>
      <c r="T118" s="20" t="n"/>
      <c r="U118" s="20" t="n"/>
    </row>
    <row r="119" ht="15.75" customHeight="1" s="237">
      <c r="A119" s="12" t="n"/>
      <c r="B119" s="287" t="n"/>
      <c r="C119" s="12" t="n"/>
      <c r="D119" s="12" t="n"/>
      <c r="E119" s="236" t="n"/>
      <c r="F119" s="236" t="n"/>
      <c r="G119" s="288" t="n"/>
      <c r="H119" s="12" t="n"/>
      <c r="I119" s="236" t="n"/>
      <c r="J119" s="287" t="n"/>
      <c r="K119" s="236" t="n"/>
      <c r="L119" s="157" t="n"/>
      <c r="M119" s="236" t="n"/>
      <c r="N119" s="236" t="n"/>
      <c r="O119" s="236" t="n"/>
      <c r="P119" s="287" t="n"/>
      <c r="Q119" s="236" t="n"/>
      <c r="R119" s="236" t="n"/>
      <c r="S119" s="20" t="n"/>
      <c r="T119" s="20" t="n"/>
      <c r="U119" s="20" t="n"/>
    </row>
    <row r="120" ht="15.75" customHeight="1" s="237">
      <c r="A120" s="12" t="n"/>
      <c r="B120" s="287" t="n"/>
      <c r="C120" s="12" t="n"/>
      <c r="D120" s="12" t="n"/>
      <c r="E120" s="236" t="n"/>
      <c r="F120" s="236" t="n"/>
      <c r="G120" s="288" t="n"/>
      <c r="H120" s="12" t="n"/>
      <c r="I120" s="236" t="n"/>
      <c r="J120" s="287" t="n"/>
      <c r="K120" s="236" t="n"/>
      <c r="L120" s="157" t="n"/>
      <c r="M120" s="236" t="n"/>
      <c r="N120" s="236" t="n"/>
      <c r="O120" s="236" t="n"/>
      <c r="P120" s="287" t="n"/>
      <c r="Q120" s="236" t="n"/>
      <c r="R120" s="236" t="n"/>
      <c r="S120" s="20" t="n"/>
      <c r="T120" s="20" t="n"/>
      <c r="U120" s="20" t="n"/>
    </row>
    <row r="121" ht="15.75" customHeight="1" s="237">
      <c r="A121" s="12" t="n"/>
      <c r="B121" s="287" t="n"/>
      <c r="C121" s="12" t="n"/>
      <c r="D121" s="12" t="n"/>
      <c r="E121" s="236" t="n"/>
      <c r="F121" s="236" t="n"/>
      <c r="G121" s="288" t="n"/>
      <c r="H121" s="12" t="n"/>
      <c r="I121" s="236" t="n"/>
      <c r="J121" s="287" t="n"/>
      <c r="K121" s="236" t="n"/>
      <c r="L121" s="157" t="n"/>
      <c r="M121" s="236" t="n"/>
      <c r="N121" s="236" t="n"/>
      <c r="O121" s="236" t="n"/>
      <c r="P121" s="287" t="n"/>
      <c r="Q121" s="236" t="n"/>
      <c r="R121" s="236" t="n"/>
      <c r="S121" s="20" t="n"/>
      <c r="T121" s="20" t="n"/>
      <c r="U121" s="20" t="n"/>
    </row>
    <row r="122" ht="15.75" customHeight="1" s="237">
      <c r="A122" s="12" t="n"/>
      <c r="B122" s="287" t="n"/>
      <c r="C122" s="12" t="n"/>
      <c r="D122" s="12" t="n"/>
      <c r="E122" s="236" t="n"/>
      <c r="F122" s="236" t="n"/>
      <c r="G122" s="288" t="n"/>
      <c r="H122" s="12" t="n"/>
      <c r="I122" s="236" t="n"/>
      <c r="J122" s="287" t="n"/>
      <c r="K122" s="236" t="n"/>
      <c r="L122" s="157" t="n"/>
      <c r="M122" s="236" t="n"/>
      <c r="N122" s="236" t="n"/>
      <c r="O122" s="236" t="n"/>
      <c r="P122" s="287" t="n"/>
      <c r="Q122" s="236" t="n"/>
      <c r="R122" s="236" t="n"/>
      <c r="S122" s="20" t="n"/>
      <c r="T122" s="20" t="n"/>
      <c r="U122" s="20" t="n"/>
    </row>
    <row r="123" ht="15.75" customHeight="1" s="237">
      <c r="A123" s="12" t="n"/>
      <c r="B123" s="287" t="n"/>
      <c r="C123" s="12" t="n"/>
      <c r="D123" s="12" t="n"/>
      <c r="E123" s="236" t="n"/>
      <c r="F123" s="236" t="n"/>
      <c r="G123" s="288" t="n"/>
      <c r="H123" s="12" t="n"/>
      <c r="I123" s="236" t="n"/>
      <c r="J123" s="287" t="n"/>
      <c r="K123" s="236" t="n"/>
      <c r="L123" s="157" t="n"/>
      <c r="M123" s="236" t="n"/>
      <c r="N123" s="236" t="n"/>
      <c r="O123" s="236" t="n"/>
      <c r="P123" s="287" t="n"/>
      <c r="Q123" s="236" t="n"/>
      <c r="R123" s="236" t="n"/>
      <c r="S123" s="20" t="n"/>
      <c r="T123" s="20" t="n"/>
      <c r="U123" s="20" t="n"/>
    </row>
    <row r="124" ht="15.75" customHeight="1" s="237">
      <c r="A124" s="12" t="n"/>
      <c r="B124" s="287" t="n"/>
      <c r="C124" s="12" t="n"/>
      <c r="D124" s="12" t="n"/>
      <c r="E124" s="236" t="n"/>
      <c r="F124" s="236" t="n"/>
      <c r="G124" s="288" t="n"/>
      <c r="H124" s="12" t="n"/>
      <c r="I124" s="236" t="n"/>
      <c r="J124" s="287" t="n"/>
      <c r="K124" s="236" t="n"/>
      <c r="L124" s="157" t="n"/>
      <c r="M124" s="236" t="n"/>
      <c r="N124" s="236" t="n"/>
      <c r="O124" s="236" t="n"/>
      <c r="P124" s="287" t="n"/>
      <c r="Q124" s="236" t="n"/>
      <c r="R124" s="236" t="n"/>
      <c r="S124" s="20" t="n"/>
      <c r="T124" s="20" t="n"/>
      <c r="U124" s="20" t="n"/>
    </row>
    <row r="125" ht="15.75" customHeight="1" s="237">
      <c r="A125" s="12" t="n"/>
      <c r="B125" s="287" t="n"/>
      <c r="C125" s="12" t="n"/>
      <c r="D125" s="12" t="n"/>
      <c r="E125" s="236" t="n"/>
      <c r="F125" s="236" t="n"/>
      <c r="G125" s="288" t="n"/>
      <c r="H125" s="12" t="n"/>
      <c r="I125" s="236" t="n"/>
      <c r="J125" s="287" t="n"/>
      <c r="K125" s="236" t="n"/>
      <c r="L125" s="157" t="n"/>
      <c r="M125" s="236" t="n"/>
      <c r="N125" s="236" t="n"/>
      <c r="O125" s="236" t="n"/>
      <c r="P125" s="287" t="n"/>
      <c r="Q125" s="236" t="n"/>
      <c r="R125" s="236" t="n"/>
      <c r="S125" s="20" t="n"/>
      <c r="T125" s="20" t="n"/>
      <c r="U125" s="20" t="n"/>
    </row>
    <row r="126" ht="15.75" customHeight="1" s="237">
      <c r="A126" s="12" t="n"/>
      <c r="B126" s="287" t="n"/>
      <c r="C126" s="12" t="n"/>
      <c r="D126" s="12" t="n"/>
      <c r="E126" s="236" t="n"/>
      <c r="F126" s="236" t="n"/>
      <c r="G126" s="288" t="n"/>
      <c r="H126" s="12" t="n"/>
      <c r="I126" s="236" t="n"/>
      <c r="J126" s="287" t="n"/>
      <c r="K126" s="236" t="n"/>
      <c r="L126" s="157" t="n"/>
      <c r="M126" s="236" t="n"/>
      <c r="N126" s="236" t="n"/>
      <c r="O126" s="236" t="n"/>
      <c r="P126" s="287" t="n"/>
      <c r="Q126" s="236" t="n"/>
      <c r="R126" s="236" t="n"/>
      <c r="S126" s="20" t="n"/>
      <c r="T126" s="20" t="n"/>
      <c r="U126" s="20" t="n"/>
    </row>
    <row r="127" ht="15.75" customHeight="1" s="237">
      <c r="A127" s="12" t="n"/>
      <c r="B127" s="287" t="n"/>
      <c r="C127" s="12" t="n"/>
      <c r="D127" s="12" t="n"/>
      <c r="E127" s="236" t="n"/>
      <c r="F127" s="236" t="n"/>
      <c r="G127" s="288" t="n"/>
      <c r="H127" s="12" t="n"/>
      <c r="I127" s="236" t="n"/>
      <c r="J127" s="287" t="n"/>
      <c r="K127" s="236" t="n"/>
      <c r="L127" s="157" t="n"/>
      <c r="M127" s="236" t="n"/>
      <c r="N127" s="236" t="n"/>
      <c r="O127" s="236" t="n"/>
      <c r="P127" s="287" t="n"/>
      <c r="Q127" s="236" t="n"/>
      <c r="R127" s="236" t="n"/>
      <c r="S127" s="20" t="n"/>
      <c r="T127" s="20" t="n"/>
      <c r="U127" s="20" t="n"/>
    </row>
    <row r="128" ht="15.75" customHeight="1" s="237">
      <c r="A128" s="12" t="n"/>
      <c r="B128" s="287" t="n"/>
      <c r="C128" s="12" t="n"/>
      <c r="D128" s="12" t="n"/>
      <c r="E128" s="236" t="n"/>
      <c r="F128" s="236" t="n"/>
      <c r="G128" s="288" t="n"/>
      <c r="H128" s="12" t="n"/>
      <c r="I128" s="236" t="n"/>
      <c r="J128" s="287" t="n"/>
      <c r="K128" s="236" t="n"/>
      <c r="L128" s="157" t="n"/>
      <c r="M128" s="236" t="n"/>
      <c r="N128" s="236" t="n"/>
      <c r="O128" s="236" t="n"/>
      <c r="P128" s="287" t="n"/>
      <c r="Q128" s="236" t="n"/>
      <c r="R128" s="236" t="n"/>
      <c r="S128" s="20" t="n"/>
      <c r="T128" s="20" t="n"/>
      <c r="U128" s="20" t="n"/>
    </row>
    <row r="129" ht="15.75" customHeight="1" s="237">
      <c r="A129" s="12" t="n"/>
      <c r="B129" s="287" t="n"/>
      <c r="C129" s="12" t="n"/>
      <c r="D129" s="12" t="n"/>
      <c r="E129" s="236" t="n"/>
      <c r="F129" s="236" t="n"/>
      <c r="G129" s="288" t="n"/>
      <c r="H129" s="12" t="n"/>
      <c r="I129" s="236" t="n"/>
      <c r="J129" s="287" t="n"/>
      <c r="K129" s="236" t="n"/>
      <c r="L129" s="157" t="n"/>
      <c r="M129" s="236" t="n"/>
      <c r="N129" s="236" t="n"/>
      <c r="O129" s="236" t="n"/>
      <c r="P129" s="287" t="n"/>
      <c r="Q129" s="236" t="n"/>
      <c r="R129" s="236" t="n"/>
      <c r="S129" s="20" t="n"/>
      <c r="T129" s="20" t="n"/>
      <c r="U129" s="20" t="n"/>
    </row>
    <row r="130" ht="15.75" customHeight="1" s="237">
      <c r="A130" s="12" t="n"/>
      <c r="B130" s="287" t="n"/>
      <c r="C130" s="12" t="n"/>
      <c r="D130" s="12" t="n"/>
      <c r="E130" s="236" t="n"/>
      <c r="F130" s="236" t="n"/>
      <c r="G130" s="288" t="n"/>
      <c r="H130" s="12" t="n"/>
      <c r="I130" s="236" t="n"/>
      <c r="J130" s="287" t="n"/>
      <c r="K130" s="236" t="n"/>
      <c r="L130" s="157" t="n"/>
      <c r="M130" s="236" t="n"/>
      <c r="N130" s="236" t="n"/>
      <c r="O130" s="236" t="n"/>
      <c r="P130" s="287" t="n"/>
      <c r="Q130" s="236" t="n"/>
      <c r="R130" s="236" t="n"/>
      <c r="S130" s="20" t="n"/>
      <c r="T130" s="20" t="n"/>
      <c r="U130" s="20" t="n"/>
    </row>
    <row r="131" ht="15.75" customHeight="1" s="237">
      <c r="A131" s="12" t="n"/>
      <c r="B131" s="287" t="n"/>
      <c r="C131" s="12" t="n"/>
      <c r="D131" s="12" t="n"/>
      <c r="E131" s="236" t="n"/>
      <c r="F131" s="236" t="n"/>
      <c r="G131" s="288" t="n"/>
      <c r="H131" s="12" t="n"/>
      <c r="I131" s="236" t="n"/>
      <c r="J131" s="287" t="n"/>
      <c r="K131" s="236" t="n"/>
      <c r="L131" s="157" t="n"/>
      <c r="M131" s="236" t="n"/>
      <c r="N131" s="236" t="n"/>
      <c r="O131" s="236" t="n"/>
      <c r="P131" s="287" t="n"/>
      <c r="Q131" s="236" t="n"/>
      <c r="R131" s="236" t="n"/>
      <c r="S131" s="20" t="n"/>
      <c r="T131" s="20" t="n"/>
      <c r="U131" s="20" t="n"/>
    </row>
    <row r="132" ht="15.75" customHeight="1" s="237">
      <c r="A132" s="12" t="n"/>
      <c r="B132" s="287" t="n"/>
      <c r="C132" s="12" t="n"/>
      <c r="D132" s="12" t="n"/>
      <c r="E132" s="236" t="n"/>
      <c r="F132" s="236" t="n"/>
      <c r="G132" s="288" t="n"/>
      <c r="H132" s="12" t="n"/>
      <c r="I132" s="236" t="n"/>
      <c r="J132" s="287" t="n"/>
      <c r="K132" s="236" t="n"/>
      <c r="L132" s="157" t="n"/>
      <c r="M132" s="236" t="n"/>
      <c r="N132" s="236" t="n"/>
      <c r="O132" s="236" t="n"/>
      <c r="P132" s="287" t="n"/>
      <c r="Q132" s="236" t="n"/>
      <c r="R132" s="236" t="n"/>
      <c r="S132" s="20" t="n"/>
      <c r="T132" s="20" t="n"/>
      <c r="U132" s="20" t="n"/>
    </row>
    <row r="133" ht="15.75" customHeight="1" s="237">
      <c r="A133" s="12" t="n"/>
      <c r="B133" s="287" t="n"/>
      <c r="C133" s="12" t="n"/>
      <c r="D133" s="12" t="n"/>
      <c r="E133" s="236" t="n"/>
      <c r="F133" s="236" t="n"/>
      <c r="G133" s="288" t="n"/>
      <c r="H133" s="12" t="n"/>
      <c r="I133" s="236" t="n"/>
      <c r="J133" s="287" t="n"/>
      <c r="K133" s="236" t="n"/>
      <c r="L133" s="157" t="n"/>
      <c r="M133" s="236" t="n"/>
      <c r="N133" s="236" t="n"/>
      <c r="O133" s="236" t="n"/>
      <c r="P133" s="287" t="n"/>
      <c r="Q133" s="236" t="n"/>
      <c r="R133" s="236" t="n"/>
      <c r="S133" s="20" t="n"/>
      <c r="T133" s="20" t="n"/>
      <c r="U133" s="20" t="n"/>
    </row>
    <row r="134" ht="15.75" customHeight="1" s="237">
      <c r="A134" s="12" t="n"/>
      <c r="B134" s="287" t="n"/>
      <c r="C134" s="12" t="n"/>
      <c r="D134" s="12" t="n"/>
      <c r="E134" s="236" t="n"/>
      <c r="F134" s="236" t="n"/>
      <c r="G134" s="288" t="n"/>
      <c r="H134" s="12" t="n"/>
      <c r="I134" s="236" t="n"/>
      <c r="J134" s="287" t="n"/>
      <c r="K134" s="236" t="n"/>
      <c r="L134" s="157" t="n"/>
      <c r="M134" s="236" t="n"/>
      <c r="N134" s="236" t="n"/>
      <c r="O134" s="236" t="n"/>
      <c r="P134" s="287" t="n"/>
      <c r="Q134" s="236" t="n"/>
      <c r="R134" s="236" t="n"/>
      <c r="S134" s="20" t="n"/>
      <c r="T134" s="20" t="n"/>
      <c r="U134" s="20" t="n"/>
    </row>
    <row r="135" ht="15.75" customHeight="1" s="237">
      <c r="A135" s="12" t="n"/>
      <c r="B135" s="287" t="n"/>
      <c r="C135" s="12" t="n"/>
      <c r="D135" s="12" t="n"/>
      <c r="E135" s="236" t="n"/>
      <c r="F135" s="236" t="n"/>
      <c r="G135" s="288" t="n"/>
      <c r="H135" s="12" t="n"/>
      <c r="I135" s="236" t="n"/>
      <c r="J135" s="287" t="n"/>
      <c r="K135" s="236" t="n"/>
      <c r="L135" s="157" t="n"/>
      <c r="M135" s="236" t="n"/>
      <c r="N135" s="236" t="n"/>
      <c r="O135" s="236" t="n"/>
      <c r="P135" s="287" t="n"/>
      <c r="Q135" s="236" t="n"/>
      <c r="R135" s="236" t="n"/>
      <c r="S135" s="20" t="n"/>
      <c r="T135" s="20" t="n"/>
      <c r="U135" s="20" t="n"/>
    </row>
    <row r="136" ht="15.75" customHeight="1" s="237">
      <c r="A136" s="12" t="n"/>
      <c r="B136" s="287" t="n"/>
      <c r="C136" s="12" t="n"/>
      <c r="D136" s="12" t="n"/>
      <c r="E136" s="236" t="n"/>
      <c r="F136" s="236" t="n"/>
      <c r="G136" s="288" t="n"/>
      <c r="H136" s="12" t="n"/>
      <c r="I136" s="236" t="n"/>
      <c r="J136" s="287" t="n"/>
      <c r="K136" s="236" t="n"/>
      <c r="L136" s="157" t="n"/>
      <c r="M136" s="236" t="n"/>
      <c r="N136" s="236" t="n"/>
      <c r="O136" s="236" t="n"/>
      <c r="P136" s="287" t="n"/>
      <c r="Q136" s="236" t="n"/>
      <c r="R136" s="236" t="n"/>
      <c r="S136" s="20" t="n"/>
      <c r="T136" s="20" t="n"/>
      <c r="U136" s="20" t="n"/>
    </row>
    <row r="137" ht="15.75" customHeight="1" s="237">
      <c r="A137" s="12" t="n"/>
      <c r="B137" s="287" t="n"/>
      <c r="C137" s="12" t="n"/>
      <c r="D137" s="12" t="n"/>
      <c r="E137" s="236" t="n"/>
      <c r="F137" s="236" t="n"/>
      <c r="G137" s="288" t="n"/>
      <c r="H137" s="12" t="n"/>
      <c r="I137" s="236" t="n"/>
      <c r="J137" s="287" t="n"/>
      <c r="K137" s="236" t="n"/>
      <c r="L137" s="157" t="n"/>
      <c r="M137" s="236" t="n"/>
      <c r="N137" s="236" t="n"/>
      <c r="O137" s="236" t="n"/>
      <c r="P137" s="287" t="n"/>
      <c r="Q137" s="236" t="n"/>
      <c r="R137" s="236" t="n"/>
      <c r="S137" s="20" t="n"/>
      <c r="T137" s="20" t="n"/>
      <c r="U137" s="20" t="n"/>
    </row>
    <row r="138" ht="15.75" customHeight="1" s="237">
      <c r="A138" s="12" t="n"/>
      <c r="B138" s="287" t="n"/>
      <c r="C138" s="12" t="n"/>
      <c r="D138" s="12" t="n"/>
      <c r="E138" s="236" t="n"/>
      <c r="F138" s="236" t="n"/>
      <c r="G138" s="288" t="n"/>
      <c r="H138" s="12" t="n"/>
      <c r="I138" s="236" t="n"/>
      <c r="J138" s="287" t="n"/>
      <c r="K138" s="236" t="n"/>
      <c r="L138" s="157" t="n"/>
      <c r="M138" s="236" t="n"/>
      <c r="N138" s="236" t="n"/>
      <c r="O138" s="236" t="n"/>
      <c r="P138" s="287" t="n"/>
      <c r="Q138" s="236" t="n"/>
      <c r="R138" s="236" t="n"/>
      <c r="S138" s="20" t="n"/>
      <c r="T138" s="20" t="n"/>
      <c r="U138" s="20" t="n"/>
    </row>
    <row r="139" ht="15.75" customHeight="1" s="237">
      <c r="A139" s="12" t="n"/>
      <c r="B139" s="287" t="n"/>
      <c r="C139" s="12" t="n"/>
      <c r="D139" s="12" t="n"/>
      <c r="E139" s="236" t="n"/>
      <c r="F139" s="236" t="n"/>
      <c r="G139" s="288" t="n"/>
      <c r="H139" s="12" t="n"/>
      <c r="I139" s="236" t="n"/>
      <c r="J139" s="287" t="n"/>
      <c r="K139" s="236" t="n"/>
      <c r="L139" s="157" t="n"/>
      <c r="M139" s="236" t="n"/>
      <c r="N139" s="236" t="n"/>
      <c r="O139" s="236" t="n"/>
      <c r="P139" s="287" t="n"/>
      <c r="Q139" s="236" t="n"/>
      <c r="R139" s="236" t="n"/>
      <c r="S139" s="20" t="n"/>
      <c r="T139" s="20" t="n"/>
      <c r="U139" s="20" t="n"/>
    </row>
    <row r="140" ht="15.75" customHeight="1" s="237">
      <c r="A140" s="12" t="n"/>
      <c r="B140" s="287" t="n"/>
      <c r="C140" s="12" t="n"/>
      <c r="D140" s="12" t="n"/>
      <c r="E140" s="236" t="n"/>
      <c r="F140" s="236" t="n"/>
      <c r="G140" s="288" t="n"/>
      <c r="H140" s="12" t="n"/>
      <c r="I140" s="236" t="n"/>
      <c r="J140" s="287" t="n"/>
      <c r="K140" s="236" t="n"/>
      <c r="L140" s="157" t="n"/>
      <c r="M140" s="236" t="n"/>
      <c r="N140" s="236" t="n"/>
      <c r="O140" s="236" t="n"/>
      <c r="P140" s="287" t="n"/>
      <c r="Q140" s="236" t="n"/>
      <c r="R140" s="236" t="n"/>
      <c r="S140" s="20" t="n"/>
      <c r="T140" s="20" t="n"/>
      <c r="U140" s="20" t="n"/>
    </row>
    <row r="141" ht="15.75" customHeight="1" s="237">
      <c r="A141" s="12" t="n"/>
      <c r="B141" s="287" t="n"/>
      <c r="C141" s="12" t="n"/>
      <c r="D141" s="12" t="n"/>
      <c r="E141" s="236" t="n"/>
      <c r="F141" s="236" t="n"/>
      <c r="G141" s="288" t="n"/>
      <c r="H141" s="12" t="n"/>
      <c r="I141" s="236" t="n"/>
      <c r="J141" s="287" t="n"/>
      <c r="K141" s="236" t="n"/>
      <c r="L141" s="157" t="n"/>
      <c r="M141" s="236" t="n"/>
      <c r="N141" s="236" t="n"/>
      <c r="O141" s="236" t="n"/>
      <c r="P141" s="287" t="n"/>
      <c r="Q141" s="236" t="n"/>
      <c r="R141" s="236" t="n"/>
      <c r="S141" s="20" t="n"/>
      <c r="T141" s="20" t="n"/>
      <c r="U141" s="20" t="n"/>
    </row>
    <row r="142" ht="15.75" customHeight="1" s="237">
      <c r="A142" s="12" t="n"/>
      <c r="B142" s="287" t="n"/>
      <c r="C142" s="12" t="n"/>
      <c r="D142" s="12" t="n"/>
      <c r="E142" s="236" t="n"/>
      <c r="F142" s="236" t="n"/>
      <c r="G142" s="288" t="n"/>
      <c r="H142" s="12" t="n"/>
      <c r="I142" s="236" t="n"/>
      <c r="J142" s="287" t="n"/>
      <c r="K142" s="236" t="n"/>
      <c r="L142" s="157" t="n"/>
      <c r="M142" s="236" t="n"/>
      <c r="N142" s="236" t="n"/>
      <c r="O142" s="236" t="n"/>
      <c r="P142" s="287" t="n"/>
      <c r="Q142" s="236" t="n"/>
      <c r="R142" s="236" t="n"/>
      <c r="S142" s="20" t="n"/>
      <c r="T142" s="20" t="n"/>
      <c r="U142" s="20" t="n"/>
    </row>
    <row r="143" ht="15.75" customHeight="1" s="237">
      <c r="A143" s="12" t="n"/>
      <c r="B143" s="287" t="n"/>
      <c r="C143" s="12" t="n"/>
      <c r="D143" s="12" t="n"/>
      <c r="E143" s="236" t="n"/>
      <c r="F143" s="236" t="n"/>
      <c r="G143" s="288" t="n"/>
      <c r="H143" s="12" t="n"/>
      <c r="I143" s="236" t="n"/>
      <c r="J143" s="287" t="n"/>
      <c r="K143" s="236" t="n"/>
      <c r="L143" s="157" t="n"/>
      <c r="M143" s="236" t="n"/>
      <c r="N143" s="236" t="n"/>
      <c r="O143" s="236" t="n"/>
      <c r="P143" s="287" t="n"/>
      <c r="Q143" s="236" t="n"/>
      <c r="R143" s="236" t="n"/>
      <c r="S143" s="20" t="n"/>
      <c r="T143" s="20" t="n"/>
      <c r="U143" s="20" t="n"/>
    </row>
    <row r="144" ht="15.75" customHeight="1" s="237">
      <c r="A144" s="12" t="n"/>
      <c r="B144" s="287" t="n"/>
      <c r="C144" s="12" t="n"/>
      <c r="D144" s="12" t="n"/>
      <c r="E144" s="236" t="n"/>
      <c r="F144" s="236" t="n"/>
      <c r="G144" s="288" t="n"/>
      <c r="H144" s="12" t="n"/>
      <c r="I144" s="236" t="n"/>
      <c r="J144" s="287" t="n"/>
      <c r="K144" s="236" t="n"/>
      <c r="L144" s="157" t="n"/>
      <c r="M144" s="236" t="n"/>
      <c r="N144" s="236" t="n"/>
      <c r="O144" s="236" t="n"/>
      <c r="P144" s="287" t="n"/>
      <c r="Q144" s="236" t="n"/>
      <c r="R144" s="236" t="n"/>
      <c r="S144" s="20" t="n"/>
      <c r="T144" s="20" t="n"/>
      <c r="U144" s="20" t="n"/>
    </row>
    <row r="145" ht="15.75" customHeight="1" s="237">
      <c r="A145" s="12" t="n"/>
      <c r="B145" s="287" t="n"/>
      <c r="C145" s="12" t="n"/>
      <c r="D145" s="12" t="n"/>
      <c r="E145" s="236" t="n"/>
      <c r="F145" s="236" t="n"/>
      <c r="G145" s="288" t="n"/>
      <c r="H145" s="12" t="n"/>
      <c r="I145" s="236" t="n"/>
      <c r="J145" s="287" t="n"/>
      <c r="K145" s="236" t="n"/>
      <c r="L145" s="157" t="n"/>
      <c r="M145" s="236" t="n"/>
      <c r="N145" s="236" t="n"/>
      <c r="O145" s="236" t="n"/>
      <c r="P145" s="287" t="n"/>
      <c r="Q145" s="236" t="n"/>
      <c r="R145" s="236" t="n"/>
      <c r="S145" s="20" t="n"/>
      <c r="T145" s="20" t="n"/>
      <c r="U145" s="20" t="n"/>
    </row>
    <row r="146" ht="15.75" customHeight="1" s="237">
      <c r="A146" s="12" t="n"/>
      <c r="B146" s="287" t="n"/>
      <c r="C146" s="12" t="n"/>
      <c r="D146" s="12" t="n"/>
      <c r="E146" s="236" t="n"/>
      <c r="F146" s="236" t="n"/>
      <c r="G146" s="288" t="n"/>
      <c r="H146" s="12" t="n"/>
      <c r="I146" s="236" t="n"/>
      <c r="J146" s="287" t="n"/>
      <c r="K146" s="236" t="n"/>
      <c r="L146" s="157" t="n"/>
      <c r="M146" s="236" t="n"/>
      <c r="N146" s="236" t="n"/>
      <c r="O146" s="236" t="n"/>
      <c r="P146" s="287" t="n"/>
      <c r="Q146" s="236" t="n"/>
      <c r="R146" s="236" t="n"/>
      <c r="S146" s="20" t="n"/>
      <c r="T146" s="20" t="n"/>
      <c r="U146" s="20" t="n"/>
    </row>
    <row r="147" ht="15.75" customHeight="1" s="237">
      <c r="A147" s="12" t="n"/>
      <c r="B147" s="287" t="n"/>
      <c r="C147" s="12" t="n"/>
      <c r="D147" s="12" t="n"/>
      <c r="E147" s="236" t="n"/>
      <c r="F147" s="236" t="n"/>
      <c r="G147" s="288" t="n"/>
      <c r="H147" s="12" t="n"/>
      <c r="I147" s="236" t="n"/>
      <c r="J147" s="287" t="n"/>
      <c r="K147" s="236" t="n"/>
      <c r="L147" s="157" t="n"/>
      <c r="M147" s="236" t="n"/>
      <c r="N147" s="236" t="n"/>
      <c r="O147" s="236" t="n"/>
      <c r="P147" s="287" t="n"/>
      <c r="Q147" s="236" t="n"/>
      <c r="R147" s="236" t="n"/>
      <c r="S147" s="20" t="n"/>
      <c r="T147" s="20" t="n"/>
      <c r="U147" s="20" t="n"/>
    </row>
    <row r="148" ht="15.75" customHeight="1" s="237">
      <c r="A148" s="12" t="n"/>
      <c r="B148" s="287" t="n"/>
      <c r="C148" s="12" t="n"/>
      <c r="D148" s="12" t="n"/>
      <c r="E148" s="236" t="n"/>
      <c r="F148" s="236" t="n"/>
      <c r="G148" s="288" t="n"/>
      <c r="H148" s="12" t="n"/>
      <c r="I148" s="236" t="n"/>
      <c r="J148" s="287" t="n"/>
      <c r="K148" s="236" t="n"/>
      <c r="L148" s="157" t="n"/>
      <c r="M148" s="236" t="n"/>
      <c r="N148" s="236" t="n"/>
      <c r="O148" s="236" t="n"/>
      <c r="P148" s="287" t="n"/>
      <c r="Q148" s="236" t="n"/>
      <c r="R148" s="236" t="n"/>
      <c r="S148" s="20" t="n"/>
      <c r="T148" s="20" t="n"/>
      <c r="U148" s="20" t="n"/>
    </row>
    <row r="149" ht="15.75" customHeight="1" s="237">
      <c r="A149" s="12" t="n"/>
      <c r="B149" s="287" t="n"/>
      <c r="C149" s="12" t="n"/>
      <c r="D149" s="12" t="n"/>
      <c r="E149" s="236" t="n"/>
      <c r="F149" s="236" t="n"/>
      <c r="G149" s="288" t="n"/>
      <c r="H149" s="12" t="n"/>
      <c r="I149" s="236" t="n"/>
      <c r="J149" s="287" t="n"/>
      <c r="K149" s="236" t="n"/>
      <c r="L149" s="157" t="n"/>
      <c r="M149" s="236" t="n"/>
      <c r="N149" s="236" t="n"/>
      <c r="O149" s="236" t="n"/>
      <c r="P149" s="287" t="n"/>
      <c r="Q149" s="236" t="n"/>
      <c r="R149" s="236" t="n"/>
      <c r="S149" s="20" t="n"/>
      <c r="T149" s="20" t="n"/>
      <c r="U149" s="20" t="n"/>
    </row>
    <row r="150" ht="15.75" customHeight="1" s="237">
      <c r="A150" s="12" t="n"/>
      <c r="B150" s="287" t="n"/>
      <c r="C150" s="12" t="n"/>
      <c r="D150" s="12" t="n"/>
      <c r="E150" s="236" t="n"/>
      <c r="F150" s="236" t="n"/>
      <c r="G150" s="288" t="n"/>
      <c r="H150" s="12" t="n"/>
      <c r="I150" s="236" t="n"/>
      <c r="J150" s="287" t="n"/>
      <c r="K150" s="236" t="n"/>
      <c r="L150" s="157" t="n"/>
      <c r="M150" s="236" t="n"/>
      <c r="N150" s="236" t="n"/>
      <c r="O150" s="236" t="n"/>
      <c r="P150" s="287" t="n"/>
      <c r="Q150" s="236" t="n"/>
      <c r="R150" s="236" t="n"/>
      <c r="S150" s="20" t="n"/>
      <c r="T150" s="20" t="n"/>
      <c r="U150" s="20" t="n"/>
    </row>
    <row r="151" ht="15.75" customHeight="1" s="237">
      <c r="A151" s="12" t="n"/>
      <c r="B151" s="287" t="n"/>
      <c r="C151" s="12" t="n"/>
      <c r="D151" s="12" t="n"/>
      <c r="E151" s="236" t="n"/>
      <c r="F151" s="236" t="n"/>
      <c r="G151" s="288" t="n"/>
      <c r="H151" s="12" t="n"/>
      <c r="I151" s="236" t="n"/>
      <c r="J151" s="287" t="n"/>
      <c r="K151" s="236" t="n"/>
      <c r="L151" s="157" t="n"/>
      <c r="M151" s="236" t="n"/>
      <c r="N151" s="236" t="n"/>
      <c r="O151" s="236" t="n"/>
      <c r="P151" s="287" t="n"/>
      <c r="Q151" s="236" t="n"/>
      <c r="R151" s="236" t="n"/>
      <c r="S151" s="20" t="n"/>
      <c r="T151" s="20" t="n"/>
      <c r="U151" s="20" t="n"/>
    </row>
    <row r="152" ht="15.75" customHeight="1" s="237">
      <c r="A152" s="12" t="n"/>
      <c r="B152" s="287" t="n"/>
      <c r="C152" s="12" t="n"/>
      <c r="D152" s="12" t="n"/>
      <c r="E152" s="236" t="n"/>
      <c r="F152" s="236" t="n"/>
      <c r="G152" s="288" t="n"/>
      <c r="H152" s="12" t="n"/>
      <c r="I152" s="236" t="n"/>
      <c r="J152" s="287" t="n"/>
      <c r="K152" s="236" t="n"/>
      <c r="L152" s="157" t="n"/>
      <c r="M152" s="236" t="n"/>
      <c r="N152" s="236" t="n"/>
      <c r="O152" s="236" t="n"/>
      <c r="P152" s="287" t="n"/>
      <c r="Q152" s="236" t="n"/>
      <c r="R152" s="236" t="n"/>
      <c r="S152" s="20" t="n"/>
      <c r="T152" s="20" t="n"/>
      <c r="U152" s="20" t="n"/>
    </row>
    <row r="153" ht="15.75" customHeight="1" s="237">
      <c r="A153" s="12" t="n"/>
      <c r="B153" s="287" t="n"/>
      <c r="C153" s="12" t="n"/>
      <c r="D153" s="12" t="n"/>
      <c r="E153" s="236" t="n"/>
      <c r="F153" s="236" t="n"/>
      <c r="G153" s="288" t="n"/>
      <c r="H153" s="12" t="n"/>
      <c r="I153" s="236" t="n"/>
      <c r="J153" s="287" t="n"/>
      <c r="K153" s="236" t="n"/>
      <c r="L153" s="157" t="n"/>
      <c r="M153" s="236" t="n"/>
      <c r="N153" s="236" t="n"/>
      <c r="O153" s="236" t="n"/>
      <c r="P153" s="287" t="n"/>
      <c r="Q153" s="236" t="n"/>
      <c r="R153" s="236" t="n"/>
      <c r="S153" s="20" t="n"/>
      <c r="T153" s="20" t="n"/>
      <c r="U153" s="20" t="n"/>
    </row>
    <row r="154" ht="15.75" customHeight="1" s="237">
      <c r="A154" s="12" t="n"/>
      <c r="B154" s="287" t="n"/>
      <c r="C154" s="12" t="n"/>
      <c r="D154" s="12" t="n"/>
      <c r="E154" s="236" t="n"/>
      <c r="F154" s="236" t="n"/>
      <c r="G154" s="288" t="n"/>
      <c r="H154" s="12" t="n"/>
      <c r="I154" s="236" t="n"/>
      <c r="J154" s="287" t="n"/>
      <c r="K154" s="236" t="n"/>
      <c r="L154" s="157" t="n"/>
      <c r="M154" s="236" t="n"/>
      <c r="N154" s="236" t="n"/>
      <c r="O154" s="236" t="n"/>
      <c r="P154" s="287" t="n"/>
      <c r="Q154" s="236" t="n"/>
      <c r="R154" s="236" t="n"/>
      <c r="S154" s="20" t="n"/>
      <c r="T154" s="20" t="n"/>
      <c r="U154" s="20" t="n"/>
    </row>
    <row r="155" ht="15.75" customHeight="1" s="237">
      <c r="A155" s="12" t="n"/>
      <c r="B155" s="287" t="n"/>
      <c r="C155" s="12" t="n"/>
      <c r="D155" s="12" t="n"/>
      <c r="E155" s="236" t="n"/>
      <c r="F155" s="236" t="n"/>
      <c r="G155" s="288" t="n"/>
      <c r="H155" s="12" t="n"/>
      <c r="I155" s="236" t="n"/>
      <c r="J155" s="287" t="n"/>
      <c r="K155" s="236" t="n"/>
      <c r="L155" s="157" t="n"/>
      <c r="M155" s="236" t="n"/>
      <c r="N155" s="236" t="n"/>
      <c r="O155" s="236" t="n"/>
      <c r="P155" s="287" t="n"/>
      <c r="Q155" s="236" t="n"/>
      <c r="R155" s="236" t="n"/>
      <c r="S155" s="20" t="n"/>
      <c r="T155" s="20" t="n"/>
      <c r="U155" s="20" t="n"/>
    </row>
    <row r="156" ht="15.75" customHeight="1" s="237">
      <c r="A156" s="12" t="n"/>
      <c r="B156" s="287" t="n"/>
      <c r="C156" s="12" t="n"/>
      <c r="D156" s="12" t="n"/>
      <c r="E156" s="236" t="n"/>
      <c r="F156" s="236" t="n"/>
      <c r="G156" s="288" t="n"/>
      <c r="H156" s="12" t="n"/>
      <c r="I156" s="236" t="n"/>
      <c r="J156" s="287" t="n"/>
      <c r="K156" s="236" t="n"/>
      <c r="L156" s="157" t="n"/>
      <c r="M156" s="236" t="n"/>
      <c r="N156" s="236" t="n"/>
      <c r="O156" s="236" t="n"/>
      <c r="P156" s="287" t="n"/>
      <c r="Q156" s="236" t="n"/>
      <c r="R156" s="236" t="n"/>
      <c r="S156" s="20" t="n"/>
      <c r="T156" s="20" t="n"/>
      <c r="U156" s="20" t="n"/>
    </row>
    <row r="157" ht="15.75" customHeight="1" s="237">
      <c r="A157" s="12" t="n"/>
      <c r="B157" s="287" t="n"/>
      <c r="C157" s="12" t="n"/>
      <c r="D157" s="12" t="n"/>
      <c r="E157" s="236" t="n"/>
      <c r="F157" s="236" t="n"/>
      <c r="G157" s="288" t="n"/>
      <c r="H157" s="12" t="n"/>
      <c r="I157" s="236" t="n"/>
      <c r="J157" s="287" t="n"/>
      <c r="K157" s="236" t="n"/>
      <c r="L157" s="157" t="n"/>
      <c r="M157" s="236" t="n"/>
      <c r="N157" s="236" t="n"/>
      <c r="O157" s="236" t="n"/>
      <c r="P157" s="287" t="n"/>
      <c r="Q157" s="236" t="n"/>
      <c r="R157" s="236" t="n"/>
      <c r="S157" s="20" t="n"/>
      <c r="T157" s="20" t="n"/>
      <c r="U157" s="20" t="n"/>
    </row>
    <row r="158" ht="15.75" customHeight="1" s="237">
      <c r="A158" s="12" t="n"/>
      <c r="B158" s="287" t="n"/>
      <c r="C158" s="12" t="n"/>
      <c r="D158" s="12" t="n"/>
      <c r="E158" s="236" t="n"/>
      <c r="F158" s="236" t="n"/>
      <c r="G158" s="288" t="n"/>
      <c r="H158" s="12" t="n"/>
      <c r="I158" s="236" t="n"/>
      <c r="J158" s="287" t="n"/>
      <c r="K158" s="236" t="n"/>
      <c r="L158" s="157" t="n"/>
      <c r="M158" s="236" t="n"/>
      <c r="N158" s="236" t="n"/>
      <c r="O158" s="236" t="n"/>
      <c r="P158" s="287" t="n"/>
      <c r="Q158" s="236" t="n"/>
      <c r="R158" s="236" t="n"/>
      <c r="S158" s="20" t="n"/>
      <c r="T158" s="20" t="n"/>
      <c r="U158" s="20" t="n"/>
    </row>
    <row r="159" ht="15.75" customHeight="1" s="237">
      <c r="A159" s="12" t="n"/>
      <c r="B159" s="287" t="n"/>
      <c r="C159" s="12" t="n"/>
      <c r="D159" s="12" t="n"/>
      <c r="E159" s="236" t="n"/>
      <c r="F159" s="236" t="n"/>
      <c r="G159" s="288" t="n"/>
      <c r="H159" s="12" t="n"/>
      <c r="I159" s="236" t="n"/>
      <c r="J159" s="287" t="n"/>
      <c r="K159" s="236" t="n"/>
      <c r="L159" s="157" t="n"/>
      <c r="M159" s="236" t="n"/>
      <c r="N159" s="236" t="n"/>
      <c r="O159" s="236" t="n"/>
      <c r="P159" s="287" t="n"/>
      <c r="Q159" s="236" t="n"/>
      <c r="R159" s="236" t="n"/>
      <c r="S159" s="20" t="n"/>
      <c r="T159" s="20" t="n"/>
      <c r="U159" s="20" t="n"/>
    </row>
    <row r="160" ht="15.75" customHeight="1" s="237">
      <c r="A160" s="12" t="n"/>
      <c r="B160" s="287" t="n"/>
      <c r="C160" s="12" t="n"/>
      <c r="D160" s="12" t="n"/>
      <c r="E160" s="236" t="n"/>
      <c r="F160" s="236" t="n"/>
      <c r="G160" s="288" t="n"/>
      <c r="H160" s="12" t="n"/>
      <c r="I160" s="236" t="n"/>
      <c r="J160" s="287" t="n"/>
      <c r="K160" s="236" t="n"/>
      <c r="L160" s="157" t="n"/>
      <c r="M160" s="236" t="n"/>
      <c r="N160" s="236" t="n"/>
      <c r="O160" s="236" t="n"/>
      <c r="P160" s="287" t="n"/>
      <c r="Q160" s="236" t="n"/>
      <c r="R160" s="236" t="n"/>
      <c r="S160" s="20" t="n"/>
      <c r="T160" s="20" t="n"/>
      <c r="U160" s="20" t="n"/>
    </row>
    <row r="161" ht="15.75" customHeight="1" s="237">
      <c r="A161" s="12" t="n"/>
      <c r="B161" s="287" t="n"/>
      <c r="C161" s="12" t="n"/>
      <c r="D161" s="12" t="n"/>
      <c r="E161" s="236" t="n"/>
      <c r="F161" s="236" t="n"/>
      <c r="G161" s="288" t="n"/>
      <c r="H161" s="12" t="n"/>
      <c r="I161" s="236" t="n"/>
      <c r="J161" s="287" t="n"/>
      <c r="K161" s="236" t="n"/>
      <c r="L161" s="157" t="n"/>
      <c r="M161" s="236" t="n"/>
      <c r="N161" s="236" t="n"/>
      <c r="O161" s="236" t="n"/>
      <c r="P161" s="287" t="n"/>
      <c r="Q161" s="236" t="n"/>
      <c r="R161" s="236" t="n"/>
      <c r="S161" s="20" t="n"/>
      <c r="T161" s="20" t="n"/>
      <c r="U161" s="20" t="n"/>
    </row>
    <row r="162" ht="15.75" customHeight="1" s="237">
      <c r="A162" s="12" t="n"/>
      <c r="B162" s="287" t="n"/>
      <c r="C162" s="12" t="n"/>
      <c r="D162" s="12" t="n"/>
      <c r="E162" s="236" t="n"/>
      <c r="F162" s="236" t="n"/>
      <c r="G162" s="288" t="n"/>
      <c r="H162" s="12" t="n"/>
      <c r="I162" s="236" t="n"/>
      <c r="J162" s="287" t="n"/>
      <c r="K162" s="236" t="n"/>
      <c r="L162" s="157" t="n"/>
      <c r="M162" s="236" t="n"/>
      <c r="N162" s="236" t="n"/>
      <c r="O162" s="236" t="n"/>
      <c r="P162" s="287" t="n"/>
      <c r="Q162" s="236" t="n"/>
      <c r="R162" s="236" t="n"/>
      <c r="S162" s="20" t="n"/>
      <c r="T162" s="20" t="n"/>
      <c r="U162" s="20" t="n"/>
    </row>
    <row r="163" ht="15.75" customHeight="1" s="237">
      <c r="A163" s="12" t="n"/>
      <c r="B163" s="287" t="n"/>
      <c r="C163" s="12" t="n"/>
      <c r="D163" s="12" t="n"/>
      <c r="E163" s="236" t="n"/>
      <c r="F163" s="236" t="n"/>
      <c r="G163" s="288" t="n"/>
      <c r="H163" s="12" t="n"/>
      <c r="I163" s="236" t="n"/>
      <c r="J163" s="287" t="n"/>
      <c r="K163" s="236" t="n"/>
      <c r="L163" s="157" t="n"/>
      <c r="M163" s="236" t="n"/>
      <c r="N163" s="236" t="n"/>
      <c r="O163" s="236" t="n"/>
      <c r="P163" s="287" t="n"/>
      <c r="Q163" s="236" t="n"/>
      <c r="R163" s="236" t="n"/>
      <c r="S163" s="20" t="n"/>
      <c r="T163" s="20" t="n"/>
      <c r="U163" s="20" t="n"/>
    </row>
    <row r="164" ht="15.75" customHeight="1" s="237">
      <c r="A164" s="12" t="n"/>
      <c r="B164" s="287" t="n"/>
      <c r="C164" s="12" t="n"/>
      <c r="D164" s="12" t="n"/>
      <c r="E164" s="236" t="n"/>
      <c r="F164" s="236" t="n"/>
      <c r="G164" s="288" t="n"/>
      <c r="H164" s="12" t="n"/>
      <c r="I164" s="236" t="n"/>
      <c r="J164" s="287" t="n"/>
      <c r="K164" s="236" t="n"/>
      <c r="L164" s="157" t="n"/>
      <c r="M164" s="236" t="n"/>
      <c r="N164" s="236" t="n"/>
      <c r="O164" s="236" t="n"/>
      <c r="P164" s="287" t="n"/>
      <c r="Q164" s="236" t="n"/>
      <c r="R164" s="236" t="n"/>
      <c r="S164" s="20" t="n"/>
      <c r="T164" s="20" t="n"/>
      <c r="U164" s="20" t="n"/>
    </row>
    <row r="165" ht="15.75" customHeight="1" s="237">
      <c r="A165" s="12" t="n"/>
      <c r="B165" s="287" t="n"/>
      <c r="C165" s="12" t="n"/>
      <c r="D165" s="12" t="n"/>
      <c r="E165" s="236" t="n"/>
      <c r="F165" s="236" t="n"/>
      <c r="G165" s="288" t="n"/>
      <c r="H165" s="12" t="n"/>
      <c r="I165" s="236" t="n"/>
      <c r="J165" s="287" t="n"/>
      <c r="K165" s="236" t="n"/>
      <c r="L165" s="157" t="n"/>
      <c r="M165" s="236" t="n"/>
      <c r="N165" s="236" t="n"/>
      <c r="O165" s="236" t="n"/>
      <c r="P165" s="287" t="n"/>
      <c r="Q165" s="236" t="n"/>
      <c r="R165" s="236" t="n"/>
      <c r="S165" s="20" t="n"/>
      <c r="T165" s="20" t="n"/>
      <c r="U165" s="20" t="n"/>
    </row>
    <row r="166" ht="15.75" customHeight="1" s="237">
      <c r="A166" s="12" t="n"/>
      <c r="B166" s="287" t="n"/>
      <c r="C166" s="12" t="n"/>
      <c r="D166" s="12" t="n"/>
      <c r="E166" s="236" t="n"/>
      <c r="F166" s="236" t="n"/>
      <c r="G166" s="288" t="n"/>
      <c r="H166" s="12" t="n"/>
      <c r="I166" s="236" t="n"/>
      <c r="J166" s="287" t="n"/>
      <c r="K166" s="236" t="n"/>
      <c r="L166" s="157" t="n"/>
      <c r="M166" s="236" t="n"/>
      <c r="N166" s="236" t="n"/>
      <c r="O166" s="236" t="n"/>
      <c r="P166" s="287" t="n"/>
      <c r="Q166" s="236" t="n"/>
      <c r="R166" s="236" t="n"/>
      <c r="S166" s="20" t="n"/>
      <c r="T166" s="20" t="n"/>
      <c r="U166" s="20" t="n"/>
    </row>
    <row r="167" ht="15.75" customHeight="1" s="237">
      <c r="A167" s="12" t="n"/>
      <c r="B167" s="287" t="n"/>
      <c r="C167" s="12" t="n"/>
      <c r="D167" s="12" t="n"/>
      <c r="E167" s="236" t="n"/>
      <c r="F167" s="236" t="n"/>
      <c r="G167" s="288" t="n"/>
      <c r="H167" s="12" t="n"/>
      <c r="I167" s="236" t="n"/>
      <c r="J167" s="287" t="n"/>
      <c r="K167" s="236" t="n"/>
      <c r="L167" s="157" t="n"/>
      <c r="M167" s="236" t="n"/>
      <c r="N167" s="236" t="n"/>
      <c r="O167" s="236" t="n"/>
      <c r="P167" s="287" t="n"/>
      <c r="Q167" s="236" t="n"/>
      <c r="R167" s="236" t="n"/>
      <c r="S167" s="20" t="n"/>
      <c r="T167" s="20" t="n"/>
      <c r="U167" s="20" t="n"/>
    </row>
    <row r="168" ht="15.75" customHeight="1" s="237">
      <c r="A168" s="12" t="n"/>
      <c r="B168" s="287" t="n"/>
      <c r="C168" s="12" t="n"/>
      <c r="D168" s="12" t="n"/>
      <c r="E168" s="236" t="n"/>
      <c r="F168" s="236" t="n"/>
      <c r="G168" s="288" t="n"/>
      <c r="H168" s="12" t="n"/>
      <c r="I168" s="236" t="n"/>
      <c r="J168" s="287" t="n"/>
      <c r="K168" s="236" t="n"/>
      <c r="L168" s="157" t="n"/>
      <c r="M168" s="236" t="n"/>
      <c r="N168" s="236" t="n"/>
      <c r="O168" s="236" t="n"/>
      <c r="P168" s="287" t="n"/>
      <c r="Q168" s="236" t="n"/>
      <c r="R168" s="236" t="n"/>
      <c r="S168" s="20" t="n"/>
      <c r="T168" s="20" t="n"/>
      <c r="U168" s="20" t="n"/>
    </row>
    <row r="169" ht="15.75" customHeight="1" s="237">
      <c r="A169" s="12" t="n"/>
      <c r="B169" s="287" t="n"/>
      <c r="C169" s="12" t="n"/>
      <c r="D169" s="12" t="n"/>
      <c r="E169" s="236" t="n"/>
      <c r="F169" s="236" t="n"/>
      <c r="G169" s="288" t="n"/>
      <c r="H169" s="12" t="n"/>
      <c r="I169" s="236" t="n"/>
      <c r="J169" s="287" t="n"/>
      <c r="K169" s="236" t="n"/>
      <c r="L169" s="157" t="n"/>
      <c r="M169" s="236" t="n"/>
      <c r="N169" s="236" t="n"/>
      <c r="O169" s="236" t="n"/>
      <c r="P169" s="287" t="n"/>
      <c r="Q169" s="236" t="n"/>
      <c r="R169" s="236" t="n"/>
      <c r="S169" s="20" t="n"/>
      <c r="T169" s="20" t="n"/>
      <c r="U169" s="20" t="n"/>
    </row>
    <row r="170" ht="15.75" customHeight="1" s="237">
      <c r="A170" s="12" t="n"/>
      <c r="B170" s="287" t="n"/>
      <c r="C170" s="12" t="n"/>
      <c r="D170" s="12" t="n"/>
      <c r="E170" s="236" t="n"/>
      <c r="F170" s="236" t="n"/>
      <c r="G170" s="288" t="n"/>
      <c r="H170" s="12" t="n"/>
      <c r="I170" s="236" t="n"/>
      <c r="J170" s="287" t="n"/>
      <c r="K170" s="236" t="n"/>
      <c r="L170" s="157" t="n"/>
      <c r="M170" s="236" t="n"/>
      <c r="N170" s="236" t="n"/>
      <c r="O170" s="236" t="n"/>
      <c r="P170" s="287" t="n"/>
      <c r="Q170" s="236" t="n"/>
      <c r="R170" s="236" t="n"/>
      <c r="S170" s="20" t="n"/>
      <c r="T170" s="20" t="n"/>
      <c r="U170" s="20" t="n"/>
    </row>
    <row r="171" ht="15.75" customHeight="1" s="237">
      <c r="A171" s="12" t="n"/>
      <c r="B171" s="287" t="n"/>
      <c r="C171" s="12" t="n"/>
      <c r="D171" s="12" t="n"/>
      <c r="E171" s="236" t="n"/>
      <c r="F171" s="236" t="n"/>
      <c r="G171" s="288" t="n"/>
      <c r="H171" s="12" t="n"/>
      <c r="I171" s="236" t="n"/>
      <c r="J171" s="287" t="n"/>
      <c r="K171" s="236" t="n"/>
      <c r="L171" s="157" t="n"/>
      <c r="M171" s="236" t="n"/>
      <c r="N171" s="236" t="n"/>
      <c r="O171" s="236" t="n"/>
      <c r="P171" s="287" t="n"/>
      <c r="Q171" s="236" t="n"/>
      <c r="R171" s="236" t="n"/>
      <c r="S171" s="20" t="n"/>
      <c r="T171" s="20" t="n"/>
      <c r="U171" s="20" t="n"/>
    </row>
    <row r="172" ht="15.75" customHeight="1" s="237">
      <c r="A172" s="12" t="n"/>
      <c r="B172" s="287" t="n"/>
      <c r="C172" s="12" t="n"/>
      <c r="D172" s="12" t="n"/>
      <c r="E172" s="236" t="n"/>
      <c r="F172" s="236" t="n"/>
      <c r="G172" s="288" t="n"/>
      <c r="H172" s="12" t="n"/>
      <c r="I172" s="236" t="n"/>
      <c r="J172" s="287" t="n"/>
      <c r="K172" s="236" t="n"/>
      <c r="L172" s="157" t="n"/>
      <c r="M172" s="236" t="n"/>
      <c r="N172" s="236" t="n"/>
      <c r="O172" s="236" t="n"/>
      <c r="P172" s="287" t="n"/>
      <c r="Q172" s="236" t="n"/>
      <c r="R172" s="236" t="n"/>
      <c r="S172" s="20" t="n"/>
      <c r="T172" s="20" t="n"/>
      <c r="U172" s="20" t="n"/>
    </row>
    <row r="173" ht="15.75" customHeight="1" s="237">
      <c r="A173" s="12" t="n"/>
      <c r="B173" s="287" t="n"/>
      <c r="C173" s="12" t="n"/>
      <c r="D173" s="12" t="n"/>
      <c r="E173" s="236" t="n"/>
      <c r="F173" s="236" t="n"/>
      <c r="G173" s="288" t="n"/>
      <c r="H173" s="12" t="n"/>
      <c r="I173" s="236" t="n"/>
      <c r="J173" s="287" t="n"/>
      <c r="K173" s="236" t="n"/>
      <c r="L173" s="157" t="n"/>
      <c r="M173" s="236" t="n"/>
      <c r="N173" s="236" t="n"/>
      <c r="O173" s="236" t="n"/>
      <c r="P173" s="287" t="n"/>
      <c r="Q173" s="236" t="n"/>
      <c r="R173" s="236" t="n"/>
      <c r="S173" s="20" t="n"/>
      <c r="T173" s="20" t="n"/>
      <c r="U173" s="20" t="n"/>
    </row>
    <row r="174" ht="15.75" customHeight="1" s="237">
      <c r="A174" s="12" t="n"/>
      <c r="B174" s="287" t="n"/>
      <c r="C174" s="12" t="n"/>
      <c r="D174" s="12" t="n"/>
      <c r="E174" s="236" t="n"/>
      <c r="F174" s="236" t="n"/>
      <c r="G174" s="288" t="n"/>
      <c r="H174" s="12" t="n"/>
      <c r="I174" s="236" t="n"/>
      <c r="J174" s="287" t="n"/>
      <c r="K174" s="236" t="n"/>
      <c r="L174" s="157" t="n"/>
      <c r="M174" s="236" t="n"/>
      <c r="N174" s="236" t="n"/>
      <c r="O174" s="236" t="n"/>
      <c r="P174" s="287" t="n"/>
      <c r="Q174" s="236" t="n"/>
      <c r="R174" s="236" t="n"/>
      <c r="S174" s="20" t="n"/>
      <c r="T174" s="20" t="n"/>
      <c r="U174" s="20" t="n"/>
    </row>
    <row r="175" ht="15.75" customHeight="1" s="237">
      <c r="A175" s="12" t="n"/>
      <c r="B175" s="287" t="n"/>
      <c r="C175" s="12" t="n"/>
      <c r="D175" s="12" t="n"/>
      <c r="E175" s="236" t="n"/>
      <c r="F175" s="236" t="n"/>
      <c r="G175" s="288" t="n"/>
      <c r="H175" s="12" t="n"/>
      <c r="I175" s="236" t="n"/>
      <c r="J175" s="287" t="n"/>
      <c r="K175" s="236" t="n"/>
      <c r="L175" s="157" t="n"/>
      <c r="M175" s="236" t="n"/>
      <c r="N175" s="236" t="n"/>
      <c r="O175" s="236" t="n"/>
      <c r="P175" s="287" t="n"/>
      <c r="Q175" s="236" t="n"/>
      <c r="R175" s="236" t="n"/>
      <c r="S175" s="20" t="n"/>
      <c r="T175" s="20" t="n"/>
      <c r="U175" s="20" t="n"/>
    </row>
    <row r="176" ht="15.75" customHeight="1" s="237">
      <c r="A176" s="12" t="n"/>
      <c r="B176" s="287" t="n"/>
      <c r="C176" s="12" t="n"/>
      <c r="D176" s="12" t="n"/>
      <c r="E176" s="236" t="n"/>
      <c r="F176" s="236" t="n"/>
      <c r="G176" s="288" t="n"/>
      <c r="H176" s="12" t="n"/>
      <c r="I176" s="236" t="n"/>
      <c r="J176" s="287" t="n"/>
      <c r="K176" s="236" t="n"/>
      <c r="L176" s="157" t="n"/>
      <c r="M176" s="236" t="n"/>
      <c r="N176" s="236" t="n"/>
      <c r="O176" s="236" t="n"/>
      <c r="P176" s="287" t="n"/>
      <c r="Q176" s="236" t="n"/>
      <c r="R176" s="236" t="n"/>
      <c r="S176" s="20" t="n"/>
      <c r="T176" s="20" t="n"/>
      <c r="U176" s="20" t="n"/>
    </row>
    <row r="177" ht="15.75" customHeight="1" s="237">
      <c r="A177" s="12" t="n"/>
      <c r="B177" s="287" t="n"/>
      <c r="C177" s="12" t="n"/>
      <c r="D177" s="12" t="n"/>
      <c r="E177" s="236" t="n"/>
      <c r="F177" s="236" t="n"/>
      <c r="G177" s="288" t="n"/>
      <c r="H177" s="12" t="n"/>
      <c r="I177" s="236" t="n"/>
      <c r="J177" s="287" t="n"/>
      <c r="K177" s="236" t="n"/>
      <c r="L177" s="157" t="n"/>
      <c r="M177" s="236" t="n"/>
      <c r="N177" s="236" t="n"/>
      <c r="O177" s="236" t="n"/>
      <c r="P177" s="287" t="n"/>
      <c r="Q177" s="236" t="n"/>
      <c r="R177" s="236" t="n"/>
      <c r="S177" s="20" t="n"/>
      <c r="T177" s="20" t="n"/>
      <c r="U177" s="20" t="n"/>
    </row>
    <row r="178" ht="15.75" customHeight="1" s="237">
      <c r="A178" s="12" t="n"/>
      <c r="B178" s="287" t="n"/>
      <c r="C178" s="12" t="n"/>
      <c r="D178" s="12" t="n"/>
      <c r="E178" s="236" t="n"/>
      <c r="F178" s="236" t="n"/>
      <c r="G178" s="288" t="n"/>
      <c r="H178" s="12" t="n"/>
      <c r="I178" s="236" t="n"/>
      <c r="J178" s="287" t="n"/>
      <c r="K178" s="236" t="n"/>
      <c r="L178" s="157" t="n"/>
      <c r="M178" s="236" t="n"/>
      <c r="N178" s="236" t="n"/>
      <c r="O178" s="236" t="n"/>
      <c r="P178" s="287" t="n"/>
      <c r="Q178" s="236" t="n"/>
      <c r="R178" s="236" t="n"/>
      <c r="S178" s="20" t="n"/>
      <c r="T178" s="20" t="n"/>
      <c r="U178" s="20" t="n"/>
    </row>
    <row r="179" ht="15.75" customHeight="1" s="237">
      <c r="A179" s="12" t="n"/>
      <c r="B179" s="287" t="n"/>
      <c r="C179" s="12" t="n"/>
      <c r="D179" s="12" t="n"/>
      <c r="E179" s="236" t="n"/>
      <c r="F179" s="236" t="n"/>
      <c r="G179" s="288" t="n"/>
      <c r="H179" s="12" t="n"/>
      <c r="I179" s="236" t="n"/>
      <c r="J179" s="287" t="n"/>
      <c r="K179" s="236" t="n"/>
      <c r="L179" s="157" t="n"/>
      <c r="M179" s="236" t="n"/>
      <c r="N179" s="236" t="n"/>
      <c r="O179" s="236" t="n"/>
      <c r="P179" s="287" t="n"/>
      <c r="Q179" s="236" t="n"/>
      <c r="R179" s="236" t="n"/>
      <c r="S179" s="20" t="n"/>
      <c r="T179" s="20" t="n"/>
      <c r="U179" s="20" t="n"/>
    </row>
    <row r="180" ht="15.75" customHeight="1" s="237">
      <c r="A180" s="12" t="n"/>
      <c r="B180" s="287" t="n"/>
      <c r="C180" s="12" t="n"/>
      <c r="D180" s="12" t="n"/>
      <c r="E180" s="236" t="n"/>
      <c r="F180" s="236" t="n"/>
      <c r="G180" s="288" t="n"/>
      <c r="H180" s="12" t="n"/>
      <c r="I180" s="236" t="n"/>
      <c r="J180" s="287" t="n"/>
      <c r="K180" s="236" t="n"/>
      <c r="L180" s="157" t="n"/>
      <c r="M180" s="236" t="n"/>
      <c r="N180" s="236" t="n"/>
      <c r="O180" s="236" t="n"/>
      <c r="P180" s="287" t="n"/>
      <c r="Q180" s="236" t="n"/>
      <c r="R180" s="236" t="n"/>
      <c r="S180" s="20" t="n"/>
      <c r="T180" s="20" t="n"/>
      <c r="U180" s="20" t="n"/>
    </row>
    <row r="181" ht="15.75" customHeight="1" s="237">
      <c r="A181" s="12" t="n"/>
      <c r="B181" s="287" t="n"/>
      <c r="C181" s="12" t="n"/>
      <c r="D181" s="12" t="n"/>
      <c r="E181" s="236" t="n"/>
      <c r="F181" s="236" t="n"/>
      <c r="G181" s="288" t="n"/>
      <c r="H181" s="12" t="n"/>
      <c r="I181" s="236" t="n"/>
      <c r="J181" s="287" t="n"/>
      <c r="K181" s="236" t="n"/>
      <c r="L181" s="157" t="n"/>
      <c r="M181" s="236" t="n"/>
      <c r="N181" s="236" t="n"/>
      <c r="O181" s="236" t="n"/>
      <c r="P181" s="287" t="n"/>
      <c r="Q181" s="236" t="n"/>
      <c r="R181" s="236" t="n"/>
      <c r="S181" s="20" t="n"/>
      <c r="T181" s="20" t="n"/>
      <c r="U181" s="20" t="n"/>
    </row>
    <row r="182" ht="15.75" customHeight="1" s="237">
      <c r="A182" s="12" t="n"/>
      <c r="B182" s="287" t="n"/>
      <c r="C182" s="12" t="n"/>
      <c r="D182" s="12" t="n"/>
      <c r="E182" s="236" t="n"/>
      <c r="F182" s="236" t="n"/>
      <c r="G182" s="288" t="n"/>
      <c r="H182" s="12" t="n"/>
      <c r="I182" s="236" t="n"/>
      <c r="J182" s="287" t="n"/>
      <c r="K182" s="236" t="n"/>
      <c r="L182" s="157" t="n"/>
      <c r="M182" s="236" t="n"/>
      <c r="N182" s="236" t="n"/>
      <c r="O182" s="236" t="n"/>
      <c r="P182" s="287" t="n"/>
      <c r="Q182" s="236" t="n"/>
      <c r="R182" s="236" t="n"/>
      <c r="S182" s="20" t="n"/>
      <c r="T182" s="20" t="n"/>
      <c r="U182" s="20" t="n"/>
    </row>
    <row r="183" ht="15.75" customHeight="1" s="237">
      <c r="A183" s="12" t="n"/>
      <c r="B183" s="287" t="n"/>
      <c r="C183" s="12" t="n"/>
      <c r="D183" s="12" t="n"/>
      <c r="E183" s="236" t="n"/>
      <c r="F183" s="236" t="n"/>
      <c r="G183" s="288" t="n"/>
      <c r="H183" s="12" t="n"/>
      <c r="I183" s="236" t="n"/>
      <c r="J183" s="287" t="n"/>
      <c r="K183" s="236" t="n"/>
      <c r="L183" s="157" t="n"/>
      <c r="M183" s="236" t="n"/>
      <c r="N183" s="236" t="n"/>
      <c r="O183" s="236" t="n"/>
      <c r="P183" s="287" t="n"/>
      <c r="Q183" s="236" t="n"/>
      <c r="R183" s="236" t="n"/>
      <c r="S183" s="20" t="n"/>
      <c r="T183" s="20" t="n"/>
      <c r="U183" s="20" t="n"/>
    </row>
    <row r="184" ht="15.75" customHeight="1" s="237">
      <c r="A184" s="12" t="n"/>
      <c r="B184" s="287" t="n"/>
      <c r="C184" s="12" t="n"/>
      <c r="D184" s="12" t="n"/>
      <c r="E184" s="236" t="n"/>
      <c r="F184" s="236" t="n"/>
      <c r="G184" s="288" t="n"/>
      <c r="H184" s="12" t="n"/>
      <c r="I184" s="236" t="n"/>
      <c r="J184" s="287" t="n"/>
      <c r="K184" s="236" t="n"/>
      <c r="L184" s="157" t="n"/>
      <c r="M184" s="236" t="n"/>
      <c r="N184" s="236" t="n"/>
      <c r="O184" s="236" t="n"/>
      <c r="P184" s="287" t="n"/>
      <c r="Q184" s="236" t="n"/>
      <c r="R184" s="236" t="n"/>
      <c r="S184" s="20" t="n"/>
      <c r="T184" s="20" t="n"/>
      <c r="U184" s="20" t="n"/>
    </row>
    <row r="185" ht="15.75" customHeight="1" s="237">
      <c r="A185" s="12" t="n"/>
      <c r="B185" s="287" t="n"/>
      <c r="C185" s="12" t="n"/>
      <c r="D185" s="12" t="n"/>
      <c r="E185" s="236" t="n"/>
      <c r="F185" s="236" t="n"/>
      <c r="G185" s="288" t="n"/>
      <c r="H185" s="12" t="n"/>
      <c r="I185" s="236" t="n"/>
      <c r="J185" s="287" t="n"/>
      <c r="K185" s="236" t="n"/>
      <c r="L185" s="157" t="n"/>
      <c r="M185" s="236" t="n"/>
      <c r="N185" s="236" t="n"/>
      <c r="O185" s="236" t="n"/>
      <c r="P185" s="287" t="n"/>
      <c r="Q185" s="236" t="n"/>
      <c r="R185" s="236" t="n"/>
      <c r="S185" s="20" t="n"/>
      <c r="T185" s="20" t="n"/>
      <c r="U185" s="20" t="n"/>
    </row>
    <row r="186" ht="15.75" customHeight="1" s="237">
      <c r="A186" s="12" t="n"/>
      <c r="B186" s="287" t="n"/>
      <c r="C186" s="12" t="n"/>
      <c r="D186" s="12" t="n"/>
      <c r="E186" s="236" t="n"/>
      <c r="F186" s="236" t="n"/>
      <c r="G186" s="288" t="n"/>
      <c r="H186" s="12" t="n"/>
      <c r="I186" s="236" t="n"/>
      <c r="J186" s="287" t="n"/>
      <c r="K186" s="236" t="n"/>
      <c r="L186" s="157" t="n"/>
      <c r="M186" s="236" t="n"/>
      <c r="N186" s="236" t="n"/>
      <c r="O186" s="236" t="n"/>
      <c r="P186" s="287" t="n"/>
      <c r="Q186" s="236" t="n"/>
      <c r="R186" s="236" t="n"/>
      <c r="S186" s="20" t="n"/>
      <c r="T186" s="20" t="n"/>
      <c r="U186" s="20" t="n"/>
    </row>
    <row r="187" ht="15.75" customHeight="1" s="237">
      <c r="A187" s="12" t="n"/>
      <c r="B187" s="287" t="n"/>
      <c r="C187" s="12" t="n"/>
      <c r="D187" s="12" t="n"/>
      <c r="E187" s="236" t="n"/>
      <c r="F187" s="236" t="n"/>
      <c r="G187" s="288" t="n"/>
      <c r="H187" s="12" t="n"/>
      <c r="I187" s="236" t="n"/>
      <c r="J187" s="287" t="n"/>
      <c r="K187" s="236" t="n"/>
      <c r="L187" s="157" t="n"/>
      <c r="M187" s="236" t="n"/>
      <c r="N187" s="236" t="n"/>
      <c r="O187" s="236" t="n"/>
      <c r="P187" s="287" t="n"/>
      <c r="Q187" s="236" t="n"/>
      <c r="R187" s="236" t="n"/>
      <c r="S187" s="20" t="n"/>
      <c r="T187" s="20" t="n"/>
      <c r="U187" s="20" t="n"/>
    </row>
    <row r="188" ht="15.75" customHeight="1" s="237">
      <c r="A188" s="12" t="n"/>
      <c r="B188" s="287" t="n"/>
      <c r="C188" s="12" t="n"/>
      <c r="D188" s="12" t="n"/>
      <c r="E188" s="236" t="n"/>
      <c r="F188" s="236" t="n"/>
      <c r="G188" s="288" t="n"/>
      <c r="H188" s="12" t="n"/>
      <c r="I188" s="236" t="n"/>
      <c r="J188" s="287" t="n"/>
      <c r="K188" s="236" t="n"/>
      <c r="L188" s="157" t="n"/>
      <c r="M188" s="236" t="n"/>
      <c r="N188" s="236" t="n"/>
      <c r="O188" s="236" t="n"/>
      <c r="P188" s="287" t="n"/>
      <c r="Q188" s="236" t="n"/>
      <c r="R188" s="236" t="n"/>
      <c r="S188" s="20" t="n"/>
      <c r="T188" s="20" t="n"/>
      <c r="U188" s="20" t="n"/>
    </row>
    <row r="189" ht="15.75" customHeight="1" s="237">
      <c r="A189" s="12" t="n"/>
      <c r="B189" s="287" t="n"/>
      <c r="C189" s="12" t="n"/>
      <c r="D189" s="12" t="n"/>
      <c r="E189" s="236" t="n"/>
      <c r="F189" s="236" t="n"/>
      <c r="G189" s="288" t="n"/>
      <c r="H189" s="12" t="n"/>
      <c r="I189" s="236" t="n"/>
      <c r="J189" s="287" t="n"/>
      <c r="K189" s="236" t="n"/>
      <c r="L189" s="157" t="n"/>
      <c r="M189" s="236" t="n"/>
      <c r="N189" s="236" t="n"/>
      <c r="O189" s="236" t="n"/>
      <c r="P189" s="287" t="n"/>
      <c r="Q189" s="236" t="n"/>
      <c r="R189" s="236" t="n"/>
      <c r="S189" s="20" t="n"/>
      <c r="T189" s="20" t="n"/>
      <c r="U189" s="20" t="n"/>
    </row>
    <row r="190" ht="15.75" customHeight="1" s="237">
      <c r="A190" s="21" t="n"/>
      <c r="H190" s="21" t="n"/>
      <c r="I190" s="22" t="n"/>
      <c r="K190" s="22" t="n"/>
      <c r="O190" s="22" t="n"/>
      <c r="R190" s="21" t="n"/>
      <c r="S190" s="80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2" t="n"/>
      <c r="R191" s="21" t="n"/>
      <c r="S191" s="80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2" t="n"/>
      <c r="R192" s="21" t="n"/>
      <c r="S192" s="80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2" t="n"/>
      <c r="R193" s="21" t="n"/>
      <c r="S193" s="80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2" t="n"/>
      <c r="R194" s="21" t="n"/>
      <c r="S194" s="80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2" t="n"/>
      <c r="R195" s="21" t="n"/>
      <c r="S195" s="80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2" t="n"/>
      <c r="R196" s="21" t="n"/>
      <c r="S196" s="80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2" t="n"/>
      <c r="R197" s="21" t="n"/>
      <c r="S197" s="80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2" t="n"/>
      <c r="R198" s="21" t="n"/>
      <c r="S198" s="80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2" t="n"/>
      <c r="R199" s="21" t="n"/>
      <c r="S199" s="80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2" t="n"/>
      <c r="R200" s="21" t="n"/>
      <c r="S200" s="80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2" t="n"/>
      <c r="R201" s="21" t="n"/>
      <c r="S201" s="80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2" t="n"/>
      <c r="R202" s="21" t="n"/>
      <c r="S202" s="80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2" t="n"/>
      <c r="R203" s="21" t="n"/>
      <c r="S203" s="80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2" t="n"/>
      <c r="R204" s="21" t="n"/>
      <c r="S204" s="80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2" t="n"/>
      <c r="R205" s="21" t="n"/>
      <c r="S205" s="80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2" t="n"/>
      <c r="R206" s="21" t="n"/>
      <c r="S206" s="80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2" t="n"/>
      <c r="R207" s="21" t="n"/>
      <c r="S207" s="80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2" t="n"/>
      <c r="R208" s="21" t="n"/>
      <c r="S208" s="80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2" t="n"/>
      <c r="R209" s="21" t="n"/>
      <c r="S209" s="80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2" t="n"/>
      <c r="R210" s="21" t="n"/>
      <c r="S210" s="80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2" t="n"/>
      <c r="R211" s="21" t="n"/>
      <c r="S211" s="80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2" t="n"/>
      <c r="R212" s="21" t="n"/>
      <c r="S212" s="80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2" t="n"/>
      <c r="R213" s="21" t="n"/>
      <c r="S213" s="80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2" t="n"/>
      <c r="R214" s="21" t="n"/>
      <c r="S214" s="80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2" t="n"/>
      <c r="R215" s="21" t="n"/>
      <c r="S215" s="80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2" t="n"/>
      <c r="R216" s="21" t="n"/>
      <c r="S216" s="80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2" t="n"/>
      <c r="R217" s="21" t="n"/>
      <c r="S217" s="80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2" t="n"/>
      <c r="R218" s="21" t="n"/>
      <c r="S218" s="80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2" t="n"/>
      <c r="R219" s="21" t="n"/>
      <c r="S219" s="80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2" t="n"/>
      <c r="R220" s="21" t="n"/>
      <c r="S220" s="80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2" t="n"/>
      <c r="R221" s="21" t="n"/>
      <c r="S221" s="80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2" t="n"/>
      <c r="R222" s="21" t="n"/>
      <c r="S222" s="80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2" t="n"/>
      <c r="R223" s="21" t="n"/>
      <c r="S223" s="80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2" t="n"/>
      <c r="R224" s="21" t="n"/>
      <c r="S224" s="80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2" t="n"/>
      <c r="R225" s="21" t="n"/>
      <c r="S225" s="80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2" t="n"/>
      <c r="R226" s="21" t="n"/>
      <c r="S226" s="80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2" t="n"/>
      <c r="R227" s="21" t="n"/>
      <c r="S227" s="80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2" t="n"/>
      <c r="R228" s="21" t="n"/>
      <c r="S228" s="80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2" t="n"/>
      <c r="R229" s="21" t="n"/>
      <c r="S229" s="80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2" t="n"/>
      <c r="R230" s="21" t="n"/>
      <c r="S230" s="80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2" t="n"/>
      <c r="R231" s="21" t="n"/>
      <c r="S231" s="80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2" t="n"/>
      <c r="R232" s="21" t="n"/>
      <c r="S232" s="80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2" t="n"/>
      <c r="R233" s="21" t="n"/>
      <c r="S233" s="80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2" t="n"/>
      <c r="R234" s="21" t="n"/>
      <c r="S234" s="80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2" t="n"/>
      <c r="R235" s="21" t="n"/>
      <c r="S235" s="80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2" t="n"/>
      <c r="R236" s="21" t="n"/>
      <c r="S236" s="80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2" t="n"/>
      <c r="R237" s="21" t="n"/>
      <c r="S237" s="80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2" t="n"/>
      <c r="R238" s="21" t="n"/>
      <c r="S238" s="80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2" t="n"/>
      <c r="R239" s="21" t="n"/>
      <c r="S239" s="80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2" t="n"/>
      <c r="R240" s="21" t="n"/>
      <c r="S240" s="80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2" t="n"/>
      <c r="R241" s="21" t="n"/>
      <c r="S241" s="80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2" t="n"/>
      <c r="R242" s="21" t="n"/>
      <c r="S242" s="80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2" t="n"/>
      <c r="R243" s="21" t="n"/>
      <c r="S243" s="80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2" t="n"/>
      <c r="R244" s="21" t="n"/>
      <c r="S244" s="80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2" t="n"/>
      <c r="R245" s="21" t="n"/>
      <c r="S245" s="80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2" t="n"/>
      <c r="R246" s="21" t="n"/>
      <c r="S246" s="80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2" t="n"/>
      <c r="R247" s="21" t="n"/>
      <c r="S247" s="80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2" t="n"/>
      <c r="R248" s="21" t="n"/>
      <c r="S248" s="80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2" t="n"/>
      <c r="R249" s="21" t="n"/>
      <c r="S249" s="80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2" t="n"/>
      <c r="R250" s="21" t="n"/>
      <c r="S250" s="80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2" t="n"/>
      <c r="R251" s="21" t="n"/>
      <c r="S251" s="80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2" t="n"/>
      <c r="R252" s="21" t="n"/>
      <c r="S252" s="80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2" t="n"/>
      <c r="R253" s="21" t="n"/>
      <c r="S253" s="80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2" t="n"/>
      <c r="R254" s="21" t="n"/>
      <c r="S254" s="80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2" t="n"/>
      <c r="R255" s="21" t="n"/>
      <c r="S255" s="80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2" t="n"/>
      <c r="R256" s="21" t="n"/>
      <c r="S256" s="80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2" t="n"/>
      <c r="R257" s="21" t="n"/>
      <c r="S257" s="80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2" t="n"/>
      <c r="R258" s="21" t="n"/>
      <c r="S258" s="80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2" t="n"/>
      <c r="R259" s="21" t="n"/>
      <c r="S259" s="80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2" t="n"/>
      <c r="R260" s="21" t="n"/>
      <c r="S260" s="80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2" t="n"/>
      <c r="R261" s="21" t="n"/>
      <c r="S261" s="80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2" t="n"/>
      <c r="R262" s="21" t="n"/>
      <c r="S262" s="80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2" t="n"/>
      <c r="R263" s="21" t="n"/>
      <c r="S263" s="80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2" t="n"/>
      <c r="R264" s="21" t="n"/>
      <c r="S264" s="80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2" t="n"/>
      <c r="R265" s="21" t="n"/>
      <c r="S265" s="80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2" t="n"/>
      <c r="R266" s="21" t="n"/>
      <c r="S266" s="80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2" t="n"/>
      <c r="R267" s="21" t="n"/>
      <c r="S267" s="80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2" t="n"/>
      <c r="R268" s="21" t="n"/>
      <c r="S268" s="80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2" t="n"/>
      <c r="R269" s="21" t="n"/>
      <c r="S269" s="80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2" t="n"/>
      <c r="R270" s="21" t="n"/>
      <c r="S270" s="80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2" t="n"/>
      <c r="R271" s="21" t="n"/>
      <c r="S271" s="80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2" t="n"/>
      <c r="R272" s="21" t="n"/>
      <c r="S272" s="80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2" t="n"/>
      <c r="R273" s="21" t="n"/>
      <c r="S273" s="80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2" t="n"/>
      <c r="R274" s="21" t="n"/>
      <c r="S274" s="80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2" t="n"/>
      <c r="R275" s="21" t="n"/>
      <c r="S275" s="80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2" t="n"/>
      <c r="R276" s="21" t="n"/>
      <c r="S276" s="80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2" t="n"/>
      <c r="R277" s="21" t="n"/>
      <c r="S277" s="80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2" t="n"/>
      <c r="R278" s="21" t="n"/>
      <c r="S278" s="80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2" t="n"/>
      <c r="R279" s="21" t="n"/>
      <c r="S279" s="80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2" t="n"/>
      <c r="R280" s="21" t="n"/>
      <c r="S280" s="80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2" t="n"/>
      <c r="R281" s="21" t="n"/>
      <c r="S281" s="80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2" t="n"/>
      <c r="R282" s="21" t="n"/>
      <c r="S282" s="80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2" t="n"/>
      <c r="R283" s="21" t="n"/>
      <c r="S283" s="80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2" t="n"/>
      <c r="R284" s="21" t="n"/>
      <c r="S284" s="80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2" t="n"/>
      <c r="R285" s="21" t="n"/>
      <c r="S285" s="80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2" t="n"/>
      <c r="R286" s="21" t="n"/>
      <c r="S286" s="80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2" t="n"/>
      <c r="R287" s="21" t="n"/>
      <c r="S287" s="80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2" t="n"/>
      <c r="R288" s="21" t="n"/>
      <c r="S288" s="80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2" t="n"/>
      <c r="R289" s="21" t="n"/>
      <c r="S289" s="80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2" t="n"/>
      <c r="R290" s="21" t="n"/>
      <c r="S290" s="80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2" t="n"/>
      <c r="R291" s="21" t="n"/>
      <c r="S291" s="80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2" t="n"/>
      <c r="R292" s="21" t="n"/>
      <c r="S292" s="80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2" t="n"/>
      <c r="R293" s="21" t="n"/>
      <c r="S293" s="80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2" t="n"/>
      <c r="R294" s="21" t="n"/>
      <c r="S294" s="80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2" t="n"/>
      <c r="R295" s="21" t="n"/>
      <c r="S295" s="80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2" t="n"/>
      <c r="R296" s="21" t="n"/>
      <c r="S296" s="80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2" t="n"/>
      <c r="R297" s="21" t="n"/>
      <c r="S297" s="80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2" t="n"/>
      <c r="R298" s="21" t="n"/>
      <c r="S298" s="80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2" t="n"/>
      <c r="R299" s="21" t="n"/>
      <c r="S299" s="80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2" t="n"/>
      <c r="R300" s="21" t="n"/>
      <c r="S300" s="80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2" t="n"/>
      <c r="R301" s="21" t="n"/>
      <c r="S301" s="80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2" t="n"/>
      <c r="R302" s="21" t="n"/>
      <c r="S302" s="80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2" t="n"/>
      <c r="R303" s="21" t="n"/>
      <c r="S303" s="80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2" t="n"/>
      <c r="R304" s="21" t="n"/>
      <c r="S304" s="80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2" t="n"/>
      <c r="R305" s="21" t="n"/>
      <c r="S305" s="80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2" t="n"/>
      <c r="R306" s="21" t="n"/>
      <c r="S306" s="80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2" t="n"/>
      <c r="R307" s="21" t="n"/>
      <c r="S307" s="80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2" t="n"/>
      <c r="R308" s="21" t="n"/>
      <c r="S308" s="80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2" t="n"/>
      <c r="R309" s="21" t="n"/>
      <c r="S309" s="80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2" t="n"/>
      <c r="R310" s="21" t="n"/>
      <c r="S310" s="80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2" t="n"/>
      <c r="R311" s="21" t="n"/>
      <c r="S311" s="80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2" t="n"/>
      <c r="R312" s="21" t="n"/>
      <c r="S312" s="80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2" t="n"/>
      <c r="R313" s="21" t="n"/>
      <c r="S313" s="80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2" t="n"/>
      <c r="R314" s="21" t="n"/>
      <c r="S314" s="80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2" t="n"/>
      <c r="R315" s="21" t="n"/>
      <c r="S315" s="80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2" t="n"/>
      <c r="R316" s="21" t="n"/>
      <c r="S316" s="80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2" t="n"/>
      <c r="R317" s="21" t="n"/>
      <c r="S317" s="80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2" t="n"/>
      <c r="R318" s="21" t="n"/>
      <c r="S318" s="80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2" t="n"/>
      <c r="R319" s="21" t="n"/>
      <c r="S319" s="80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2" t="n"/>
      <c r="R320" s="21" t="n"/>
      <c r="S320" s="80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2" t="n"/>
      <c r="R321" s="21" t="n"/>
      <c r="S321" s="80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2" t="n"/>
      <c r="R322" s="21" t="n"/>
      <c r="S322" s="80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2" t="n"/>
      <c r="R323" s="21" t="n"/>
      <c r="S323" s="80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2" t="n"/>
      <c r="R324" s="21" t="n"/>
      <c r="S324" s="80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2" t="n"/>
      <c r="R325" s="21" t="n"/>
      <c r="S325" s="80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2" t="n"/>
      <c r="R326" s="21" t="n"/>
      <c r="S326" s="80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2" t="n"/>
      <c r="R327" s="21" t="n"/>
      <c r="S327" s="80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2" t="n"/>
      <c r="R328" s="21" t="n"/>
      <c r="S328" s="80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2" t="n"/>
      <c r="R329" s="21" t="n"/>
      <c r="S329" s="80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2" t="n"/>
      <c r="R330" s="21" t="n"/>
      <c r="S330" s="80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2" t="n"/>
      <c r="R331" s="21" t="n"/>
      <c r="S331" s="80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2" t="n"/>
      <c r="R332" s="21" t="n"/>
      <c r="S332" s="80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2" t="n"/>
      <c r="R333" s="21" t="n"/>
      <c r="S333" s="80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2" t="n"/>
      <c r="R334" s="21" t="n"/>
      <c r="S334" s="80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2" t="n"/>
      <c r="R335" s="21" t="n"/>
      <c r="S335" s="80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2" t="n"/>
      <c r="R336" s="21" t="n"/>
      <c r="S336" s="80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2" t="n"/>
      <c r="R337" s="21" t="n"/>
      <c r="S337" s="80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2" t="n"/>
      <c r="R338" s="21" t="n"/>
      <c r="S338" s="80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2" t="n"/>
      <c r="R339" s="21" t="n"/>
      <c r="S339" s="80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2" t="n"/>
      <c r="R340" s="21" t="n"/>
      <c r="S340" s="80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2" t="n"/>
      <c r="R341" s="21" t="n"/>
      <c r="S341" s="80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2" t="n"/>
      <c r="R342" s="21" t="n"/>
      <c r="S342" s="80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2" t="n"/>
      <c r="R343" s="21" t="n"/>
      <c r="S343" s="80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2" t="n"/>
      <c r="R344" s="21" t="n"/>
      <c r="S344" s="80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2" t="n"/>
      <c r="R345" s="21" t="n"/>
      <c r="S345" s="80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2" t="n"/>
      <c r="R346" s="21" t="n"/>
      <c r="S346" s="80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2" t="n"/>
      <c r="R347" s="21" t="n"/>
      <c r="S347" s="80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2" t="n"/>
      <c r="R348" s="21" t="n"/>
      <c r="S348" s="80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2" t="n"/>
      <c r="R349" s="21" t="n"/>
      <c r="S349" s="80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2" t="n"/>
      <c r="R350" s="21" t="n"/>
      <c r="S350" s="80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2" t="n"/>
      <c r="R351" s="21" t="n"/>
      <c r="S351" s="80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2" t="n"/>
      <c r="R352" s="21" t="n"/>
      <c r="S352" s="80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2" t="n"/>
      <c r="R353" s="21" t="n"/>
      <c r="S353" s="80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2" t="n"/>
      <c r="R354" s="21" t="n"/>
      <c r="S354" s="80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2" t="n"/>
      <c r="R355" s="21" t="n"/>
      <c r="S355" s="80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2" t="n"/>
      <c r="R356" s="21" t="n"/>
      <c r="S356" s="80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2" t="n"/>
      <c r="R357" s="21" t="n"/>
      <c r="S357" s="80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2" t="n"/>
      <c r="R358" s="21" t="n"/>
      <c r="S358" s="80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2" t="n"/>
      <c r="R359" s="21" t="n"/>
      <c r="S359" s="80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2" t="n"/>
      <c r="R360" s="21" t="n"/>
      <c r="S360" s="80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2" t="n"/>
      <c r="R361" s="21" t="n"/>
      <c r="S361" s="80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2" t="n"/>
      <c r="R362" s="21" t="n"/>
      <c r="S362" s="80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2" t="n"/>
      <c r="R363" s="21" t="n"/>
      <c r="S363" s="80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2" t="n"/>
      <c r="R364" s="21" t="n"/>
      <c r="S364" s="80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2" t="n"/>
      <c r="R365" s="21" t="n"/>
      <c r="S365" s="80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2" t="n"/>
      <c r="R366" s="21" t="n"/>
      <c r="S366" s="80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2" t="n"/>
      <c r="R367" s="21" t="n"/>
      <c r="S367" s="80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2" t="n"/>
      <c r="R368" s="21" t="n"/>
      <c r="S368" s="80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2" t="n"/>
      <c r="R369" s="21" t="n"/>
      <c r="S369" s="80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2" t="n"/>
      <c r="R370" s="21" t="n"/>
      <c r="S370" s="80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2" t="n"/>
      <c r="R371" s="21" t="n"/>
      <c r="S371" s="80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2" t="n"/>
      <c r="R372" s="21" t="n"/>
      <c r="S372" s="80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2" t="n"/>
      <c r="R373" s="21" t="n"/>
      <c r="S373" s="80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2" t="n"/>
      <c r="R374" s="21" t="n"/>
      <c r="S374" s="80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2" t="n"/>
      <c r="R375" s="21" t="n"/>
      <c r="S375" s="80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2" t="n"/>
      <c r="R376" s="21" t="n"/>
      <c r="S376" s="80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2" t="n"/>
      <c r="R377" s="21" t="n"/>
      <c r="S377" s="80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2" t="n"/>
      <c r="R378" s="21" t="n"/>
      <c r="S378" s="80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2" t="n"/>
      <c r="R379" s="21" t="n"/>
      <c r="S379" s="80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2" t="n"/>
      <c r="R380" s="21" t="n"/>
      <c r="S380" s="80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2" t="n"/>
      <c r="R381" s="21" t="n"/>
      <c r="S381" s="80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2" t="n"/>
      <c r="R382" s="21" t="n"/>
      <c r="S382" s="80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2" t="n"/>
      <c r="R383" s="21" t="n"/>
      <c r="S383" s="80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2" t="n"/>
      <c r="R384" s="21" t="n"/>
      <c r="S384" s="80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2" t="n"/>
      <c r="R385" s="21" t="n"/>
      <c r="S385" s="80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2" t="n"/>
      <c r="R386" s="21" t="n"/>
      <c r="S386" s="80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2" t="n"/>
      <c r="R387" s="21" t="n"/>
      <c r="S387" s="80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2" t="n"/>
      <c r="R388" s="21" t="n"/>
      <c r="S388" s="80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2" t="n"/>
      <c r="R389" s="21" t="n"/>
      <c r="S389" s="80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2" t="n"/>
      <c r="R390" s="21" t="n"/>
      <c r="S390" s="80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2" t="n"/>
      <c r="R391" s="21" t="n"/>
      <c r="S391" s="80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2" t="n"/>
      <c r="R392" s="21" t="n"/>
      <c r="S392" s="80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2" t="n"/>
      <c r="R393" s="21" t="n"/>
      <c r="S393" s="80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2" t="n"/>
      <c r="R394" s="21" t="n"/>
      <c r="S394" s="80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2" t="n"/>
      <c r="R395" s="21" t="n"/>
      <c r="S395" s="80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2" t="n"/>
      <c r="R396" s="21" t="n"/>
      <c r="S396" s="80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2" t="n"/>
      <c r="R397" s="21" t="n"/>
      <c r="S397" s="80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2" t="n"/>
      <c r="R398" s="21" t="n"/>
      <c r="S398" s="80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2" t="n"/>
      <c r="R399" s="21" t="n"/>
      <c r="S399" s="80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2" t="n"/>
      <c r="R400" s="21" t="n"/>
      <c r="S400" s="80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2" t="n"/>
      <c r="R401" s="21" t="n"/>
      <c r="S401" s="80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2" t="n"/>
      <c r="R402" s="21" t="n"/>
      <c r="S402" s="80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2" t="n"/>
      <c r="R403" s="21" t="n"/>
      <c r="S403" s="80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2" t="n"/>
      <c r="R404" s="21" t="n"/>
      <c r="S404" s="80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2" t="n"/>
      <c r="R405" s="21" t="n"/>
      <c r="S405" s="80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2" t="n"/>
      <c r="R406" s="21" t="n"/>
      <c r="S406" s="80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2" t="n"/>
      <c r="R407" s="21" t="n"/>
      <c r="S407" s="80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2" t="n"/>
      <c r="R408" s="21" t="n"/>
      <c r="S408" s="80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2" t="n"/>
      <c r="R409" s="21" t="n"/>
      <c r="S409" s="80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2" t="n"/>
      <c r="R410" s="21" t="n"/>
      <c r="S410" s="80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2" t="n"/>
      <c r="R411" s="21" t="n"/>
      <c r="S411" s="80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2" t="n"/>
      <c r="R412" s="21" t="n"/>
      <c r="S412" s="80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2" t="n"/>
      <c r="R413" s="21" t="n"/>
      <c r="S413" s="80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2" t="n"/>
      <c r="R414" s="21" t="n"/>
      <c r="S414" s="80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2" t="n"/>
      <c r="R415" s="21" t="n"/>
      <c r="S415" s="80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2" t="n"/>
      <c r="R416" s="21" t="n"/>
      <c r="S416" s="80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2" t="n"/>
      <c r="R417" s="21" t="n"/>
      <c r="S417" s="80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2" t="n"/>
      <c r="R418" s="21" t="n"/>
      <c r="S418" s="80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2" t="n"/>
      <c r="R419" s="21" t="n"/>
      <c r="S419" s="80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2" t="n"/>
      <c r="R420" s="21" t="n"/>
      <c r="S420" s="80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2" t="n"/>
      <c r="R421" s="21" t="n"/>
      <c r="S421" s="80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2" t="n"/>
      <c r="R422" s="21" t="n"/>
      <c r="S422" s="80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2" t="n"/>
      <c r="R423" s="21" t="n"/>
      <c r="S423" s="80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2" t="n"/>
      <c r="R424" s="21" t="n"/>
      <c r="S424" s="80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2" t="n"/>
      <c r="R425" s="21" t="n"/>
      <c r="S425" s="80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2" t="n"/>
      <c r="R426" s="21" t="n"/>
      <c r="S426" s="80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2" t="n"/>
      <c r="R427" s="21" t="n"/>
      <c r="S427" s="80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2" t="n"/>
      <c r="R428" s="21" t="n"/>
      <c r="S428" s="80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2" t="n"/>
      <c r="R429" s="21" t="n"/>
      <c r="S429" s="80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2" t="n"/>
      <c r="R430" s="21" t="n"/>
      <c r="S430" s="80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2" t="n"/>
      <c r="R431" s="21" t="n"/>
      <c r="S431" s="80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2" t="n"/>
      <c r="R432" s="21" t="n"/>
      <c r="S432" s="80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2" t="n"/>
      <c r="R433" s="21" t="n"/>
      <c r="S433" s="80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2" t="n"/>
      <c r="R434" s="21" t="n"/>
      <c r="S434" s="80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2" t="n"/>
      <c r="R435" s="21" t="n"/>
      <c r="S435" s="80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2" t="n"/>
      <c r="R436" s="21" t="n"/>
      <c r="S436" s="80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2" t="n"/>
      <c r="R437" s="21" t="n"/>
      <c r="S437" s="80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2" t="n"/>
      <c r="R438" s="21" t="n"/>
      <c r="S438" s="80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2" t="n"/>
      <c r="R439" s="21" t="n"/>
      <c r="S439" s="80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2" t="n"/>
      <c r="R440" s="21" t="n"/>
      <c r="S440" s="80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2" t="n"/>
      <c r="R441" s="21" t="n"/>
      <c r="S441" s="80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2" t="n"/>
      <c r="R442" s="21" t="n"/>
      <c r="S442" s="80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2" t="n"/>
      <c r="R443" s="21" t="n"/>
      <c r="S443" s="80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2" t="n"/>
      <c r="R444" s="21" t="n"/>
      <c r="S444" s="80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2" t="n"/>
      <c r="R445" s="21" t="n"/>
      <c r="S445" s="80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2" t="n"/>
      <c r="R446" s="21" t="n"/>
      <c r="S446" s="80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2" t="n"/>
      <c r="R447" s="21" t="n"/>
      <c r="S447" s="80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2" t="n"/>
      <c r="R448" s="21" t="n"/>
      <c r="S448" s="80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2" t="n"/>
      <c r="R449" s="21" t="n"/>
      <c r="S449" s="80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2" t="n"/>
      <c r="R450" s="21" t="n"/>
      <c r="S450" s="80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2" t="n"/>
      <c r="R451" s="21" t="n"/>
      <c r="S451" s="80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2" t="n"/>
      <c r="R452" s="21" t="n"/>
      <c r="S452" s="80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2" t="n"/>
      <c r="R453" s="21" t="n"/>
      <c r="S453" s="80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2" t="n"/>
      <c r="R454" s="21" t="n"/>
      <c r="S454" s="80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2" t="n"/>
      <c r="R455" s="21" t="n"/>
      <c r="S455" s="80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2" t="n"/>
      <c r="R456" s="21" t="n"/>
      <c r="S456" s="80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2" t="n"/>
      <c r="R457" s="21" t="n"/>
      <c r="S457" s="80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2" t="n"/>
      <c r="R458" s="21" t="n"/>
      <c r="S458" s="80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2" t="n"/>
      <c r="R459" s="21" t="n"/>
      <c r="S459" s="80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2" t="n"/>
      <c r="R460" s="21" t="n"/>
      <c r="S460" s="80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2" t="n"/>
      <c r="R461" s="21" t="n"/>
      <c r="S461" s="80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2" t="n"/>
      <c r="R462" s="21" t="n"/>
      <c r="S462" s="80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2" t="n"/>
      <c r="R463" s="21" t="n"/>
      <c r="S463" s="80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2" t="n"/>
      <c r="R464" s="21" t="n"/>
      <c r="S464" s="80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2" t="n"/>
      <c r="R465" s="21" t="n"/>
      <c r="S465" s="80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2" t="n"/>
      <c r="R466" s="21" t="n"/>
      <c r="S466" s="80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2" t="n"/>
      <c r="R467" s="21" t="n"/>
      <c r="S467" s="80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2" t="n"/>
      <c r="R468" s="21" t="n"/>
      <c r="S468" s="80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2" t="n"/>
      <c r="R469" s="21" t="n"/>
      <c r="S469" s="80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2" t="n"/>
      <c r="R470" s="21" t="n"/>
      <c r="S470" s="80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2" t="n"/>
      <c r="R471" s="21" t="n"/>
      <c r="S471" s="80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2" t="n"/>
      <c r="R472" s="21" t="n"/>
      <c r="S472" s="80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2" t="n"/>
      <c r="R473" s="21" t="n"/>
      <c r="S473" s="80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2" t="n"/>
      <c r="R474" s="21" t="n"/>
      <c r="S474" s="80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2" t="n"/>
      <c r="R475" s="21" t="n"/>
      <c r="S475" s="80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2" t="n"/>
      <c r="R476" s="21" t="n"/>
      <c r="S476" s="80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2" t="n"/>
      <c r="R477" s="21" t="n"/>
      <c r="S477" s="80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2" t="n"/>
      <c r="R478" s="21" t="n"/>
      <c r="S478" s="80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2" t="n"/>
      <c r="R479" s="21" t="n"/>
      <c r="S479" s="80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2" t="n"/>
      <c r="R480" s="21" t="n"/>
      <c r="S480" s="80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2" t="n"/>
      <c r="R481" s="21" t="n"/>
      <c r="S481" s="80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2" t="n"/>
      <c r="R482" s="21" t="n"/>
      <c r="S482" s="80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2" t="n"/>
      <c r="R483" s="21" t="n"/>
      <c r="S483" s="80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2" t="n"/>
      <c r="R484" s="21" t="n"/>
      <c r="S484" s="80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2" t="n"/>
      <c r="R485" s="21" t="n"/>
      <c r="S485" s="80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2" t="n"/>
      <c r="R486" s="21" t="n"/>
      <c r="S486" s="80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2" t="n"/>
      <c r="R487" s="21" t="n"/>
      <c r="S487" s="80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2" t="n"/>
      <c r="R488" s="21" t="n"/>
      <c r="S488" s="80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2" t="n"/>
      <c r="R489" s="21" t="n"/>
      <c r="S489" s="80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2" t="n"/>
      <c r="R490" s="21" t="n"/>
      <c r="S490" s="80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2" t="n"/>
      <c r="R491" s="21" t="n"/>
      <c r="S491" s="80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2" t="n"/>
      <c r="R492" s="21" t="n"/>
      <c r="S492" s="80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2" t="n"/>
      <c r="R493" s="21" t="n"/>
      <c r="S493" s="80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2" t="n"/>
      <c r="R494" s="21" t="n"/>
      <c r="S494" s="80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2" t="n"/>
      <c r="R495" s="21" t="n"/>
      <c r="S495" s="80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2" t="n"/>
      <c r="R496" s="21" t="n"/>
      <c r="S496" s="80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2" t="n"/>
      <c r="R497" s="21" t="n"/>
      <c r="S497" s="80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2" t="n"/>
      <c r="R498" s="21" t="n"/>
      <c r="S498" s="80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2" t="n"/>
      <c r="R499" s="21" t="n"/>
      <c r="S499" s="80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2" t="n"/>
      <c r="R500" s="21" t="n"/>
      <c r="S500" s="80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2" t="n"/>
      <c r="R501" s="21" t="n"/>
      <c r="S501" s="80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2" t="n"/>
      <c r="R502" s="21" t="n"/>
      <c r="S502" s="80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2" t="n"/>
      <c r="R503" s="21" t="n"/>
      <c r="S503" s="80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2" t="n"/>
      <c r="R504" s="21" t="n"/>
      <c r="S504" s="80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2" t="n"/>
      <c r="R505" s="21" t="n"/>
      <c r="S505" s="80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2" t="n"/>
      <c r="R506" s="21" t="n"/>
      <c r="S506" s="80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2" t="n"/>
      <c r="R507" s="21" t="n"/>
      <c r="S507" s="80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2" t="n"/>
      <c r="R508" s="21" t="n"/>
      <c r="S508" s="80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2" t="n"/>
      <c r="R509" s="21" t="n"/>
      <c r="S509" s="80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2" t="n"/>
      <c r="R510" s="21" t="n"/>
      <c r="S510" s="80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2" t="n"/>
      <c r="R511" s="21" t="n"/>
      <c r="S511" s="80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2" t="n"/>
      <c r="R512" s="21" t="n"/>
      <c r="S512" s="80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2" t="n"/>
      <c r="R513" s="21" t="n"/>
      <c r="S513" s="80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2" t="n"/>
      <c r="R514" s="21" t="n"/>
      <c r="S514" s="80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2" t="n"/>
      <c r="R515" s="21" t="n"/>
      <c r="S515" s="80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2" t="n"/>
      <c r="R516" s="21" t="n"/>
      <c r="S516" s="80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2" t="n"/>
      <c r="R517" s="21" t="n"/>
      <c r="S517" s="80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2" t="n"/>
      <c r="R518" s="21" t="n"/>
      <c r="S518" s="80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2" t="n"/>
      <c r="R519" s="21" t="n"/>
      <c r="S519" s="80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2" t="n"/>
      <c r="R520" s="21" t="n"/>
      <c r="S520" s="80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2" t="n"/>
      <c r="R521" s="21" t="n"/>
      <c r="S521" s="80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2" t="n"/>
      <c r="R522" s="21" t="n"/>
      <c r="S522" s="80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2" t="n"/>
      <c r="R523" s="21" t="n"/>
      <c r="S523" s="80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2" t="n"/>
      <c r="R524" s="21" t="n"/>
      <c r="S524" s="80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2" t="n"/>
      <c r="R525" s="21" t="n"/>
      <c r="S525" s="80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2" t="n"/>
      <c r="R526" s="21" t="n"/>
      <c r="S526" s="80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2" t="n"/>
      <c r="R527" s="21" t="n"/>
      <c r="S527" s="80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2" t="n"/>
      <c r="R528" s="21" t="n"/>
      <c r="S528" s="80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2" t="n"/>
      <c r="R529" s="21" t="n"/>
      <c r="S529" s="80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2" t="n"/>
      <c r="R530" s="21" t="n"/>
      <c r="S530" s="80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2" t="n"/>
      <c r="R531" s="21" t="n"/>
      <c r="S531" s="80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2" t="n"/>
      <c r="R532" s="21" t="n"/>
      <c r="S532" s="80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2" t="n"/>
      <c r="R533" s="21" t="n"/>
      <c r="S533" s="80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2" t="n"/>
      <c r="R534" s="21" t="n"/>
      <c r="S534" s="80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2" t="n"/>
      <c r="R535" s="21" t="n"/>
      <c r="S535" s="80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2" t="n"/>
      <c r="R536" s="21" t="n"/>
      <c r="S536" s="80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2" t="n"/>
      <c r="R537" s="21" t="n"/>
      <c r="S537" s="80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2" t="n"/>
      <c r="R538" s="21" t="n"/>
      <c r="S538" s="80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2" t="n"/>
      <c r="R539" s="21" t="n"/>
      <c r="S539" s="80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2" t="n"/>
      <c r="R540" s="21" t="n"/>
      <c r="S540" s="80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2" t="n"/>
      <c r="R541" s="21" t="n"/>
      <c r="S541" s="80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2" t="n"/>
      <c r="R542" s="21" t="n"/>
      <c r="S542" s="80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2" t="n"/>
      <c r="R543" s="21" t="n"/>
      <c r="S543" s="80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2" t="n"/>
      <c r="R544" s="21" t="n"/>
      <c r="S544" s="80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2" t="n"/>
      <c r="R545" s="21" t="n"/>
      <c r="S545" s="80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2" t="n"/>
      <c r="R546" s="21" t="n"/>
      <c r="S546" s="80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2" t="n"/>
      <c r="R547" s="21" t="n"/>
      <c r="S547" s="80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2" t="n"/>
      <c r="R548" s="21" t="n"/>
      <c r="S548" s="80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2" t="n"/>
      <c r="R549" s="21" t="n"/>
      <c r="S549" s="80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2" t="n"/>
      <c r="R550" s="21" t="n"/>
      <c r="S550" s="80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2" t="n"/>
      <c r="R551" s="21" t="n"/>
      <c r="S551" s="80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2" t="n"/>
      <c r="R552" s="21" t="n"/>
      <c r="S552" s="80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2" t="n"/>
      <c r="R553" s="21" t="n"/>
      <c r="S553" s="80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2" t="n"/>
      <c r="R554" s="21" t="n"/>
      <c r="S554" s="80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2" t="n"/>
      <c r="R555" s="21" t="n"/>
      <c r="S555" s="80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2" t="n"/>
      <c r="R556" s="21" t="n"/>
      <c r="S556" s="80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2" t="n"/>
      <c r="R557" s="21" t="n"/>
      <c r="S557" s="80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2" t="n"/>
      <c r="R558" s="21" t="n"/>
      <c r="S558" s="80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2" t="n"/>
      <c r="R559" s="21" t="n"/>
      <c r="S559" s="80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2" t="n"/>
      <c r="R560" s="21" t="n"/>
      <c r="S560" s="80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2" t="n"/>
      <c r="R561" s="21" t="n"/>
      <c r="S561" s="80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2" t="n"/>
      <c r="R562" s="21" t="n"/>
      <c r="S562" s="80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2" t="n"/>
      <c r="R563" s="21" t="n"/>
      <c r="S563" s="80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2" t="n"/>
      <c r="R564" s="21" t="n"/>
      <c r="S564" s="80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2" t="n"/>
      <c r="R565" s="21" t="n"/>
      <c r="S565" s="80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2" t="n"/>
      <c r="R566" s="21" t="n"/>
      <c r="S566" s="80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2" t="n"/>
      <c r="R567" s="21" t="n"/>
      <c r="S567" s="80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2" t="n"/>
      <c r="R568" s="21" t="n"/>
      <c r="S568" s="80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2" t="n"/>
      <c r="R569" s="21" t="n"/>
      <c r="S569" s="80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2" t="n"/>
      <c r="R570" s="21" t="n"/>
      <c r="S570" s="80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2" t="n"/>
      <c r="R571" s="21" t="n"/>
      <c r="S571" s="80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2" t="n"/>
      <c r="R572" s="21" t="n"/>
      <c r="S572" s="80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2" t="n"/>
      <c r="R573" s="21" t="n"/>
      <c r="S573" s="80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2" t="n"/>
      <c r="R574" s="21" t="n"/>
      <c r="S574" s="80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2" t="n"/>
      <c r="R575" s="21" t="n"/>
      <c r="S575" s="80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2" t="n"/>
      <c r="R576" s="21" t="n"/>
      <c r="S576" s="80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2" t="n"/>
      <c r="R577" s="21" t="n"/>
      <c r="S577" s="80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2" t="n"/>
      <c r="R578" s="21" t="n"/>
      <c r="S578" s="80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2" t="n"/>
      <c r="R579" s="21" t="n"/>
      <c r="S579" s="80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2" t="n"/>
      <c r="R580" s="21" t="n"/>
      <c r="S580" s="80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2" t="n"/>
      <c r="R581" s="21" t="n"/>
      <c r="S581" s="80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2" t="n"/>
      <c r="R582" s="21" t="n"/>
      <c r="S582" s="80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2" t="n"/>
      <c r="R583" s="21" t="n"/>
      <c r="S583" s="80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2" t="n"/>
      <c r="R584" s="21" t="n"/>
      <c r="S584" s="80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2" t="n"/>
      <c r="R585" s="21" t="n"/>
      <c r="S585" s="80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2" t="n"/>
      <c r="R586" s="21" t="n"/>
      <c r="S586" s="80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2" t="n"/>
      <c r="R587" s="21" t="n"/>
      <c r="S587" s="80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2" t="n"/>
      <c r="R588" s="21" t="n"/>
      <c r="S588" s="80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2" t="n"/>
      <c r="R589" s="21" t="n"/>
      <c r="S589" s="80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2" t="n"/>
      <c r="R590" s="21" t="n"/>
      <c r="S590" s="80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2" t="n"/>
      <c r="R591" s="21" t="n"/>
      <c r="S591" s="80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2" t="n"/>
      <c r="R592" s="21" t="n"/>
      <c r="S592" s="80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2" t="n"/>
      <c r="R593" s="21" t="n"/>
      <c r="S593" s="80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2" t="n"/>
      <c r="R594" s="21" t="n"/>
      <c r="S594" s="80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2" t="n"/>
      <c r="R595" s="21" t="n"/>
      <c r="S595" s="80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2" t="n"/>
      <c r="R596" s="21" t="n"/>
      <c r="S596" s="80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2" t="n"/>
      <c r="R597" s="21" t="n"/>
      <c r="S597" s="80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2" t="n"/>
      <c r="R598" s="21" t="n"/>
      <c r="S598" s="80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2" t="n"/>
      <c r="R599" s="21" t="n"/>
      <c r="S599" s="80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2" t="n"/>
      <c r="R600" s="21" t="n"/>
      <c r="S600" s="80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2" t="n"/>
      <c r="R601" s="21" t="n"/>
      <c r="S601" s="80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2" t="n"/>
      <c r="R602" s="21" t="n"/>
      <c r="S602" s="80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2" t="n"/>
      <c r="R603" s="21" t="n"/>
      <c r="S603" s="80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2" t="n"/>
      <c r="R604" s="21" t="n"/>
      <c r="S604" s="80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2" t="n"/>
      <c r="R605" s="21" t="n"/>
      <c r="S605" s="80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2" t="n"/>
      <c r="R606" s="21" t="n"/>
      <c r="S606" s="80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2" t="n"/>
      <c r="R607" s="21" t="n"/>
      <c r="S607" s="80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2" t="n"/>
      <c r="R608" s="21" t="n"/>
      <c r="S608" s="80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2" t="n"/>
      <c r="R609" s="21" t="n"/>
      <c r="S609" s="80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2" t="n"/>
      <c r="R610" s="21" t="n"/>
      <c r="S610" s="80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2" t="n"/>
      <c r="R611" s="21" t="n"/>
      <c r="S611" s="80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2" t="n"/>
      <c r="R612" s="21" t="n"/>
      <c r="S612" s="80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2" t="n"/>
      <c r="R613" s="21" t="n"/>
      <c r="S613" s="80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2" t="n"/>
      <c r="R614" s="21" t="n"/>
      <c r="S614" s="80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2" t="n"/>
      <c r="R615" s="21" t="n"/>
      <c r="S615" s="80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2" t="n"/>
      <c r="R616" s="21" t="n"/>
      <c r="S616" s="80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2" t="n"/>
      <c r="R617" s="21" t="n"/>
      <c r="S617" s="80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2" t="n"/>
      <c r="R618" s="21" t="n"/>
      <c r="S618" s="80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2" t="n"/>
      <c r="R619" s="21" t="n"/>
      <c r="S619" s="80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2" t="n"/>
      <c r="R620" s="21" t="n"/>
      <c r="S620" s="80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2" t="n"/>
      <c r="R621" s="21" t="n"/>
      <c r="S621" s="80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2" t="n"/>
      <c r="R622" s="21" t="n"/>
      <c r="S622" s="80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2" t="n"/>
      <c r="R623" s="21" t="n"/>
      <c r="S623" s="80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2" t="n"/>
      <c r="R624" s="21" t="n"/>
      <c r="S624" s="80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2" t="n"/>
      <c r="R625" s="21" t="n"/>
      <c r="S625" s="80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2" t="n"/>
      <c r="R626" s="21" t="n"/>
      <c r="S626" s="80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2" t="n"/>
      <c r="R627" s="21" t="n"/>
      <c r="S627" s="80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2" t="n"/>
      <c r="R628" s="21" t="n"/>
      <c r="S628" s="80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2" t="n"/>
      <c r="R629" s="21" t="n"/>
      <c r="S629" s="80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2" t="n"/>
      <c r="R630" s="21" t="n"/>
      <c r="S630" s="80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2" t="n"/>
      <c r="R631" s="21" t="n"/>
      <c r="S631" s="80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2" t="n"/>
      <c r="R632" s="21" t="n"/>
      <c r="S632" s="80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2" t="n"/>
      <c r="R633" s="21" t="n"/>
      <c r="S633" s="80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2" t="n"/>
      <c r="R634" s="21" t="n"/>
      <c r="S634" s="80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2" t="n"/>
      <c r="R635" s="21" t="n"/>
      <c r="S635" s="80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2" t="n"/>
      <c r="R636" s="21" t="n"/>
      <c r="S636" s="80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2" t="n"/>
      <c r="R637" s="21" t="n"/>
      <c r="S637" s="80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2" t="n"/>
      <c r="R638" s="21" t="n"/>
      <c r="S638" s="80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2" t="n"/>
      <c r="R639" s="21" t="n"/>
      <c r="S639" s="80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2" t="n"/>
      <c r="R640" s="21" t="n"/>
      <c r="S640" s="80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2" t="n"/>
      <c r="R641" s="21" t="n"/>
      <c r="S641" s="80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2" t="n"/>
      <c r="R642" s="21" t="n"/>
      <c r="S642" s="80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2" t="n"/>
      <c r="R643" s="21" t="n"/>
      <c r="S643" s="80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2" t="n"/>
      <c r="R644" s="21" t="n"/>
      <c r="S644" s="80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2" t="n"/>
      <c r="R645" s="21" t="n"/>
      <c r="S645" s="80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2" t="n"/>
      <c r="R646" s="21" t="n"/>
      <c r="S646" s="80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2" t="n"/>
      <c r="R647" s="21" t="n"/>
      <c r="S647" s="80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2" t="n"/>
      <c r="R648" s="21" t="n"/>
      <c r="S648" s="80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2" t="n"/>
      <c r="R649" s="21" t="n"/>
      <c r="S649" s="80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2" t="n"/>
      <c r="R650" s="21" t="n"/>
      <c r="S650" s="80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2" t="n"/>
      <c r="R651" s="21" t="n"/>
      <c r="S651" s="80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2" t="n"/>
      <c r="R652" s="21" t="n"/>
      <c r="S652" s="80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2" t="n"/>
      <c r="R653" s="21" t="n"/>
      <c r="S653" s="80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2" t="n"/>
      <c r="R654" s="21" t="n"/>
      <c r="S654" s="80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2" t="n"/>
      <c r="R655" s="21" t="n"/>
      <c r="S655" s="80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2" t="n"/>
      <c r="R656" s="21" t="n"/>
      <c r="S656" s="80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2" t="n"/>
      <c r="R657" s="21" t="n"/>
      <c r="S657" s="80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2" t="n"/>
      <c r="R658" s="21" t="n"/>
      <c r="S658" s="80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2" t="n"/>
      <c r="R659" s="21" t="n"/>
      <c r="S659" s="80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2" t="n"/>
      <c r="R660" s="21" t="n"/>
      <c r="S660" s="80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2" t="n"/>
      <c r="R661" s="21" t="n"/>
      <c r="S661" s="80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2" t="n"/>
      <c r="R662" s="21" t="n"/>
      <c r="S662" s="80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2" t="n"/>
      <c r="R663" s="21" t="n"/>
      <c r="S663" s="80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2" t="n"/>
      <c r="R664" s="21" t="n"/>
      <c r="S664" s="80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2" t="n"/>
      <c r="R665" s="21" t="n"/>
      <c r="S665" s="80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2" t="n"/>
      <c r="R666" s="21" t="n"/>
      <c r="S666" s="80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2" t="n"/>
      <c r="R667" s="21" t="n"/>
      <c r="S667" s="80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2" t="n"/>
      <c r="R668" s="21" t="n"/>
      <c r="S668" s="80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2" t="n"/>
      <c r="R669" s="21" t="n"/>
      <c r="S669" s="80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2" t="n"/>
      <c r="R670" s="21" t="n"/>
      <c r="S670" s="80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2" t="n"/>
      <c r="R671" s="21" t="n"/>
      <c r="S671" s="80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2" t="n"/>
      <c r="R672" s="21" t="n"/>
      <c r="S672" s="80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2" t="n"/>
      <c r="R673" s="21" t="n"/>
      <c r="S673" s="80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2" t="n"/>
      <c r="R674" s="21" t="n"/>
      <c r="S674" s="80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2" t="n"/>
      <c r="R675" s="21" t="n"/>
      <c r="S675" s="80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2" t="n"/>
      <c r="R676" s="21" t="n"/>
      <c r="S676" s="80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2" t="n"/>
      <c r="R677" s="21" t="n"/>
      <c r="S677" s="80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2" t="n"/>
      <c r="R678" s="21" t="n"/>
      <c r="S678" s="80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2" t="n"/>
      <c r="R679" s="21" t="n"/>
      <c r="S679" s="80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2" t="n"/>
      <c r="R680" s="21" t="n"/>
      <c r="S680" s="80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2" t="n"/>
      <c r="R681" s="21" t="n"/>
      <c r="S681" s="80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2" t="n"/>
      <c r="R682" s="21" t="n"/>
      <c r="S682" s="80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2" t="n"/>
      <c r="R683" s="21" t="n"/>
      <c r="S683" s="80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2" t="n"/>
      <c r="R684" s="21" t="n"/>
      <c r="S684" s="80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2" t="n"/>
      <c r="R685" s="21" t="n"/>
      <c r="S685" s="80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2" t="n"/>
      <c r="R686" s="21" t="n"/>
      <c r="S686" s="80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2" t="n"/>
      <c r="R687" s="21" t="n"/>
      <c r="S687" s="80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2" t="n"/>
      <c r="R688" s="21" t="n"/>
      <c r="S688" s="80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2" t="n"/>
      <c r="R689" s="21" t="n"/>
      <c r="S689" s="80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2" t="n"/>
      <c r="R690" s="21" t="n"/>
      <c r="S690" s="80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2" t="n"/>
      <c r="R691" s="21" t="n"/>
      <c r="S691" s="80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2" t="n"/>
      <c r="R692" s="21" t="n"/>
      <c r="S692" s="80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2" t="n"/>
      <c r="R693" s="21" t="n"/>
      <c r="S693" s="80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2" t="n"/>
      <c r="R694" s="21" t="n"/>
      <c r="S694" s="80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2" t="n"/>
      <c r="R695" s="21" t="n"/>
      <c r="S695" s="80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2" t="n"/>
      <c r="R696" s="21" t="n"/>
      <c r="S696" s="80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2" t="n"/>
      <c r="R697" s="21" t="n"/>
      <c r="S697" s="80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2" t="n"/>
      <c r="R698" s="21" t="n"/>
      <c r="S698" s="80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2" t="n"/>
      <c r="R699" s="21" t="n"/>
      <c r="S699" s="80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2" t="n"/>
      <c r="R700" s="21" t="n"/>
      <c r="S700" s="80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2" t="n"/>
      <c r="R701" s="21" t="n"/>
      <c r="S701" s="80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2" t="n"/>
      <c r="R702" s="21" t="n"/>
      <c r="S702" s="80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2" t="n"/>
      <c r="R703" s="21" t="n"/>
      <c r="S703" s="80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2" t="n"/>
      <c r="R704" s="21" t="n"/>
      <c r="S704" s="80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2" t="n"/>
      <c r="R705" s="21" t="n"/>
      <c r="S705" s="80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2" t="n"/>
      <c r="R706" s="21" t="n"/>
      <c r="S706" s="80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2" t="n"/>
      <c r="R707" s="21" t="n"/>
      <c r="S707" s="80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2" t="n"/>
      <c r="R708" s="21" t="n"/>
      <c r="S708" s="80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2" t="n"/>
      <c r="R709" s="21" t="n"/>
      <c r="S709" s="80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2" t="n"/>
      <c r="R710" s="21" t="n"/>
      <c r="S710" s="80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2" t="n"/>
      <c r="R711" s="21" t="n"/>
      <c r="S711" s="80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2" t="n"/>
      <c r="R712" s="21" t="n"/>
      <c r="S712" s="80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2" t="n"/>
      <c r="R713" s="21" t="n"/>
      <c r="S713" s="80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2" t="n"/>
      <c r="R714" s="21" t="n"/>
      <c r="S714" s="80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2" t="n"/>
      <c r="R715" s="21" t="n"/>
      <c r="S715" s="80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2" t="n"/>
      <c r="R716" s="21" t="n"/>
      <c r="S716" s="80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2" t="n"/>
      <c r="R717" s="21" t="n"/>
      <c r="S717" s="80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2" t="n"/>
      <c r="R718" s="21" t="n"/>
      <c r="S718" s="80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2" t="n"/>
      <c r="R719" s="21" t="n"/>
      <c r="S719" s="80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2" t="n"/>
      <c r="R720" s="21" t="n"/>
      <c r="S720" s="80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2" t="n"/>
      <c r="R721" s="21" t="n"/>
      <c r="S721" s="80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2" t="n"/>
      <c r="R722" s="21" t="n"/>
      <c r="S722" s="80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2" t="n"/>
      <c r="R723" s="21" t="n"/>
      <c r="S723" s="80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2" t="n"/>
      <c r="R724" s="21" t="n"/>
      <c r="S724" s="80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2" t="n"/>
      <c r="R725" s="21" t="n"/>
      <c r="S725" s="80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2" t="n"/>
      <c r="R726" s="21" t="n"/>
      <c r="S726" s="80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2" t="n"/>
      <c r="R727" s="21" t="n"/>
      <c r="S727" s="80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2" t="n"/>
      <c r="R728" s="21" t="n"/>
      <c r="S728" s="80" t="n"/>
      <c r="T728" s="21" t="n"/>
      <c r="U728" s="21" t="n"/>
    </row>
    <row r="729" ht="15.75" customHeight="1" s="237">
      <c r="A729" s="21" t="n"/>
      <c r="H729" s="21" t="n"/>
      <c r="I729" s="22" t="n"/>
      <c r="K729" s="22" t="n"/>
      <c r="O729" s="22" t="n"/>
      <c r="R729" s="21" t="n"/>
      <c r="S729" s="80" t="n"/>
      <c r="T729" s="21" t="n"/>
      <c r="U729" s="21" t="n"/>
    </row>
    <row r="730" ht="15.75" customHeight="1" s="237">
      <c r="A730" s="21" t="n"/>
      <c r="H730" s="21" t="n"/>
      <c r="I730" s="22" t="n"/>
      <c r="K730" s="22" t="n"/>
      <c r="O730" s="22" t="n"/>
      <c r="R730" s="21" t="n"/>
      <c r="S730" s="80" t="n"/>
      <c r="T730" s="21" t="n"/>
      <c r="U730" s="21" t="n"/>
    </row>
    <row r="731" ht="15.75" customHeight="1" s="237">
      <c r="A731" s="21" t="n"/>
      <c r="H731" s="21" t="n"/>
      <c r="I731" s="22" t="n"/>
      <c r="K731" s="22" t="n"/>
      <c r="O731" s="22" t="n"/>
      <c r="R731" s="21" t="n"/>
      <c r="S731" s="80" t="n"/>
      <c r="T731" s="21" t="n"/>
      <c r="U731" s="21" t="n"/>
    </row>
    <row r="732" ht="15.75" customHeight="1" s="237">
      <c r="A732" s="21" t="n"/>
      <c r="H732" s="21" t="n"/>
      <c r="I732" s="22" t="n"/>
      <c r="K732" s="22" t="n"/>
      <c r="O732" s="22" t="n"/>
      <c r="R732" s="21" t="n"/>
      <c r="S732" s="80" t="n"/>
      <c r="T732" s="21" t="n"/>
      <c r="U732" s="21" t="n"/>
    </row>
    <row r="733" ht="15.75" customHeight="1" s="237">
      <c r="A733" s="21" t="n"/>
      <c r="H733" s="21" t="n"/>
      <c r="I733" s="22" t="n"/>
      <c r="K733" s="22" t="n"/>
      <c r="O733" s="22" t="n"/>
      <c r="R733" s="21" t="n"/>
      <c r="S733" s="80" t="n"/>
      <c r="T733" s="21" t="n"/>
      <c r="U733" s="21" t="n"/>
    </row>
    <row r="734" ht="15.75" customHeight="1" s="237">
      <c r="A734" s="21" t="n"/>
      <c r="H734" s="21" t="n"/>
      <c r="I734" s="22" t="n"/>
      <c r="K734" s="22" t="n"/>
      <c r="O734" s="22" t="n"/>
      <c r="R734" s="21" t="n"/>
      <c r="S734" s="80" t="n"/>
      <c r="T734" s="21" t="n"/>
      <c r="U734" s="21" t="n"/>
    </row>
    <row r="735" ht="15.75" customHeight="1" s="237">
      <c r="A735" s="21" t="n"/>
      <c r="H735" s="21" t="n"/>
      <c r="I735" s="22" t="n"/>
      <c r="K735" s="22" t="n"/>
      <c r="O735" s="22" t="n"/>
      <c r="R735" s="21" t="n"/>
      <c r="S735" s="80" t="n"/>
      <c r="T735" s="21" t="n"/>
      <c r="U735" s="21" t="n"/>
    </row>
    <row r="736" ht="15.75" customHeight="1" s="237">
      <c r="A736" s="21" t="n"/>
      <c r="H736" s="21" t="n"/>
      <c r="I736" s="22" t="n"/>
      <c r="K736" s="22" t="n"/>
      <c r="O736" s="22" t="n"/>
      <c r="R736" s="21" t="n"/>
      <c r="S736" s="80" t="n"/>
      <c r="T736" s="21" t="n"/>
      <c r="U736" s="21" t="n"/>
    </row>
    <row r="737" ht="15.75" customHeight="1" s="237">
      <c r="A737" s="21" t="n"/>
      <c r="H737" s="21" t="n"/>
      <c r="I737" s="22" t="n"/>
      <c r="K737" s="22" t="n"/>
      <c r="O737" s="22" t="n"/>
      <c r="R737" s="21" t="n"/>
      <c r="S737" s="80" t="n"/>
      <c r="T737" s="21" t="n"/>
      <c r="U737" s="21" t="n"/>
    </row>
    <row r="738" ht="15.75" customHeight="1" s="237">
      <c r="A738" s="21" t="n"/>
      <c r="H738" s="21" t="n"/>
      <c r="I738" s="22" t="n"/>
      <c r="K738" s="22" t="n"/>
      <c r="O738" s="22" t="n"/>
      <c r="R738" s="21" t="n"/>
      <c r="S738" s="80" t="n"/>
      <c r="T738" s="21" t="n"/>
      <c r="U738" s="21" t="n"/>
    </row>
    <row r="739" ht="15.75" customHeight="1" s="237">
      <c r="A739" s="21" t="n"/>
      <c r="H739" s="21" t="n"/>
      <c r="I739" s="22" t="n"/>
      <c r="K739" s="22" t="n"/>
      <c r="O739" s="22" t="n"/>
      <c r="R739" s="21" t="n"/>
      <c r="S739" s="80" t="n"/>
      <c r="T739" s="21" t="n"/>
      <c r="U739" s="21" t="n"/>
    </row>
    <row r="740" ht="15.75" customHeight="1" s="237">
      <c r="A740" s="21" t="n"/>
      <c r="H740" s="21" t="n"/>
      <c r="I740" s="22" t="n"/>
      <c r="K740" s="22" t="n"/>
      <c r="O740" s="22" t="n"/>
      <c r="R740" s="21" t="n"/>
      <c r="S740" s="80" t="n"/>
      <c r="T740" s="21" t="n"/>
      <c r="U740" s="21" t="n"/>
    </row>
    <row r="741" ht="15.75" customHeight="1" s="237">
      <c r="A741" s="21" t="n"/>
      <c r="H741" s="21" t="n"/>
      <c r="I741" s="22" t="n"/>
      <c r="K741" s="22" t="n"/>
      <c r="O741" s="22" t="n"/>
      <c r="R741" s="21" t="n"/>
      <c r="S741" s="80" t="n"/>
      <c r="T741" s="21" t="n"/>
      <c r="U741" s="21" t="n"/>
    </row>
    <row r="742" ht="15.75" customHeight="1" s="237">
      <c r="A742" s="21" t="n"/>
      <c r="H742" s="21" t="n"/>
      <c r="I742" s="22" t="n"/>
      <c r="K742" s="22" t="n"/>
      <c r="O742" s="22" t="n"/>
      <c r="R742" s="21" t="n"/>
      <c r="S742" s="80" t="n"/>
      <c r="T742" s="21" t="n"/>
      <c r="U742" s="21" t="n"/>
    </row>
    <row r="743" ht="15.75" customHeight="1" s="237">
      <c r="A743" s="21" t="n"/>
      <c r="H743" s="21" t="n"/>
      <c r="I743" s="22" t="n"/>
      <c r="K743" s="22" t="n"/>
      <c r="O743" s="22" t="n"/>
      <c r="R743" s="21" t="n"/>
      <c r="S743" s="80" t="n"/>
      <c r="T743" s="21" t="n"/>
      <c r="U743" s="21" t="n"/>
    </row>
    <row r="744" ht="15.75" customHeight="1" s="237">
      <c r="A744" s="21" t="n"/>
      <c r="H744" s="21" t="n"/>
      <c r="I744" s="22" t="n"/>
      <c r="K744" s="22" t="n"/>
      <c r="O744" s="22" t="n"/>
      <c r="R744" s="21" t="n"/>
      <c r="S744" s="80" t="n"/>
      <c r="T744" s="21" t="n"/>
      <c r="U744" s="21" t="n"/>
    </row>
    <row r="745" ht="15.75" customHeight="1" s="237">
      <c r="A745" s="21" t="n"/>
      <c r="H745" s="21" t="n"/>
      <c r="I745" s="22" t="n"/>
      <c r="K745" s="22" t="n"/>
      <c r="O745" s="22" t="n"/>
      <c r="R745" s="21" t="n"/>
      <c r="S745" s="80" t="n"/>
      <c r="T745" s="21" t="n"/>
      <c r="U745" s="21" t="n"/>
    </row>
    <row r="746" ht="15.75" customHeight="1" s="237">
      <c r="A746" s="21" t="n"/>
      <c r="H746" s="21" t="n"/>
      <c r="I746" s="22" t="n"/>
      <c r="K746" s="22" t="n"/>
      <c r="O746" s="22" t="n"/>
      <c r="R746" s="21" t="n"/>
      <c r="S746" s="80" t="n"/>
      <c r="T746" s="21" t="n"/>
      <c r="U746" s="21" t="n"/>
    </row>
    <row r="747" ht="15.75" customHeight="1" s="237">
      <c r="A747" s="21" t="n"/>
      <c r="H747" s="21" t="n"/>
      <c r="I747" s="22" t="n"/>
      <c r="K747" s="22" t="n"/>
      <c r="O747" s="22" t="n"/>
      <c r="R747" s="21" t="n"/>
      <c r="S747" s="80" t="n"/>
      <c r="T747" s="21" t="n"/>
      <c r="U747" s="21" t="n"/>
    </row>
    <row r="748" ht="15.75" customHeight="1" s="237">
      <c r="A748" s="21" t="n"/>
      <c r="H748" s="21" t="n"/>
      <c r="I748" s="22" t="n"/>
      <c r="K748" s="22" t="n"/>
      <c r="O748" s="22" t="n"/>
      <c r="R748" s="21" t="n"/>
      <c r="S748" s="80" t="n"/>
      <c r="T748" s="21" t="n"/>
      <c r="U748" s="21" t="n"/>
    </row>
    <row r="749" ht="15.75" customHeight="1" s="237">
      <c r="A749" s="21" t="n"/>
      <c r="H749" s="21" t="n"/>
      <c r="I749" s="22" t="n"/>
      <c r="K749" s="22" t="n"/>
      <c r="O749" s="22" t="n"/>
      <c r="R749" s="21" t="n"/>
      <c r="S749" s="80" t="n"/>
      <c r="T749" s="21" t="n"/>
      <c r="U749" s="21" t="n"/>
    </row>
    <row r="750" ht="15.75" customHeight="1" s="237">
      <c r="A750" s="21" t="n"/>
      <c r="H750" s="21" t="n"/>
      <c r="I750" s="22" t="n"/>
      <c r="K750" s="22" t="n"/>
      <c r="O750" s="22" t="n"/>
      <c r="R750" s="21" t="n"/>
      <c r="S750" s="80" t="n"/>
      <c r="T750" s="21" t="n"/>
      <c r="U750" s="21" t="n"/>
    </row>
    <row r="751" ht="15.75" customHeight="1" s="237">
      <c r="A751" s="21" t="n"/>
      <c r="H751" s="21" t="n"/>
      <c r="I751" s="22" t="n"/>
      <c r="K751" s="22" t="n"/>
      <c r="O751" s="22" t="n"/>
      <c r="R751" s="21" t="n"/>
      <c r="S751" s="80" t="n"/>
      <c r="T751" s="21" t="n"/>
      <c r="U751" s="21" t="n"/>
    </row>
    <row r="752" ht="15.75" customHeight="1" s="237">
      <c r="A752" s="21" t="n"/>
      <c r="H752" s="21" t="n"/>
      <c r="I752" s="22" t="n"/>
      <c r="K752" s="22" t="n"/>
      <c r="O752" s="22" t="n"/>
      <c r="R752" s="21" t="n"/>
      <c r="S752" s="80" t="n"/>
      <c r="T752" s="21" t="n"/>
      <c r="U752" s="21" t="n"/>
    </row>
    <row r="753" ht="15.75" customHeight="1" s="237">
      <c r="A753" s="21" t="n"/>
      <c r="H753" s="21" t="n"/>
      <c r="I753" s="22" t="n"/>
      <c r="K753" s="22" t="n"/>
      <c r="O753" s="22" t="n"/>
      <c r="R753" s="21" t="n"/>
      <c r="S753" s="80" t="n"/>
      <c r="T753" s="21" t="n"/>
      <c r="U753" s="21" t="n"/>
    </row>
    <row r="754" ht="15.75" customHeight="1" s="237">
      <c r="A754" s="21" t="n"/>
      <c r="H754" s="21" t="n"/>
      <c r="I754" s="22" t="n"/>
      <c r="K754" s="22" t="n"/>
      <c r="O754" s="22" t="n"/>
      <c r="R754" s="21" t="n"/>
      <c r="S754" s="80" t="n"/>
      <c r="T754" s="21" t="n"/>
      <c r="U754" s="21" t="n"/>
    </row>
    <row r="755" ht="15.75" customHeight="1" s="237">
      <c r="A755" s="21" t="n"/>
      <c r="H755" s="21" t="n"/>
      <c r="I755" s="22" t="n"/>
      <c r="K755" s="22" t="n"/>
      <c r="O755" s="22" t="n"/>
      <c r="R755" s="21" t="n"/>
      <c r="S755" s="80" t="n"/>
      <c r="T755" s="21" t="n"/>
      <c r="U755" s="21" t="n"/>
    </row>
    <row r="756" ht="15.75" customHeight="1" s="237">
      <c r="A756" s="21" t="n"/>
      <c r="H756" s="21" t="n"/>
      <c r="I756" s="22" t="n"/>
      <c r="K756" s="22" t="n"/>
      <c r="O756" s="22" t="n"/>
      <c r="R756" s="21" t="n"/>
      <c r="S756" s="80" t="n"/>
      <c r="T756" s="21" t="n"/>
      <c r="U756" s="21" t="n"/>
    </row>
    <row r="757" ht="15.75" customHeight="1" s="237">
      <c r="A757" s="21" t="n"/>
      <c r="H757" s="21" t="n"/>
      <c r="I757" s="22" t="n"/>
      <c r="K757" s="22" t="n"/>
      <c r="O757" s="22" t="n"/>
      <c r="R757" s="21" t="n"/>
      <c r="S757" s="80" t="n"/>
      <c r="T757" s="21" t="n"/>
      <c r="U757" s="21" t="n"/>
    </row>
    <row r="758" ht="15.75" customHeight="1" s="237">
      <c r="A758" s="21" t="n"/>
      <c r="H758" s="21" t="n"/>
      <c r="I758" s="22" t="n"/>
      <c r="K758" s="22" t="n"/>
      <c r="O758" s="22" t="n"/>
      <c r="R758" s="21" t="n"/>
      <c r="S758" s="80" t="n"/>
      <c r="T758" s="21" t="n"/>
      <c r="U758" s="21" t="n"/>
    </row>
    <row r="759" ht="15.75" customHeight="1" s="237">
      <c r="A759" s="21" t="n"/>
      <c r="H759" s="21" t="n"/>
      <c r="I759" s="22" t="n"/>
      <c r="K759" s="22" t="n"/>
      <c r="O759" s="22" t="n"/>
      <c r="R759" s="21" t="n"/>
      <c r="S759" s="80" t="n"/>
      <c r="T759" s="21" t="n"/>
      <c r="U759" s="21" t="n"/>
    </row>
    <row r="760" ht="15.75" customHeight="1" s="237">
      <c r="A760" s="21" t="n"/>
      <c r="H760" s="21" t="n"/>
      <c r="I760" s="22" t="n"/>
      <c r="K760" s="22" t="n"/>
      <c r="O760" s="22" t="n"/>
      <c r="R760" s="21" t="n"/>
      <c r="S760" s="80" t="n"/>
      <c r="T760" s="21" t="n"/>
      <c r="U760" s="21" t="n"/>
    </row>
    <row r="761" ht="15.75" customHeight="1" s="237">
      <c r="A761" s="21" t="n"/>
      <c r="H761" s="21" t="n"/>
      <c r="I761" s="22" t="n"/>
      <c r="K761" s="22" t="n"/>
      <c r="O761" s="22" t="n"/>
      <c r="R761" s="21" t="n"/>
      <c r="S761" s="80" t="n"/>
      <c r="T761" s="21" t="n"/>
      <c r="U761" s="21" t="n"/>
    </row>
    <row r="762" ht="15.75" customHeight="1" s="237">
      <c r="A762" s="21" t="n"/>
      <c r="H762" s="21" t="n"/>
      <c r="I762" s="22" t="n"/>
      <c r="K762" s="22" t="n"/>
      <c r="O762" s="22" t="n"/>
      <c r="R762" s="21" t="n"/>
      <c r="S762" s="80" t="n"/>
      <c r="T762" s="21" t="n"/>
      <c r="U762" s="21" t="n"/>
    </row>
    <row r="763" ht="15.75" customHeight="1" s="237">
      <c r="A763" s="21" t="n"/>
      <c r="H763" s="21" t="n"/>
      <c r="I763" s="22" t="n"/>
      <c r="K763" s="22" t="n"/>
      <c r="O763" s="22" t="n"/>
      <c r="R763" s="21" t="n"/>
      <c r="S763" s="80" t="n"/>
      <c r="T763" s="21" t="n"/>
      <c r="U763" s="21" t="n"/>
    </row>
    <row r="764" ht="15.75" customHeight="1" s="237">
      <c r="A764" s="21" t="n"/>
      <c r="H764" s="21" t="n"/>
      <c r="I764" s="22" t="n"/>
      <c r="K764" s="22" t="n"/>
      <c r="O764" s="22" t="n"/>
      <c r="R764" s="21" t="n"/>
      <c r="S764" s="80" t="n"/>
      <c r="T764" s="21" t="n"/>
      <c r="U764" s="21" t="n"/>
    </row>
    <row r="765" ht="15.75" customHeight="1" s="237">
      <c r="A765" s="21" t="n"/>
      <c r="H765" s="21" t="n"/>
      <c r="I765" s="22" t="n"/>
      <c r="K765" s="22" t="n"/>
      <c r="O765" s="22" t="n"/>
      <c r="R765" s="21" t="n"/>
      <c r="S765" s="80" t="n"/>
      <c r="T765" s="21" t="n"/>
      <c r="U765" s="21" t="n"/>
    </row>
    <row r="766" ht="15.75" customHeight="1" s="237">
      <c r="A766" s="21" t="n"/>
      <c r="H766" s="21" t="n"/>
      <c r="I766" s="22" t="n"/>
      <c r="K766" s="22" t="n"/>
      <c r="O766" s="22" t="n"/>
      <c r="R766" s="21" t="n"/>
      <c r="S766" s="80" t="n"/>
      <c r="T766" s="21" t="n"/>
      <c r="U766" s="21" t="n"/>
    </row>
    <row r="767" ht="15.75" customHeight="1" s="237">
      <c r="A767" s="21" t="n"/>
      <c r="H767" s="21" t="n"/>
      <c r="I767" s="22" t="n"/>
      <c r="K767" s="22" t="n"/>
      <c r="O767" s="22" t="n"/>
      <c r="R767" s="21" t="n"/>
      <c r="S767" s="80" t="n"/>
      <c r="T767" s="21" t="n"/>
      <c r="U767" s="21" t="n"/>
    </row>
    <row r="768" ht="15.75" customHeight="1" s="237">
      <c r="A768" s="21" t="n"/>
      <c r="H768" s="21" t="n"/>
      <c r="I768" s="22" t="n"/>
      <c r="K768" s="22" t="n"/>
      <c r="O768" s="22" t="n"/>
      <c r="R768" s="21" t="n"/>
      <c r="S768" s="80" t="n"/>
      <c r="T768" s="21" t="n"/>
      <c r="U768" s="21" t="n"/>
    </row>
    <row r="769" ht="15.75" customHeight="1" s="237">
      <c r="A769" s="21" t="n"/>
      <c r="H769" s="21" t="n"/>
      <c r="I769" s="22" t="n"/>
      <c r="K769" s="22" t="n"/>
      <c r="O769" s="22" t="n"/>
      <c r="R769" s="21" t="n"/>
      <c r="S769" s="80" t="n"/>
      <c r="T769" s="21" t="n"/>
      <c r="U769" s="21" t="n"/>
    </row>
    <row r="770" ht="15.75" customHeight="1" s="237">
      <c r="A770" s="21" t="n"/>
      <c r="H770" s="21" t="n"/>
      <c r="I770" s="22" t="n"/>
      <c r="K770" s="22" t="n"/>
      <c r="O770" s="22" t="n"/>
      <c r="R770" s="21" t="n"/>
      <c r="S770" s="80" t="n"/>
      <c r="T770" s="21" t="n"/>
      <c r="U770" s="21" t="n"/>
    </row>
    <row r="771" ht="15.75" customHeight="1" s="237">
      <c r="A771" s="21" t="n"/>
      <c r="H771" s="21" t="n"/>
      <c r="I771" s="22" t="n"/>
      <c r="K771" s="22" t="n"/>
      <c r="O771" s="22" t="n"/>
      <c r="R771" s="21" t="n"/>
      <c r="S771" s="80" t="n"/>
      <c r="T771" s="21" t="n"/>
      <c r="U771" s="21" t="n"/>
    </row>
    <row r="772" ht="15.75" customHeight="1" s="237">
      <c r="A772" s="21" t="n"/>
      <c r="H772" s="21" t="n"/>
      <c r="I772" s="22" t="n"/>
      <c r="K772" s="22" t="n"/>
      <c r="O772" s="22" t="n"/>
      <c r="R772" s="21" t="n"/>
      <c r="S772" s="80" t="n"/>
      <c r="T772" s="21" t="n"/>
      <c r="U772" s="21" t="n"/>
    </row>
    <row r="773" ht="15.75" customHeight="1" s="237">
      <c r="A773" s="21" t="n"/>
      <c r="H773" s="21" t="n"/>
      <c r="I773" s="22" t="n"/>
      <c r="K773" s="22" t="n"/>
      <c r="O773" s="22" t="n"/>
      <c r="R773" s="21" t="n"/>
      <c r="S773" s="80" t="n"/>
      <c r="T773" s="21" t="n"/>
      <c r="U773" s="21" t="n"/>
    </row>
    <row r="774" ht="15.75" customHeight="1" s="237">
      <c r="A774" s="21" t="n"/>
      <c r="H774" s="21" t="n"/>
      <c r="I774" s="22" t="n"/>
      <c r="K774" s="22" t="n"/>
      <c r="O774" s="22" t="n"/>
      <c r="R774" s="21" t="n"/>
      <c r="S774" s="80" t="n"/>
      <c r="T774" s="21" t="n"/>
      <c r="U774" s="21" t="n"/>
    </row>
    <row r="775" ht="15.75" customHeight="1" s="237">
      <c r="A775" s="21" t="n"/>
      <c r="H775" s="21" t="n"/>
      <c r="I775" s="22" t="n"/>
      <c r="K775" s="22" t="n"/>
      <c r="O775" s="22" t="n"/>
      <c r="R775" s="21" t="n"/>
      <c r="S775" s="80" t="n"/>
      <c r="T775" s="21" t="n"/>
      <c r="U775" s="21" t="n"/>
    </row>
    <row r="776" ht="15.75" customHeight="1" s="237">
      <c r="A776" s="21" t="n"/>
      <c r="H776" s="21" t="n"/>
      <c r="I776" s="22" t="n"/>
      <c r="K776" s="22" t="n"/>
      <c r="O776" s="22" t="n"/>
      <c r="R776" s="21" t="n"/>
      <c r="S776" s="80" t="n"/>
      <c r="T776" s="21" t="n"/>
      <c r="U776" s="21" t="n"/>
    </row>
    <row r="777" ht="15.75" customHeight="1" s="237">
      <c r="A777" s="21" t="n"/>
      <c r="H777" s="21" t="n"/>
      <c r="I777" s="22" t="n"/>
      <c r="K777" s="22" t="n"/>
      <c r="O777" s="22" t="n"/>
      <c r="R777" s="21" t="n"/>
      <c r="S777" s="80" t="n"/>
      <c r="T777" s="21" t="n"/>
      <c r="U777" s="21" t="n"/>
    </row>
    <row r="778" ht="15.75" customHeight="1" s="237">
      <c r="A778" s="21" t="n"/>
      <c r="H778" s="21" t="n"/>
      <c r="I778" s="22" t="n"/>
      <c r="K778" s="22" t="n"/>
      <c r="O778" s="22" t="n"/>
      <c r="R778" s="21" t="n"/>
      <c r="S778" s="80" t="n"/>
      <c r="T778" s="21" t="n"/>
      <c r="U778" s="21" t="n"/>
    </row>
    <row r="779" ht="15.75" customHeight="1" s="237">
      <c r="A779" s="21" t="n"/>
      <c r="H779" s="21" t="n"/>
      <c r="I779" s="22" t="n"/>
      <c r="K779" s="22" t="n"/>
      <c r="O779" s="22" t="n"/>
      <c r="R779" s="21" t="n"/>
      <c r="S779" s="80" t="n"/>
      <c r="T779" s="21" t="n"/>
      <c r="U779" s="21" t="n"/>
    </row>
    <row r="780" ht="15.75" customHeight="1" s="237">
      <c r="A780" s="21" t="n"/>
      <c r="H780" s="21" t="n"/>
      <c r="I780" s="22" t="n"/>
      <c r="K780" s="22" t="n"/>
      <c r="O780" s="22" t="n"/>
      <c r="R780" s="21" t="n"/>
      <c r="S780" s="80" t="n"/>
      <c r="T780" s="21" t="n"/>
      <c r="U780" s="21" t="n"/>
    </row>
    <row r="781" ht="15.75" customHeight="1" s="237">
      <c r="A781" s="21" t="n"/>
      <c r="H781" s="21" t="n"/>
      <c r="I781" s="22" t="n"/>
      <c r="K781" s="22" t="n"/>
      <c r="O781" s="22" t="n"/>
      <c r="R781" s="21" t="n"/>
      <c r="S781" s="80" t="n"/>
      <c r="T781" s="21" t="n"/>
      <c r="U781" s="21" t="n"/>
    </row>
    <row r="782" ht="15.75" customHeight="1" s="237">
      <c r="A782" s="21" t="n"/>
      <c r="H782" s="21" t="n"/>
      <c r="I782" s="22" t="n"/>
      <c r="K782" s="22" t="n"/>
      <c r="O782" s="22" t="n"/>
      <c r="R782" s="21" t="n"/>
      <c r="S782" s="80" t="n"/>
      <c r="T782" s="21" t="n"/>
      <c r="U782" s="21" t="n"/>
    </row>
    <row r="783" ht="15.75" customHeight="1" s="237">
      <c r="A783" s="21" t="n"/>
      <c r="H783" s="21" t="n"/>
      <c r="I783" s="22" t="n"/>
      <c r="K783" s="22" t="n"/>
      <c r="O783" s="22" t="n"/>
      <c r="R783" s="21" t="n"/>
      <c r="S783" s="80" t="n"/>
      <c r="T783" s="21" t="n"/>
      <c r="U783" s="21" t="n"/>
    </row>
    <row r="784" ht="15.75" customHeight="1" s="237">
      <c r="A784" s="21" t="n"/>
      <c r="H784" s="21" t="n"/>
      <c r="I784" s="22" t="n"/>
      <c r="K784" s="22" t="n"/>
      <c r="O784" s="22" t="n"/>
      <c r="R784" s="21" t="n"/>
      <c r="S784" s="80" t="n"/>
      <c r="T784" s="21" t="n"/>
      <c r="U784" s="21" t="n"/>
    </row>
    <row r="785" ht="15.75" customHeight="1" s="237">
      <c r="A785" s="21" t="n"/>
      <c r="H785" s="21" t="n"/>
      <c r="I785" s="22" t="n"/>
      <c r="K785" s="22" t="n"/>
      <c r="O785" s="22" t="n"/>
      <c r="R785" s="21" t="n"/>
      <c r="S785" s="80" t="n"/>
      <c r="T785" s="21" t="n"/>
      <c r="U785" s="21" t="n"/>
    </row>
    <row r="786" ht="15.75" customHeight="1" s="237">
      <c r="A786" s="21" t="n"/>
      <c r="H786" s="21" t="n"/>
      <c r="I786" s="22" t="n"/>
      <c r="K786" s="22" t="n"/>
      <c r="O786" s="22" t="n"/>
      <c r="R786" s="21" t="n"/>
      <c r="S786" s="80" t="n"/>
      <c r="T786" s="21" t="n"/>
      <c r="U786" s="21" t="n"/>
    </row>
    <row r="787" ht="15.75" customHeight="1" s="237">
      <c r="A787" s="21" t="n"/>
      <c r="H787" s="21" t="n"/>
      <c r="I787" s="22" t="n"/>
      <c r="K787" s="22" t="n"/>
      <c r="O787" s="22" t="n"/>
      <c r="R787" s="21" t="n"/>
      <c r="S787" s="80" t="n"/>
      <c r="T787" s="21" t="n"/>
      <c r="U787" s="21" t="n"/>
    </row>
    <row r="788" ht="15.75" customHeight="1" s="237">
      <c r="A788" s="21" t="n"/>
      <c r="H788" s="21" t="n"/>
      <c r="I788" s="22" t="n"/>
      <c r="K788" s="22" t="n"/>
      <c r="O788" s="22" t="n"/>
      <c r="R788" s="21" t="n"/>
      <c r="S788" s="80" t="n"/>
      <c r="T788" s="21" t="n"/>
      <c r="U788" s="21" t="n"/>
    </row>
    <row r="789" ht="15.75" customHeight="1" s="237">
      <c r="A789" s="21" t="n"/>
      <c r="H789" s="21" t="n"/>
      <c r="I789" s="22" t="n"/>
      <c r="K789" s="22" t="n"/>
      <c r="O789" s="22" t="n"/>
      <c r="R789" s="21" t="n"/>
      <c r="S789" s="80" t="n"/>
      <c r="T789" s="21" t="n"/>
      <c r="U789" s="21" t="n"/>
    </row>
    <row r="790" ht="15.75" customHeight="1" s="237">
      <c r="A790" s="21" t="n"/>
      <c r="H790" s="21" t="n"/>
      <c r="I790" s="22" t="n"/>
      <c r="K790" s="22" t="n"/>
      <c r="O790" s="22" t="n"/>
      <c r="R790" s="21" t="n"/>
      <c r="S790" s="80" t="n"/>
      <c r="T790" s="21" t="n"/>
      <c r="U790" s="21" t="n"/>
    </row>
    <row r="791" ht="15.75" customHeight="1" s="237">
      <c r="A791" s="21" t="n"/>
      <c r="H791" s="21" t="n"/>
      <c r="I791" s="22" t="n"/>
      <c r="K791" s="22" t="n"/>
      <c r="O791" s="22" t="n"/>
      <c r="R791" s="21" t="n"/>
      <c r="S791" s="80" t="n"/>
      <c r="T791" s="21" t="n"/>
      <c r="U791" s="21" t="n"/>
    </row>
    <row r="792" ht="15.75" customHeight="1" s="237">
      <c r="A792" s="21" t="n"/>
      <c r="H792" s="21" t="n"/>
      <c r="I792" s="22" t="n"/>
      <c r="K792" s="22" t="n"/>
      <c r="O792" s="22" t="n"/>
      <c r="R792" s="21" t="n"/>
      <c r="S792" s="80" t="n"/>
      <c r="T792" s="21" t="n"/>
      <c r="U792" s="21" t="n"/>
    </row>
    <row r="793" ht="15.75" customHeight="1" s="237">
      <c r="A793" s="21" t="n"/>
      <c r="H793" s="21" t="n"/>
      <c r="I793" s="22" t="n"/>
      <c r="K793" s="22" t="n"/>
      <c r="O793" s="22" t="n"/>
      <c r="R793" s="21" t="n"/>
      <c r="S793" s="80" t="n"/>
      <c r="T793" s="21" t="n"/>
      <c r="U793" s="21" t="n"/>
    </row>
    <row r="794" ht="15.75" customHeight="1" s="237">
      <c r="A794" s="21" t="n"/>
      <c r="H794" s="21" t="n"/>
      <c r="I794" s="22" t="n"/>
      <c r="K794" s="22" t="n"/>
      <c r="O794" s="22" t="n"/>
      <c r="R794" s="21" t="n"/>
      <c r="S794" s="80" t="n"/>
      <c r="T794" s="21" t="n"/>
      <c r="U794" s="21" t="n"/>
    </row>
    <row r="795" ht="15.75" customHeight="1" s="237">
      <c r="A795" s="21" t="n"/>
      <c r="H795" s="21" t="n"/>
      <c r="I795" s="22" t="n"/>
      <c r="K795" s="22" t="n"/>
      <c r="O795" s="22" t="n"/>
      <c r="R795" s="21" t="n"/>
      <c r="S795" s="80" t="n"/>
      <c r="T795" s="21" t="n"/>
      <c r="U795" s="21" t="n"/>
    </row>
    <row r="796" ht="15" customHeight="1" s="237">
      <c r="A796" s="21" t="n"/>
      <c r="H796" s="21" t="n"/>
      <c r="I796" s="22" t="n"/>
      <c r="K796" s="22" t="n"/>
      <c r="O796" s="22" t="n"/>
      <c r="R796" s="21" t="n"/>
      <c r="S796" s="80" t="n"/>
      <c r="T796" s="21" t="n"/>
      <c r="U796" s="21" t="n"/>
    </row>
    <row r="797" ht="15" customHeight="1" s="237">
      <c r="A797" s="21" t="n"/>
      <c r="H797" s="21" t="n"/>
      <c r="I797" s="22" t="n"/>
      <c r="K797" s="22" t="n"/>
      <c r="O797" s="22" t="n"/>
      <c r="R797" s="21" t="n"/>
      <c r="S797" s="80" t="n"/>
      <c r="T797" s="21" t="n"/>
      <c r="U797" s="21" t="n"/>
    </row>
    <row r="798" ht="15" customHeight="1" s="237">
      <c r="A798" s="21" t="n"/>
      <c r="H798" s="21" t="n"/>
      <c r="I798" s="22" t="n"/>
      <c r="K798" s="22" t="n"/>
      <c r="O798" s="22" t="n"/>
      <c r="R798" s="21" t="n"/>
      <c r="S798" s="80" t="n"/>
      <c r="T798" s="21" t="n"/>
      <c r="U798" s="21" t="n"/>
    </row>
    <row r="799" ht="15" customHeight="1" s="237">
      <c r="A799" s="21" t="n"/>
      <c r="H799" s="21" t="n"/>
      <c r="I799" s="22" t="n"/>
      <c r="K799" s="22" t="n"/>
      <c r="O799" s="22" t="n"/>
      <c r="R799" s="21" t="n"/>
      <c r="S799" s="80" t="n"/>
      <c r="T799" s="21" t="n"/>
      <c r="U799" s="21" t="n"/>
    </row>
    <row r="800" ht="15" customHeight="1" s="237">
      <c r="A800" s="21" t="n"/>
      <c r="H800" s="21" t="n"/>
      <c r="I800" s="22" t="n"/>
      <c r="K800" s="22" t="n"/>
      <c r="O800" s="22" t="n"/>
      <c r="R800" s="21" t="n"/>
      <c r="S800" s="80" t="n"/>
      <c r="T800" s="21" t="n"/>
      <c r="U800" s="21" t="n"/>
    </row>
    <row r="801" ht="15" customHeight="1" s="237">
      <c r="A801" s="21" t="n"/>
      <c r="H801" s="21" t="n"/>
      <c r="I801" s="22" t="n"/>
      <c r="K801" s="22" t="n"/>
      <c r="O801" s="22" t="n"/>
      <c r="R801" s="21" t="n"/>
      <c r="S801" s="80" t="n"/>
      <c r="T801" s="21" t="n"/>
      <c r="U801" s="21" t="n"/>
    </row>
    <row r="802" ht="15" customHeight="1" s="237">
      <c r="A802" s="21" t="n"/>
      <c r="H802" s="21" t="n"/>
      <c r="I802" s="22" t="n"/>
      <c r="K802" s="22" t="n"/>
      <c r="O802" s="22" t="n"/>
      <c r="R802" s="21" t="n"/>
      <c r="S802" s="80" t="n"/>
      <c r="T802" s="21" t="n"/>
      <c r="U802" s="21" t="n"/>
    </row>
    <row r="803" ht="15" customHeight="1" s="237">
      <c r="A803" s="21" t="n"/>
      <c r="H803" s="21" t="n"/>
      <c r="I803" s="22" t="n"/>
      <c r="K803" s="22" t="n"/>
      <c r="O803" s="22" t="n"/>
      <c r="R803" s="21" t="n"/>
      <c r="S803" s="80" t="n"/>
      <c r="T803" s="21" t="n"/>
      <c r="U803" s="21" t="n"/>
    </row>
    <row r="804" ht="15" customHeight="1" s="237">
      <c r="A804" s="21" t="n"/>
      <c r="H804" s="21" t="n"/>
      <c r="I804" s="22" t="n"/>
      <c r="K804" s="22" t="n"/>
      <c r="O804" s="22" t="n"/>
      <c r="R804" s="21" t="n"/>
      <c r="S804" s="80" t="n"/>
      <c r="T804" s="21" t="n"/>
      <c r="U804" s="21" t="n"/>
    </row>
    <row r="805" ht="15" customHeight="1" s="237">
      <c r="A805" s="21" t="n"/>
      <c r="H805" s="21" t="n"/>
      <c r="I805" s="22" t="n"/>
      <c r="K805" s="22" t="n"/>
      <c r="O805" s="22" t="n"/>
      <c r="R805" s="21" t="n"/>
      <c r="S805" s="80" t="n"/>
      <c r="T805" s="21" t="n"/>
      <c r="U805" s="21" t="n"/>
    </row>
    <row r="806" ht="15" customHeight="1" s="237">
      <c r="A806" s="21" t="n"/>
      <c r="H806" s="21" t="n"/>
      <c r="I806" s="22" t="n"/>
      <c r="K806" s="22" t="n"/>
      <c r="O806" s="22" t="n"/>
      <c r="R806" s="21" t="n"/>
      <c r="S806" s="80" t="n"/>
      <c r="T806" s="21" t="n"/>
      <c r="U806" s="21" t="n"/>
    </row>
    <row r="807" ht="15" customHeight="1" s="237">
      <c r="A807" s="21" t="n"/>
      <c r="H807" s="21" t="n"/>
      <c r="I807" s="22" t="n"/>
      <c r="K807" s="22" t="n"/>
      <c r="O807" s="22" t="n"/>
      <c r="R807" s="21" t="n"/>
      <c r="S807" s="80" t="n"/>
      <c r="T807" s="21" t="n"/>
      <c r="U807" s="21" t="n"/>
    </row>
    <row r="808" ht="15" customHeight="1" s="237">
      <c r="A808" s="21" t="n"/>
      <c r="H808" s="21" t="n"/>
      <c r="I808" s="22" t="n"/>
      <c r="K808" s="22" t="n"/>
      <c r="O808" s="22" t="n"/>
      <c r="R808" s="21" t="n"/>
      <c r="S808" s="80" t="n"/>
      <c r="T808" s="21" t="n"/>
      <c r="U808" s="21" t="n"/>
    </row>
    <row r="809" ht="15" customHeight="1" s="237">
      <c r="A809" s="21" t="n"/>
      <c r="H809" s="21" t="n"/>
      <c r="I809" s="22" t="n"/>
      <c r="K809" s="22" t="n"/>
      <c r="O809" s="22" t="n"/>
      <c r="R809" s="21" t="n"/>
      <c r="S809" s="80" t="n"/>
      <c r="T809" s="21" t="n"/>
      <c r="U809" s="21" t="n"/>
    </row>
    <row r="810" ht="15" customHeight="1" s="237">
      <c r="A810" s="21" t="n"/>
      <c r="H810" s="21" t="n"/>
      <c r="I810" s="22" t="n"/>
      <c r="K810" s="22" t="n"/>
      <c r="O810" s="22" t="n"/>
      <c r="R810" s="21" t="n"/>
      <c r="S810" s="80" t="n"/>
      <c r="T810" s="21" t="n"/>
      <c r="U810" s="21" t="n"/>
    </row>
    <row r="811" ht="15" customHeight="1" s="237">
      <c r="A811" s="21" t="n"/>
      <c r="H811" s="21" t="n"/>
      <c r="I811" s="22" t="n"/>
      <c r="K811" s="22" t="n"/>
      <c r="O811" s="22" t="n"/>
      <c r="R811" s="21" t="n"/>
      <c r="S811" s="80" t="n"/>
      <c r="T811" s="21" t="n"/>
      <c r="U811" s="21" t="n"/>
    </row>
    <row r="812" ht="15" customHeight="1" s="237">
      <c r="A812" s="21" t="n"/>
      <c r="H812" s="21" t="n"/>
      <c r="I812" s="22" t="n"/>
      <c r="K812" s="22" t="n"/>
      <c r="O812" s="22" t="n"/>
      <c r="R812" s="21" t="n"/>
      <c r="S812" s="80" t="n"/>
      <c r="T812" s="21" t="n"/>
      <c r="U812" s="21" t="n"/>
    </row>
    <row r="813" ht="15" customHeight="1" s="237">
      <c r="A813" s="21" t="n"/>
      <c r="H813" s="21" t="n"/>
      <c r="I813" s="22" t="n"/>
      <c r="K813" s="22" t="n"/>
      <c r="O813" s="22" t="n"/>
      <c r="R813" s="21" t="n"/>
      <c r="S813" s="80" t="n"/>
      <c r="T813" s="21" t="n"/>
      <c r="U813" s="21" t="n"/>
    </row>
    <row r="814" ht="15" customHeight="1" s="237">
      <c r="A814" s="21" t="n"/>
      <c r="H814" s="21" t="n"/>
      <c r="I814" s="22" t="n"/>
      <c r="K814" s="22" t="n"/>
      <c r="O814" s="22" t="n"/>
      <c r="R814" s="21" t="n"/>
      <c r="S814" s="80" t="n"/>
      <c r="T814" s="21" t="n"/>
      <c r="U814" s="21" t="n"/>
    </row>
    <row r="815" ht="15" customHeight="1" s="237">
      <c r="A815" s="21" t="n"/>
      <c r="H815" s="21" t="n"/>
      <c r="I815" s="22" t="n"/>
      <c r="K815" s="22" t="n"/>
      <c r="O815" s="22" t="n"/>
      <c r="R815" s="21" t="n"/>
      <c r="S815" s="80" t="n"/>
      <c r="T815" s="21" t="n"/>
      <c r="U815" s="21" t="n"/>
    </row>
    <row r="816" ht="15" customHeight="1" s="237">
      <c r="A816" s="21" t="n"/>
      <c r="H816" s="21" t="n"/>
      <c r="I816" s="22" t="n"/>
      <c r="K816" s="22" t="n"/>
      <c r="O816" s="22" t="n"/>
      <c r="R816" s="21" t="n"/>
      <c r="S816" s="80" t="n"/>
      <c r="T816" s="21" t="n"/>
      <c r="U816" s="21" t="n"/>
    </row>
    <row r="817" ht="15" customHeight="1" s="237">
      <c r="A817" s="21" t="n"/>
      <c r="H817" s="21" t="n"/>
      <c r="I817" s="22" t="n"/>
      <c r="K817" s="22" t="n"/>
      <c r="O817" s="22" t="n"/>
      <c r="R817" s="21" t="n"/>
      <c r="S817" s="80" t="n"/>
      <c r="T817" s="21" t="n"/>
      <c r="U817" s="21" t="n"/>
    </row>
    <row r="818" ht="15" customHeight="1" s="237">
      <c r="A818" s="21" t="n"/>
      <c r="H818" s="21" t="n"/>
      <c r="I818" s="22" t="n"/>
      <c r="K818" s="22" t="n"/>
      <c r="O818" s="22" t="n"/>
      <c r="R818" s="21" t="n"/>
      <c r="S818" s="80" t="n"/>
      <c r="T818" s="21" t="n"/>
      <c r="U818" s="21" t="n"/>
    </row>
    <row r="819" ht="15" customHeight="1" s="237">
      <c r="A819" s="21" t="n"/>
      <c r="H819" s="21" t="n"/>
      <c r="I819" s="22" t="n"/>
      <c r="K819" s="22" t="n"/>
      <c r="O819" s="22" t="n"/>
      <c r="R819" s="21" t="n"/>
      <c r="S819" s="80" t="n"/>
      <c r="T819" s="21" t="n"/>
      <c r="U819" s="21" t="n"/>
    </row>
    <row r="820" ht="15" customHeight="1" s="237">
      <c r="A820" s="21" t="n"/>
      <c r="H820" s="21" t="n"/>
      <c r="I820" s="22" t="n"/>
      <c r="K820" s="22" t="n"/>
      <c r="O820" s="22" t="n"/>
      <c r="R820" s="21" t="n"/>
      <c r="S820" s="80" t="n"/>
      <c r="T820" s="21" t="n"/>
      <c r="U820" s="21" t="n"/>
    </row>
    <row r="821" ht="15" customHeight="1" s="237">
      <c r="A821" s="21" t="n"/>
      <c r="H821" s="21" t="n"/>
      <c r="I821" s="22" t="n"/>
      <c r="K821" s="22" t="n"/>
      <c r="O821" s="22" t="n"/>
      <c r="R821" s="21" t="n"/>
      <c r="S821" s="80" t="n"/>
      <c r="T821" s="21" t="n"/>
      <c r="U821" s="21" t="n"/>
    </row>
    <row r="822" ht="15" customHeight="1" s="237">
      <c r="A822" s="21" t="n"/>
      <c r="H822" s="21" t="n"/>
      <c r="I822" s="22" t="n"/>
      <c r="K822" s="22" t="n"/>
      <c r="O822" s="22" t="n"/>
      <c r="R822" s="21" t="n"/>
      <c r="S822" s="80" t="n"/>
      <c r="T822" s="21" t="n"/>
      <c r="U822" s="21" t="n"/>
    </row>
    <row r="823" ht="15" customHeight="1" s="237">
      <c r="A823" s="21" t="n"/>
      <c r="H823" s="21" t="n"/>
      <c r="I823" s="22" t="n"/>
      <c r="K823" s="22" t="n"/>
      <c r="O823" s="22" t="n"/>
      <c r="R823" s="21" t="n"/>
      <c r="S823" s="80" t="n"/>
      <c r="T823" s="21" t="n"/>
      <c r="U823" s="21" t="n"/>
    </row>
    <row r="824" ht="15" customHeight="1" s="237">
      <c r="A824" s="21" t="n"/>
      <c r="H824" s="21" t="n"/>
      <c r="I824" s="22" t="n"/>
      <c r="K824" s="22" t="n"/>
      <c r="O824" s="22" t="n"/>
      <c r="R824" s="21" t="n"/>
      <c r="S824" s="80" t="n"/>
      <c r="T824" s="21" t="n"/>
      <c r="U824" s="21" t="n"/>
    </row>
    <row r="825" ht="15" customHeight="1" s="237">
      <c r="A825" s="21" t="n"/>
      <c r="H825" s="21" t="n"/>
      <c r="I825" s="22" t="n"/>
      <c r="K825" s="22" t="n"/>
      <c r="O825" s="22" t="n"/>
      <c r="R825" s="21" t="n"/>
      <c r="S825" s="80" t="n"/>
      <c r="T825" s="21" t="n"/>
      <c r="U825" s="21" t="n"/>
    </row>
    <row r="826" ht="15" customHeight="1" s="237">
      <c r="A826" s="21" t="n"/>
      <c r="H826" s="21" t="n"/>
      <c r="I826" s="22" t="n"/>
      <c r="K826" s="22" t="n"/>
      <c r="O826" s="22" t="n"/>
      <c r="R826" s="21" t="n"/>
      <c r="S826" s="80" t="n"/>
      <c r="T826" s="21" t="n"/>
      <c r="U826" s="21" t="n"/>
    </row>
    <row r="827" ht="15" customHeight="1" s="237">
      <c r="A827" s="21" t="n"/>
      <c r="H827" s="21" t="n"/>
      <c r="I827" s="22" t="n"/>
      <c r="K827" s="22" t="n"/>
      <c r="O827" s="22" t="n"/>
      <c r="R827" s="21" t="n"/>
      <c r="S827" s="80" t="n"/>
      <c r="T827" s="21" t="n"/>
      <c r="U827" s="21" t="n"/>
    </row>
    <row r="828" ht="15" customHeight="1" s="237">
      <c r="A828" s="21" t="n"/>
      <c r="H828" s="21" t="n"/>
      <c r="I828" s="22" t="n"/>
      <c r="K828" s="22" t="n"/>
      <c r="O828" s="22" t="n"/>
      <c r="R828" s="21" t="n"/>
      <c r="S828" s="80" t="n"/>
      <c r="T828" s="21" t="n"/>
      <c r="U828" s="21" t="n"/>
    </row>
    <row r="829" ht="15" customHeight="1" s="237">
      <c r="A829" s="21" t="n"/>
      <c r="H829" s="21" t="n"/>
      <c r="I829" s="22" t="n"/>
      <c r="K829" s="22" t="n"/>
      <c r="O829" s="22" t="n"/>
      <c r="R829" s="21" t="n"/>
      <c r="S829" s="80" t="n"/>
      <c r="T829" s="21" t="n"/>
      <c r="U829" s="21" t="n"/>
    </row>
    <row r="830" ht="15" customHeight="1" s="237">
      <c r="A830" s="21" t="n"/>
      <c r="H830" s="21" t="n"/>
      <c r="I830" s="22" t="n"/>
      <c r="K830" s="22" t="n"/>
      <c r="O830" s="22" t="n"/>
      <c r="R830" s="21" t="n"/>
      <c r="S830" s="80" t="n"/>
      <c r="T830" s="21" t="n"/>
      <c r="U830" s="21" t="n"/>
    </row>
    <row r="831" ht="15" customHeight="1" s="237">
      <c r="A831" s="21" t="n"/>
      <c r="H831" s="21" t="n"/>
      <c r="I831" s="22" t="n"/>
      <c r="K831" s="22" t="n"/>
      <c r="O831" s="22" t="n"/>
      <c r="R831" s="21" t="n"/>
      <c r="S831" s="80" t="n"/>
      <c r="T831" s="21" t="n"/>
      <c r="U831" s="21" t="n"/>
    </row>
    <row r="832" ht="15" customHeight="1" s="237">
      <c r="A832" s="21" t="n"/>
      <c r="H832" s="21" t="n"/>
      <c r="I832" s="22" t="n"/>
      <c r="K832" s="22" t="n"/>
      <c r="O832" s="22" t="n"/>
      <c r="R832" s="21" t="n"/>
      <c r="S832" s="80" t="n"/>
      <c r="T832" s="21" t="n"/>
      <c r="U832" s="21" t="n"/>
    </row>
    <row r="833" ht="15" customHeight="1" s="237">
      <c r="A833" s="21" t="n"/>
      <c r="H833" s="21" t="n"/>
      <c r="I833" s="22" t="n"/>
      <c r="K833" s="22" t="n"/>
      <c r="O833" s="22" t="n"/>
      <c r="R833" s="21" t="n"/>
      <c r="S833" s="80" t="n"/>
      <c r="T833" s="21" t="n"/>
      <c r="U833" s="21" t="n"/>
    </row>
    <row r="834" ht="15" customHeight="1" s="237">
      <c r="A834" s="21" t="n"/>
      <c r="H834" s="21" t="n"/>
      <c r="I834" s="22" t="n"/>
      <c r="K834" s="22" t="n"/>
      <c r="O834" s="22" t="n"/>
      <c r="R834" s="21" t="n"/>
      <c r="S834" s="80" t="n"/>
      <c r="T834" s="21" t="n"/>
      <c r="U834" s="21" t="n"/>
    </row>
    <row r="835" ht="15" customHeight="1" s="237">
      <c r="A835" s="21" t="n"/>
      <c r="H835" s="21" t="n"/>
      <c r="I835" s="22" t="n"/>
      <c r="K835" s="22" t="n"/>
      <c r="O835" s="22" t="n"/>
      <c r="R835" s="21" t="n"/>
      <c r="S835" s="80" t="n"/>
      <c r="T835" s="21" t="n"/>
      <c r="U835" s="21" t="n"/>
    </row>
    <row r="836" ht="15" customHeight="1" s="237">
      <c r="A836" s="21" t="n"/>
      <c r="H836" s="21" t="n"/>
      <c r="I836" s="22" t="n"/>
      <c r="K836" s="22" t="n"/>
      <c r="O836" s="22" t="n"/>
      <c r="R836" s="21" t="n"/>
      <c r="S836" s="80" t="n"/>
      <c r="T836" s="21" t="n"/>
      <c r="U836" s="21" t="n"/>
    </row>
    <row r="837" ht="15" customHeight="1" s="237">
      <c r="A837" s="21" t="n"/>
      <c r="H837" s="21" t="n"/>
      <c r="I837" s="22" t="n"/>
      <c r="K837" s="22" t="n"/>
      <c r="O837" s="22" t="n"/>
      <c r="R837" s="21" t="n"/>
      <c r="S837" s="80" t="n"/>
      <c r="T837" s="21" t="n"/>
      <c r="U837" s="21" t="n"/>
    </row>
    <row r="838" ht="15" customHeight="1" s="237">
      <c r="A838" s="21" t="n"/>
      <c r="H838" s="21" t="n"/>
      <c r="I838" s="22" t="n"/>
      <c r="K838" s="22" t="n"/>
      <c r="O838" s="22" t="n"/>
      <c r="R838" s="21" t="n"/>
      <c r="S838" s="80" t="n"/>
      <c r="T838" s="21" t="n"/>
      <c r="U838" s="21" t="n"/>
    </row>
    <row r="839" ht="15" customHeight="1" s="237">
      <c r="A839" s="21" t="n"/>
      <c r="H839" s="21" t="n"/>
      <c r="I839" s="22" t="n"/>
      <c r="K839" s="22" t="n"/>
      <c r="O839" s="22" t="n"/>
      <c r="R839" s="21" t="n"/>
      <c r="S839" s="80" t="n"/>
      <c r="T839" s="21" t="n"/>
      <c r="U839" s="21" t="n"/>
    </row>
    <row r="840" ht="15" customHeight="1" s="237">
      <c r="A840" s="21" t="n"/>
      <c r="I840" s="22" t="n"/>
      <c r="K840" s="22" t="n"/>
      <c r="R840" s="21" t="n"/>
      <c r="S840" s="80" t="n"/>
      <c r="T840" s="21" t="n"/>
      <c r="U840" s="21" t="n"/>
    </row>
    <row r="841" ht="15" customHeight="1" s="237">
      <c r="A841" s="21" t="n"/>
      <c r="I841" s="22" t="n"/>
      <c r="K841" s="22" t="n"/>
      <c r="R841" s="21" t="n"/>
      <c r="S841" s="80" t="n"/>
      <c r="T841" s="21" t="n"/>
      <c r="U841" s="21" t="n"/>
    </row>
    <row r="842" ht="15" customHeight="1" s="237">
      <c r="A842" s="21" t="n"/>
      <c r="I842" s="22" t="n"/>
      <c r="K842" s="22" t="n"/>
      <c r="R842" s="21" t="n"/>
      <c r="S842" s="80" t="n"/>
      <c r="T842" s="21" t="n"/>
      <c r="U842" s="21" t="n"/>
    </row>
    <row r="843" ht="15" customHeight="1" s="237">
      <c r="A843" s="21" t="n"/>
      <c r="I843" s="22" t="n"/>
      <c r="K843" s="22" t="n"/>
      <c r="R843" s="21" t="n"/>
      <c r="S843" s="80" t="n"/>
      <c r="T843" s="21" t="n"/>
      <c r="U843" s="21" t="n"/>
    </row>
    <row r="844" ht="15" customHeight="1" s="237">
      <c r="A844" s="21" t="n"/>
      <c r="I844" s="22" t="n"/>
      <c r="K844" s="22" t="n"/>
      <c r="R844" s="21" t="n"/>
      <c r="S844" s="80" t="n"/>
      <c r="T844" s="21" t="n"/>
      <c r="U844" s="21" t="n"/>
    </row>
    <row r="845" ht="15" customHeight="1" s="237">
      <c r="A845" s="21" t="n"/>
      <c r="I845" s="22" t="n"/>
      <c r="K845" s="22" t="n"/>
      <c r="R845" s="21" t="n"/>
      <c r="S845" s="80" t="n"/>
      <c r="T845" s="21" t="n"/>
      <c r="U845" s="21" t="n"/>
    </row>
    <row r="846" ht="15" customHeight="1" s="237">
      <c r="A846" s="21" t="n"/>
      <c r="I846" s="22" t="n"/>
      <c r="K846" s="22" t="n"/>
      <c r="R846" s="21" t="n"/>
      <c r="S846" s="80" t="n"/>
      <c r="T846" s="21" t="n"/>
      <c r="U846" s="21" t="n"/>
    </row>
    <row r="847" ht="15" customHeight="1" s="237">
      <c r="A847" s="21" t="n"/>
      <c r="I847" s="22" t="n"/>
      <c r="K847" s="22" t="n"/>
      <c r="R847" s="21" t="n"/>
      <c r="S847" s="80" t="n"/>
      <c r="T847" s="21" t="n"/>
      <c r="U847" s="21" t="n"/>
    </row>
    <row r="848" ht="15" customHeight="1" s="237">
      <c r="A848" s="21" t="n"/>
      <c r="I848" s="22" t="n"/>
      <c r="K848" s="22" t="n"/>
      <c r="R848" s="21" t="n"/>
      <c r="S848" s="80" t="n"/>
      <c r="T848" s="21" t="n"/>
      <c r="U848" s="21" t="n"/>
    </row>
    <row r="849" ht="15" customHeight="1" s="237">
      <c r="A849" s="21" t="n"/>
      <c r="I849" s="22" t="n"/>
      <c r="K849" s="22" t="n"/>
      <c r="R849" s="21" t="n"/>
      <c r="S849" s="80" t="n"/>
      <c r="T849" s="21" t="n"/>
      <c r="U849" s="21" t="n"/>
    </row>
    <row r="850" ht="15" customHeight="1" s="237">
      <c r="A850" s="21" t="n"/>
      <c r="I850" s="22" t="n"/>
      <c r="K850" s="22" t="n"/>
      <c r="R850" s="21" t="n"/>
      <c r="S850" s="80" t="n"/>
      <c r="T850" s="21" t="n"/>
      <c r="U850" s="21" t="n"/>
    </row>
    <row r="851" ht="15" customHeight="1" s="237">
      <c r="A851" s="21" t="n"/>
      <c r="I851" s="22" t="n"/>
      <c r="K851" s="22" t="n"/>
      <c r="R851" s="21" t="n"/>
      <c r="S851" s="80" t="n"/>
      <c r="T851" s="21" t="n"/>
      <c r="U851" s="21" t="n"/>
    </row>
    <row r="852" ht="15" customHeight="1" s="237">
      <c r="A852" s="21" t="n"/>
      <c r="I852" s="22" t="n"/>
      <c r="K852" s="22" t="n"/>
      <c r="R852" s="21" t="n"/>
      <c r="S852" s="80" t="n"/>
      <c r="T852" s="21" t="n"/>
      <c r="U852" s="21" t="n"/>
    </row>
    <row r="853" ht="15" customHeight="1" s="237">
      <c r="A853" s="21" t="n"/>
      <c r="I853" s="22" t="n"/>
      <c r="K853" s="22" t="n"/>
      <c r="R853" s="21" t="n"/>
      <c r="S853" s="80" t="n"/>
      <c r="T853" s="21" t="n"/>
      <c r="U853" s="21" t="n"/>
    </row>
    <row r="854" ht="15" customHeight="1" s="237">
      <c r="A854" s="21" t="n"/>
      <c r="I854" s="22" t="n"/>
      <c r="K854" s="22" t="n"/>
      <c r="R854" s="21" t="n"/>
      <c r="S854" s="80" t="n"/>
      <c r="T854" s="21" t="n"/>
      <c r="U854" s="21" t="n"/>
    </row>
    <row r="855" ht="15" customHeight="1" s="237">
      <c r="A855" s="21" t="n"/>
      <c r="I855" s="22" t="n"/>
      <c r="K855" s="22" t="n"/>
      <c r="R855" s="21" t="n"/>
      <c r="S855" s="80" t="n"/>
      <c r="T855" s="21" t="n"/>
      <c r="U855" s="21" t="n"/>
    </row>
    <row r="856" ht="15" customHeight="1" s="237">
      <c r="A856" s="21" t="n"/>
      <c r="I856" s="22" t="n"/>
      <c r="K856" s="22" t="n"/>
      <c r="R856" s="21" t="n"/>
      <c r="S856" s="80" t="n"/>
      <c r="T856" s="21" t="n"/>
      <c r="U856" s="21" t="n"/>
    </row>
    <row r="857" ht="15" customHeight="1" s="237">
      <c r="A857" s="21" t="n"/>
      <c r="I857" s="22" t="n"/>
      <c r="K857" s="22" t="n"/>
      <c r="R857" s="21" t="n"/>
      <c r="S857" s="80" t="n"/>
      <c r="T857" s="21" t="n"/>
      <c r="U857" s="21" t="n"/>
    </row>
    <row r="858" ht="15" customHeight="1" s="237">
      <c r="A858" s="21" t="n"/>
      <c r="I858" s="22" t="n"/>
      <c r="K858" s="22" t="n"/>
      <c r="R858" s="21" t="n"/>
      <c r="S858" s="80" t="n"/>
      <c r="T858" s="21" t="n"/>
      <c r="U858" s="21" t="n"/>
    </row>
    <row r="859" ht="15" customHeight="1" s="237">
      <c r="A859" s="21" t="n"/>
      <c r="I859" s="22" t="n"/>
      <c r="K859" s="22" t="n"/>
      <c r="R859" s="21" t="n"/>
      <c r="S859" s="80" t="n"/>
      <c r="T859" s="21" t="n"/>
      <c r="U859" s="21" t="n"/>
    </row>
    <row r="860" ht="15" customHeight="1" s="237">
      <c r="A860" s="21" t="n"/>
      <c r="I860" s="22" t="n"/>
      <c r="K860" s="22" t="n"/>
      <c r="R860" s="21" t="n"/>
      <c r="S860" s="80" t="n"/>
      <c r="T860" s="21" t="n"/>
      <c r="U860" s="21" t="n"/>
    </row>
    <row r="861" ht="15" customHeight="1" s="237">
      <c r="A861" s="21" t="n"/>
      <c r="I861" s="22" t="n"/>
      <c r="K861" s="22" t="n"/>
      <c r="R861" s="21" t="n"/>
      <c r="S861" s="80" t="n"/>
      <c r="T861" s="21" t="n"/>
      <c r="U861" s="21" t="n"/>
    </row>
    <row r="862" ht="15" customHeight="1" s="237">
      <c r="A862" s="21" t="n"/>
      <c r="I862" s="22" t="n"/>
      <c r="K862" s="22" t="n"/>
      <c r="R862" s="21" t="n"/>
      <c r="S862" s="80" t="n"/>
      <c r="T862" s="21" t="n"/>
      <c r="U862" s="21" t="n"/>
    </row>
    <row r="863" ht="15" customHeight="1" s="237">
      <c r="A863" s="21" t="n"/>
      <c r="I863" s="22" t="n"/>
      <c r="K863" s="22" t="n"/>
      <c r="R863" s="21" t="n"/>
      <c r="S863" s="80" t="n"/>
      <c r="T863" s="21" t="n"/>
      <c r="U863" s="21" t="n"/>
    </row>
    <row r="864" ht="15" customHeight="1" s="237">
      <c r="A864" s="21" t="n"/>
      <c r="I864" s="22" t="n"/>
      <c r="K864" s="22" t="n"/>
      <c r="R864" s="21" t="n"/>
      <c r="S864" s="80" t="n"/>
      <c r="T864" s="21" t="n"/>
      <c r="U864" s="21" t="n"/>
    </row>
    <row r="865" ht="15" customHeight="1" s="237">
      <c r="A865" s="21" t="n"/>
      <c r="I865" s="22" t="n"/>
      <c r="K865" s="22" t="n"/>
      <c r="R865" s="21" t="n"/>
      <c r="S865" s="80" t="n"/>
      <c r="T865" s="21" t="n"/>
      <c r="U865" s="21" t="n"/>
    </row>
    <row r="866" ht="15" customHeight="1" s="237">
      <c r="A866" s="21" t="n"/>
      <c r="I866" s="22" t="n"/>
      <c r="K866" s="22" t="n"/>
      <c r="R866" s="21" t="n"/>
      <c r="S866" s="80" t="n"/>
      <c r="T866" s="21" t="n"/>
      <c r="U866" s="21" t="n"/>
    </row>
  </sheetData>
  <conditionalFormatting sqref="O1048568:Q1048576">
    <cfRule type="expression" priority="2656" dxfId="65">
      <formula>$O49:$O14989="Not on record"</formula>
    </cfRule>
    <cfRule type="expression" priority="2657" dxfId="65">
      <formula>$Q49:$Q14989="Expired"</formula>
    </cfRule>
    <cfRule type="expression" priority="2658" dxfId="64">
      <formula>AND($O1048568="On record", $Q1048568="")</formula>
    </cfRule>
  </conditionalFormatting>
  <conditionalFormatting sqref="O2:Q14982">
    <cfRule type="expression" priority="2122" dxfId="65" stopIfTrue="1">
      <formula>$Q2="Expired"</formula>
    </cfRule>
    <cfRule type="expression" priority="2123" dxfId="126" stopIfTrue="1">
      <formula>$O2="On Record"</formula>
    </cfRule>
    <cfRule type="expression" priority="2124" dxfId="65" stopIfTrue="1">
      <formula>$O2="Not on record"</formula>
    </cfRule>
  </conditionalFormatting>
  <conditionalFormatting sqref="O1048558:Q1048567">
    <cfRule type="expression" priority="4609" dxfId="65">
      <formula>$O42:$O14979="Not on record"</formula>
    </cfRule>
    <cfRule type="expression" priority="4610" dxfId="65">
      <formula>$Q42:$Q14979="Expired"</formula>
    </cfRule>
    <cfRule type="expression" priority="4611" dxfId="64">
      <formula>AND($O1048558="On record", $Q1048558="")</formula>
    </cfRule>
  </conditionalFormatting>
  <conditionalFormatting sqref="O1048513:Q1048557">
    <cfRule type="expression" priority="4693" dxfId="65">
      <formula>$O10:$O14934="Not on record"</formula>
    </cfRule>
    <cfRule type="expression" priority="4694" dxfId="65">
      <formula>$Q10:$Q14934="Expired"</formula>
    </cfRule>
    <cfRule type="expression" priority="4695" dxfId="64">
      <formula>AND($O1048513="On record", $Q1048513="")</formula>
    </cfRule>
  </conditionalFormatting>
  <conditionalFormatting sqref="O1033460:Q1048455">
    <cfRule type="expression" priority="4720" dxfId="65">
      <formula>$O1:$O1033460="Not on record"</formula>
    </cfRule>
    <cfRule type="expression" priority="4721" dxfId="65">
      <formula>$Q1:$Q1033460="Expired"</formula>
    </cfRule>
    <cfRule type="expression" priority="4722" dxfId="64">
      <formula>AND($O1033460="On record", $Q1033460="")</formula>
    </cfRule>
  </conditionalFormatting>
  <conditionalFormatting sqref="O1033459:Q1033459">
    <cfRule type="expression" priority="4744" dxfId="65">
      <formula>$O1:$O1033459="Not on record"</formula>
    </cfRule>
    <cfRule type="expression" priority="4745" dxfId="65">
      <formula>$Q1:$Q1033459="Expired"</formula>
    </cfRule>
    <cfRule type="expression" priority="4746" dxfId="64">
      <formula>AND($O1033459="On record", $Q1033459="")</formula>
    </cfRule>
  </conditionalFormatting>
  <conditionalFormatting sqref="O1048457:Q1048512">
    <cfRule type="expression" priority="4747" dxfId="65">
      <formula>$O1:$O14878="Not on record"</formula>
    </cfRule>
    <cfRule type="expression" priority="4748" dxfId="65">
      <formula>$Q1:$Q14878="Expired"</formula>
    </cfRule>
    <cfRule type="expression" priority="4749" dxfId="64">
      <formula>AND($O1048457="On record", $Q1048457="")</formula>
    </cfRule>
  </conditionalFormatting>
  <conditionalFormatting sqref="O1048456:Q1048456">
    <cfRule type="expression" priority="4750" dxfId="65">
      <formula>$O14877:$O1048576="Not on record"</formula>
    </cfRule>
    <cfRule type="expression" priority="4751" dxfId="65">
      <formula>$Q14877:$Q1048576="Expired"</formula>
    </cfRule>
    <cfRule type="expression" priority="4752" dxfId="64">
      <formula>AND($O1048456="On record", $Q1048456="")</formula>
    </cfRule>
  </conditionalFormatting>
  <dataValidations count="1">
    <dataValidation sqref="H1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10">
    <outlinePr summaryBelow="1" summaryRight="1"/>
    <pageSetUpPr fitToPage="1"/>
  </sheetPr>
  <dimension ref="A5:U755"/>
  <sheetViews>
    <sheetView showGridLines="0" zoomScale="70" zoomScaleNormal="70" workbookViewId="0">
      <pane xSplit="1" ySplit="5" topLeftCell="B52" activePane="bottomRight" state="frozen"/>
      <selection pane="topRight" activeCell="B1" sqref="B1"/>
      <selection pane="bottomLeft" activeCell="A6" sqref="A6"/>
      <selection pane="bottomRight" activeCell="C65" sqref="C65"/>
    </sheetView>
  </sheetViews>
  <sheetFormatPr baseColWidth="8" defaultColWidth="14.42578125" defaultRowHeight="15" customHeight="1"/>
  <cols>
    <col width="22.7109375" bestFit="1" customWidth="1" style="237" min="1" max="1"/>
    <col width="22" customWidth="1" style="237" min="2" max="2"/>
    <col width="34.140625" customWidth="1" style="237" min="3" max="3"/>
    <col width="19.42578125" customWidth="1" style="237" min="4" max="4"/>
    <col width="10.7109375" customWidth="1" style="237" min="5" max="5"/>
    <col width="15.28515625" customWidth="1" style="237" min="6" max="6"/>
    <col width="16.85546875" bestFit="1" customWidth="1" style="237" min="7" max="7"/>
    <col width="21.5703125" bestFit="1" customWidth="1" style="237" min="8" max="8"/>
    <col width="18.28515625" bestFit="1" customWidth="1" style="237" min="9" max="9"/>
    <col width="13.140625" customWidth="1" style="237" min="10" max="10"/>
    <col width="19.5703125" bestFit="1" customWidth="1" style="237" min="11" max="11"/>
    <col width="23.7109375" bestFit="1" customWidth="1" style="237" min="12" max="12"/>
    <col width="18.7109375" bestFit="1" customWidth="1" style="237" min="13" max="13"/>
    <col width="22.42578125" customWidth="1" style="237" min="14" max="14"/>
    <col width="22.140625" bestFit="1" customWidth="1" style="237" min="15" max="15"/>
    <col width="19" bestFit="1" customWidth="1" style="237" min="16" max="16"/>
    <col width="16.28515625" bestFit="1" customWidth="1" style="237" min="17" max="17"/>
    <col width="21.140625" bestFit="1" customWidth="1" style="237" min="18" max="18"/>
    <col width="21.28515625" bestFit="1" customWidth="1" style="237" min="19" max="19"/>
    <col width="19.42578125" bestFit="1" customWidth="1" style="237" min="20" max="20"/>
    <col width="12.28515625" bestFit="1" customWidth="1" style="237" min="21" max="21"/>
  </cols>
  <sheetData>
    <row r="5" ht="16.5" customHeight="1" s="237">
      <c r="A5" s="87" t="inlineStr">
        <is>
          <t>Client</t>
        </is>
      </c>
      <c r="B5" s="88" t="inlineStr">
        <is>
          <t>DOB</t>
        </is>
      </c>
      <c r="C5" s="89" t="inlineStr">
        <is>
          <t>Address</t>
        </is>
      </c>
      <c r="D5" s="89" t="inlineStr">
        <is>
          <t>City</t>
        </is>
      </c>
      <c r="E5" s="89" t="inlineStr">
        <is>
          <t>State</t>
        </is>
      </c>
      <c r="F5" s="89" t="inlineStr">
        <is>
          <t>Zip Code</t>
        </is>
      </c>
      <c r="G5" s="88" t="inlineStr">
        <is>
          <t>Phone No.</t>
        </is>
      </c>
      <c r="H5" s="88" t="inlineStr">
        <is>
          <t>Insurance</t>
        </is>
      </c>
      <c r="I5" s="88" t="inlineStr">
        <is>
          <t>Claim No.</t>
        </is>
      </c>
      <c r="J5" s="88" t="inlineStr">
        <is>
          <t>DOI</t>
        </is>
      </c>
      <c r="K5" s="88" t="inlineStr">
        <is>
          <t>Adjuster</t>
        </is>
      </c>
      <c r="L5" s="88" t="inlineStr">
        <is>
          <t>Adjuster Number</t>
        </is>
      </c>
      <c r="M5" s="88" t="inlineStr">
        <is>
          <t>Adjuster Ext.</t>
        </is>
      </c>
      <c r="N5" s="88" t="inlineStr">
        <is>
          <t>Adjuster E-mail</t>
        </is>
      </c>
      <c r="O5" s="88" t="inlineStr">
        <is>
          <t>Disability Script</t>
        </is>
      </c>
      <c r="P5" s="90" t="inlineStr">
        <is>
          <t>Script Expiry</t>
        </is>
      </c>
      <c r="Q5" s="91" t="inlineStr">
        <is>
          <t>Reminder</t>
        </is>
      </c>
      <c r="R5" s="92" t="inlineStr">
        <is>
          <t>Transport Type</t>
        </is>
      </c>
      <c r="S5" s="289" t="inlineStr">
        <is>
          <t>Headquarters</t>
        </is>
      </c>
      <c r="T5" s="289" t="inlineStr">
        <is>
          <t>Assistance</t>
        </is>
      </c>
      <c r="U5" s="290" t="inlineStr">
        <is>
          <t>Status</t>
        </is>
      </c>
    </row>
    <row r="6" ht="16.5" customHeight="1" s="237">
      <c r="A6" s="61" t="inlineStr">
        <is>
          <t>Aisha Freeman</t>
        </is>
      </c>
      <c r="B6" s="284" t="inlineStr">
        <is>
          <t>N/A</t>
        </is>
      </c>
      <c r="C6" s="61" t="inlineStr">
        <is>
          <t>1350 Hilltop Dr.</t>
        </is>
      </c>
      <c r="D6" s="61" t="inlineStr">
        <is>
          <t xml:space="preserve">Pontiac </t>
        </is>
      </c>
      <c r="E6" s="63" t="inlineStr">
        <is>
          <t>MI</t>
        </is>
      </c>
      <c r="F6" s="63" t="n">
        <v>48340</v>
      </c>
      <c r="G6" s="291" t="n"/>
      <c r="H6" s="61" t="n"/>
      <c r="I6" s="61" t="n"/>
      <c r="J6" s="284" t="n"/>
      <c r="K6" s="61" t="n"/>
      <c r="L6" s="291" t="n"/>
      <c r="M6" s="63" t="n"/>
      <c r="N6" s="65" t="n"/>
      <c r="O6" s="63" t="inlineStr">
        <is>
          <t>On record</t>
        </is>
      </c>
      <c r="P6" s="284" t="n">
        <v>45583</v>
      </c>
      <c r="Q6" s="67" t="inlineStr">
        <is>
          <t>Expired</t>
        </is>
      </c>
      <c r="R6" s="63" t="inlineStr">
        <is>
          <t>Non-Wheel Chair</t>
        </is>
      </c>
      <c r="S6" s="66" t="n"/>
      <c r="T6" s="68" t="n"/>
      <c r="U6" s="68" t="inlineStr">
        <is>
          <t>Archive</t>
        </is>
      </c>
    </row>
    <row r="7" ht="16.5" customHeight="1" s="237">
      <c r="A7" s="61" t="inlineStr">
        <is>
          <t>A'Knyla Hampton</t>
        </is>
      </c>
      <c r="B7" s="284" t="inlineStr">
        <is>
          <t>N/A</t>
        </is>
      </c>
      <c r="C7" s="61" t="inlineStr">
        <is>
          <t>14892 Robson St.</t>
        </is>
      </c>
      <c r="D7" s="61" t="inlineStr">
        <is>
          <t>Detroit</t>
        </is>
      </c>
      <c r="E7" s="63" t="inlineStr">
        <is>
          <t>MI</t>
        </is>
      </c>
      <c r="F7" s="63" t="n">
        <v>48227</v>
      </c>
      <c r="G7" s="291" t="n"/>
      <c r="H7" s="61" t="n"/>
      <c r="I7" s="61" t="n"/>
      <c r="J7" s="284" t="n"/>
      <c r="K7" s="61" t="n"/>
      <c r="L7" s="291" t="n"/>
      <c r="M7" s="63" t="n"/>
      <c r="N7" s="65" t="n"/>
      <c r="O7" s="63" t="inlineStr">
        <is>
          <t>On record</t>
        </is>
      </c>
      <c r="P7" s="284" t="n">
        <v>45600</v>
      </c>
      <c r="Q7" s="67" t="inlineStr">
        <is>
          <t>Expired</t>
        </is>
      </c>
      <c r="R7" s="63" t="inlineStr">
        <is>
          <t>Non-Wheel Chair</t>
        </is>
      </c>
      <c r="S7" s="66" t="n"/>
      <c r="T7" s="68" t="n"/>
      <c r="U7" s="68" t="inlineStr">
        <is>
          <t>Archive</t>
        </is>
      </c>
    </row>
    <row r="8" ht="16.5" customHeight="1" s="237">
      <c r="A8" s="61" t="inlineStr">
        <is>
          <t>Alejandra Rosado</t>
        </is>
      </c>
      <c r="B8" s="284" t="inlineStr">
        <is>
          <t>N/A</t>
        </is>
      </c>
      <c r="C8" s="61" t="inlineStr">
        <is>
          <t>4997 Meadowbrooke Ln</t>
        </is>
      </c>
      <c r="D8" s="61" t="inlineStr">
        <is>
          <t xml:space="preserve">Lake Orion </t>
        </is>
      </c>
      <c r="E8" s="63" t="inlineStr">
        <is>
          <t>MI</t>
        </is>
      </c>
      <c r="F8" s="63" t="n">
        <v>48359</v>
      </c>
      <c r="G8" s="291" t="n"/>
      <c r="H8" s="61" t="n"/>
      <c r="I8" s="61" t="n"/>
      <c r="J8" s="284" t="n"/>
      <c r="K8" s="61" t="n"/>
      <c r="L8" s="291" t="n"/>
      <c r="M8" s="63" t="n"/>
      <c r="N8" s="65" t="n"/>
      <c r="O8" s="63" t="inlineStr">
        <is>
          <t>On record</t>
        </is>
      </c>
      <c r="P8" s="284" t="n">
        <v>45610</v>
      </c>
      <c r="Q8" s="67" t="inlineStr">
        <is>
          <t>Expired</t>
        </is>
      </c>
      <c r="R8" s="63" t="inlineStr">
        <is>
          <t>Non-Wheel Chair</t>
        </is>
      </c>
      <c r="S8" s="66" t="n"/>
      <c r="T8" s="68" t="n"/>
      <c r="U8" s="68" t="inlineStr">
        <is>
          <t>Archive</t>
        </is>
      </c>
    </row>
    <row r="9" ht="16.5" customHeight="1" s="237">
      <c r="A9" s="61" t="inlineStr">
        <is>
          <t>Arkan Yousif</t>
        </is>
      </c>
      <c r="B9" s="284" t="inlineStr">
        <is>
          <t>N/A</t>
        </is>
      </c>
      <c r="C9" s="61" t="inlineStr">
        <is>
          <t>7965 Queen Anne Dr.</t>
        </is>
      </c>
      <c r="D9" s="61" t="inlineStr">
        <is>
          <t>Westbloomfield</t>
        </is>
      </c>
      <c r="E9" s="63" t="inlineStr">
        <is>
          <t>MI</t>
        </is>
      </c>
      <c r="F9" s="63" t="n">
        <v>48322</v>
      </c>
      <c r="G9" s="291" t="n"/>
      <c r="H9" s="61" t="n"/>
      <c r="I9" s="61" t="n"/>
      <c r="J9" s="284" t="n"/>
      <c r="K9" s="61" t="n"/>
      <c r="L9" s="291" t="n"/>
      <c r="M9" s="63" t="n"/>
      <c r="N9" s="65" t="n"/>
      <c r="O9" s="63" t="inlineStr">
        <is>
          <t>On record</t>
        </is>
      </c>
      <c r="P9" s="284" t="n">
        <v>45521</v>
      </c>
      <c r="Q9" s="67" t="inlineStr">
        <is>
          <t>Expired</t>
        </is>
      </c>
      <c r="R9" s="63" t="inlineStr">
        <is>
          <t>Non-Wheel Chair</t>
        </is>
      </c>
      <c r="S9" s="66" t="n"/>
      <c r="T9" s="68" t="n"/>
      <c r="U9" s="68" t="inlineStr">
        <is>
          <t>Archive</t>
        </is>
      </c>
    </row>
    <row r="10" ht="16.5" customHeight="1" s="237">
      <c r="A10" s="61" t="inlineStr">
        <is>
          <t>Arrneata Cobbs</t>
        </is>
      </c>
      <c r="B10" s="284" t="inlineStr">
        <is>
          <t>N/A</t>
        </is>
      </c>
      <c r="C10" s="61" t="inlineStr">
        <is>
          <t>18974 Algonac St</t>
        </is>
      </c>
      <c r="D10" s="61" t="inlineStr">
        <is>
          <t>Detroit</t>
        </is>
      </c>
      <c r="E10" s="63" t="inlineStr">
        <is>
          <t>MI</t>
        </is>
      </c>
      <c r="F10" s="63" t="n">
        <v>48224</v>
      </c>
      <c r="G10" s="291" t="n"/>
      <c r="H10" s="61" t="n"/>
      <c r="I10" s="61" t="n"/>
      <c r="J10" s="284" t="n"/>
      <c r="K10" s="61" t="n"/>
      <c r="L10" s="291" t="n"/>
      <c r="M10" s="63" t="n"/>
      <c r="N10" s="65" t="n"/>
      <c r="O10" s="63" t="inlineStr">
        <is>
          <t>On record</t>
        </is>
      </c>
      <c r="P10" s="284" t="n">
        <v>45610</v>
      </c>
      <c r="Q10" s="67" t="inlineStr">
        <is>
          <t>Expired</t>
        </is>
      </c>
      <c r="R10" s="63" t="inlineStr">
        <is>
          <t>Non-Wheel Chair</t>
        </is>
      </c>
      <c r="S10" s="66" t="n"/>
      <c r="T10" s="68" t="n"/>
      <c r="U10" s="68" t="inlineStr">
        <is>
          <t>Archive</t>
        </is>
      </c>
    </row>
    <row r="11" ht="16.5" customHeight="1" s="237">
      <c r="A11" s="61" t="inlineStr">
        <is>
          <t>Brandon Goins</t>
        </is>
      </c>
      <c r="B11" s="284" t="inlineStr">
        <is>
          <t>N/A</t>
        </is>
      </c>
      <c r="C11" s="61" t="inlineStr">
        <is>
          <t>476 Kirk Ln Dr.</t>
        </is>
      </c>
      <c r="D11" s="61" t="inlineStr">
        <is>
          <t>Troy</t>
        </is>
      </c>
      <c r="E11" s="63" t="inlineStr">
        <is>
          <t>Mi</t>
        </is>
      </c>
      <c r="F11" s="63" t="n">
        <v>48084</v>
      </c>
      <c r="G11" s="291" t="n"/>
      <c r="H11" s="61" t="n"/>
      <c r="I11" s="61" t="n"/>
      <c r="J11" s="284" t="n"/>
      <c r="K11" s="61" t="n"/>
      <c r="L11" s="291" t="n"/>
      <c r="M11" s="63" t="n"/>
      <c r="N11" s="65" t="n"/>
      <c r="O11" s="63" t="inlineStr">
        <is>
          <t>On record</t>
        </is>
      </c>
      <c r="P11" s="284" t="n">
        <v>45473</v>
      </c>
      <c r="Q11" s="67" t="inlineStr">
        <is>
          <t>Expired</t>
        </is>
      </c>
      <c r="R11" s="63" t="inlineStr">
        <is>
          <t>Non-Wheel Chair</t>
        </is>
      </c>
      <c r="S11" s="66" t="n"/>
      <c r="T11" s="68" t="n"/>
      <c r="U11" s="68" t="inlineStr">
        <is>
          <t>Archive</t>
        </is>
      </c>
    </row>
    <row r="12" ht="16.5" customHeight="1" s="237">
      <c r="A12" s="61" t="inlineStr">
        <is>
          <t>Bryane Childes</t>
        </is>
      </c>
      <c r="B12" s="284" t="inlineStr">
        <is>
          <t>N/A</t>
        </is>
      </c>
      <c r="C12" s="61" t="inlineStr">
        <is>
          <t xml:space="preserve">28830 Redleaf Ln. </t>
        </is>
      </c>
      <c r="D12" s="61" t="inlineStr">
        <is>
          <t>Southfield</t>
        </is>
      </c>
      <c r="E12" s="63" t="inlineStr">
        <is>
          <t>MI</t>
        </is>
      </c>
      <c r="F12" s="63" t="n">
        <v>48076</v>
      </c>
      <c r="G12" s="291" t="n"/>
      <c r="H12" s="61" t="n"/>
      <c r="I12" s="61" t="n"/>
      <c r="J12" s="284" t="n"/>
      <c r="K12" s="61" t="n"/>
      <c r="L12" s="291" t="n"/>
      <c r="M12" s="63" t="n"/>
      <c r="N12" s="65" t="n"/>
      <c r="O12" s="63" t="inlineStr">
        <is>
          <t>On record</t>
        </is>
      </c>
      <c r="P12" s="284" t="n">
        <v>45479</v>
      </c>
      <c r="Q12" s="67" t="inlineStr">
        <is>
          <t>Expired</t>
        </is>
      </c>
      <c r="R12" s="63" t="inlineStr">
        <is>
          <t>Non-Wheel Chair</t>
        </is>
      </c>
      <c r="S12" s="66" t="n"/>
      <c r="T12" s="68" t="n"/>
      <c r="U12" s="68" t="inlineStr">
        <is>
          <t>Archive</t>
        </is>
      </c>
    </row>
    <row r="13" ht="16.5" customHeight="1" s="237">
      <c r="A13" s="61" t="inlineStr">
        <is>
          <t>Bryon Willis</t>
        </is>
      </c>
      <c r="B13" s="284" t="inlineStr">
        <is>
          <t>N/A</t>
        </is>
      </c>
      <c r="C13" s="61" t="inlineStr">
        <is>
          <t>18974 Algonac St</t>
        </is>
      </c>
      <c r="D13" s="61" t="inlineStr">
        <is>
          <t>Detroit</t>
        </is>
      </c>
      <c r="E13" s="63" t="inlineStr">
        <is>
          <t>MI</t>
        </is>
      </c>
      <c r="F13" s="63" t="n">
        <v>48224</v>
      </c>
      <c r="G13" s="291" t="n"/>
      <c r="H13" s="61" t="n"/>
      <c r="I13" s="61" t="n"/>
      <c r="J13" s="284" t="n"/>
      <c r="K13" s="61" t="n"/>
      <c r="L13" s="291" t="n"/>
      <c r="M13" s="63" t="n"/>
      <c r="N13" s="65" t="n"/>
      <c r="O13" s="63" t="inlineStr">
        <is>
          <t>On record</t>
        </is>
      </c>
      <c r="P13" s="284" t="n">
        <v>45639</v>
      </c>
      <c r="Q13" s="67" t="inlineStr">
        <is>
          <t>Expired</t>
        </is>
      </c>
      <c r="R13" s="63" t="inlineStr">
        <is>
          <t>Non-Wheel Chair</t>
        </is>
      </c>
      <c r="S13" s="66" t="n"/>
      <c r="T13" s="68" t="n"/>
      <c r="U13" s="68" t="inlineStr">
        <is>
          <t>Archive</t>
        </is>
      </c>
    </row>
    <row r="14" ht="16.5" customHeight="1" s="237">
      <c r="A14" s="61" t="inlineStr">
        <is>
          <t>Charles Rollins</t>
        </is>
      </c>
      <c r="B14" s="284" t="inlineStr">
        <is>
          <t>N/A</t>
        </is>
      </c>
      <c r="C14" s="61" t="inlineStr">
        <is>
          <t>8057 Farnworth St.</t>
        </is>
      </c>
      <c r="D14" s="61" t="inlineStr">
        <is>
          <t>Detroit</t>
        </is>
      </c>
      <c r="E14" s="63" t="inlineStr">
        <is>
          <t>MI</t>
        </is>
      </c>
      <c r="F14" s="63" t="n">
        <v>48213</v>
      </c>
      <c r="G14" s="291" t="n"/>
      <c r="H14" s="61" t="n"/>
      <c r="I14" s="61" t="n"/>
      <c r="J14" s="284" t="n"/>
      <c r="K14" s="61" t="n"/>
      <c r="L14" s="291" t="n"/>
      <c r="M14" s="63" t="n"/>
      <c r="N14" s="65" t="n"/>
      <c r="O14" s="63" t="inlineStr">
        <is>
          <t>On record</t>
        </is>
      </c>
      <c r="P14" s="284" t="n">
        <v>45716</v>
      </c>
      <c r="Q14" s="67" t="inlineStr">
        <is>
          <t>Expired</t>
        </is>
      </c>
      <c r="R14" s="63" t="inlineStr">
        <is>
          <t>Non-Wheel Chair</t>
        </is>
      </c>
      <c r="S14" s="66" t="n"/>
      <c r="T14" s="68" t="n"/>
      <c r="U14" s="68" t="inlineStr">
        <is>
          <t>Archive</t>
        </is>
      </c>
    </row>
    <row r="15" ht="16.5" customHeight="1" s="237">
      <c r="A15" s="61" t="inlineStr">
        <is>
          <t>Christina Laraway</t>
        </is>
      </c>
      <c r="B15" s="284" t="inlineStr">
        <is>
          <t>N/A</t>
        </is>
      </c>
      <c r="C15" s="61" t="inlineStr">
        <is>
          <t xml:space="preserve">2845 Oakdale Dr. </t>
        </is>
      </c>
      <c r="D15" s="61" t="inlineStr">
        <is>
          <t>Ann Arbor</t>
        </is>
      </c>
      <c r="E15" s="63" t="inlineStr">
        <is>
          <t>MI</t>
        </is>
      </c>
      <c r="F15" s="63" t="n">
        <v>48108</v>
      </c>
      <c r="G15" s="291" t="n"/>
      <c r="H15" s="61" t="n"/>
      <c r="I15" s="61" t="n"/>
      <c r="J15" s="284" t="n"/>
      <c r="K15" s="61" t="n"/>
      <c r="L15" s="291" t="n"/>
      <c r="M15" s="63" t="n"/>
      <c r="N15" s="65" t="n"/>
      <c r="O15" s="63" t="inlineStr">
        <is>
          <t>On record</t>
        </is>
      </c>
      <c r="P15" s="284" t="n">
        <v>45298</v>
      </c>
      <c r="Q15" s="67" t="inlineStr">
        <is>
          <t>Expired</t>
        </is>
      </c>
      <c r="R15" s="63" t="inlineStr">
        <is>
          <t>Non-Wheel Chair</t>
        </is>
      </c>
      <c r="S15" s="66" t="n"/>
      <c r="T15" s="68" t="n"/>
      <c r="U15" s="68" t="inlineStr">
        <is>
          <t>Archive</t>
        </is>
      </c>
    </row>
    <row r="16" ht="16.5" customHeight="1" s="237">
      <c r="A16" s="61" t="inlineStr">
        <is>
          <t>Christopher Holeman</t>
        </is>
      </c>
      <c r="B16" s="284" t="inlineStr">
        <is>
          <t>N/A</t>
        </is>
      </c>
      <c r="C16" s="61" t="inlineStr">
        <is>
          <t xml:space="preserve">3874 15th St. </t>
        </is>
      </c>
      <c r="D16" s="61" t="inlineStr">
        <is>
          <t>Ecorse</t>
        </is>
      </c>
      <c r="E16" s="63" t="inlineStr">
        <is>
          <t>MI</t>
        </is>
      </c>
      <c r="F16" s="63" t="n">
        <v>48229</v>
      </c>
      <c r="G16" s="291" t="n"/>
      <c r="H16" s="61" t="n"/>
      <c r="I16" s="61" t="n"/>
      <c r="J16" s="284" t="n"/>
      <c r="K16" s="61" t="n"/>
      <c r="L16" s="291" t="n"/>
      <c r="M16" s="63" t="n"/>
      <c r="N16" s="65" t="n"/>
      <c r="O16" s="63" t="inlineStr">
        <is>
          <t>On record</t>
        </is>
      </c>
      <c r="P16" s="284" t="n">
        <v>45613</v>
      </c>
      <c r="Q16" s="67" t="inlineStr">
        <is>
          <t>Expired</t>
        </is>
      </c>
      <c r="R16" s="63" t="inlineStr">
        <is>
          <t>Non-Wheel Chair</t>
        </is>
      </c>
      <c r="S16" s="66" t="n"/>
      <c r="T16" s="68" t="n"/>
      <c r="U16" s="68" t="inlineStr">
        <is>
          <t>Archive</t>
        </is>
      </c>
    </row>
    <row r="17" ht="16.5" customHeight="1" s="237">
      <c r="A17" s="61" t="inlineStr">
        <is>
          <t>Chrysalis Spearman</t>
        </is>
      </c>
      <c r="B17" s="284" t="inlineStr">
        <is>
          <t>N/A</t>
        </is>
      </c>
      <c r="C17" s="61" t="inlineStr">
        <is>
          <t>1007 Woodlake Lane</t>
        </is>
      </c>
      <c r="D17" s="61" t="inlineStr">
        <is>
          <t>Pontiac</t>
        </is>
      </c>
      <c r="E17" s="63" t="inlineStr">
        <is>
          <t>MI</t>
        </is>
      </c>
      <c r="F17" s="63" t="n">
        <v>48342</v>
      </c>
      <c r="G17" s="291" t="n"/>
      <c r="H17" s="61" t="n"/>
      <c r="I17" s="61" t="n"/>
      <c r="J17" s="284" t="n"/>
      <c r="K17" s="61" t="n"/>
      <c r="L17" s="291" t="n"/>
      <c r="M17" s="63" t="n"/>
      <c r="N17" s="65" t="n"/>
      <c r="O17" s="63" t="inlineStr">
        <is>
          <t>On record</t>
        </is>
      </c>
      <c r="P17" s="284" t="n">
        <v>45710</v>
      </c>
      <c r="Q17" s="67" t="inlineStr">
        <is>
          <t>Expired</t>
        </is>
      </c>
      <c r="R17" s="63" t="inlineStr">
        <is>
          <t>Non-Wheel Chair</t>
        </is>
      </c>
      <c r="S17" s="66" t="n"/>
      <c r="T17" s="68" t="n"/>
      <c r="U17" s="68" t="inlineStr">
        <is>
          <t>Archive</t>
        </is>
      </c>
    </row>
    <row r="18" ht="16.5" customHeight="1" s="237">
      <c r="A18" s="61" t="inlineStr">
        <is>
          <t>Corey Howell</t>
        </is>
      </c>
      <c r="B18" s="284" t="inlineStr">
        <is>
          <t>N/A</t>
        </is>
      </c>
      <c r="C18" s="61" t="inlineStr">
        <is>
          <t>9051 Auburn St</t>
        </is>
      </c>
      <c r="D18" s="61" t="inlineStr">
        <is>
          <t>Detroit</t>
        </is>
      </c>
      <c r="E18" s="63" t="inlineStr">
        <is>
          <t>MI</t>
        </is>
      </c>
      <c r="F18" s="63" t="n">
        <v>48228</v>
      </c>
      <c r="G18" s="291" t="n"/>
      <c r="H18" s="61" t="n"/>
      <c r="I18" s="61" t="n"/>
      <c r="J18" s="284" t="n"/>
      <c r="K18" s="61" t="n"/>
      <c r="L18" s="291" t="n"/>
      <c r="M18" s="63" t="n"/>
      <c r="N18" s="65" t="n"/>
      <c r="O18" s="63" t="inlineStr">
        <is>
          <t>On record</t>
        </is>
      </c>
      <c r="P18" s="284" t="n">
        <v>45696</v>
      </c>
      <c r="Q18" s="67" t="inlineStr">
        <is>
          <t>Expired</t>
        </is>
      </c>
      <c r="R18" s="63" t="inlineStr">
        <is>
          <t>Non-Wheel Chair</t>
        </is>
      </c>
      <c r="S18" s="66" t="n"/>
      <c r="T18" s="68" t="n"/>
      <c r="U18" s="68" t="inlineStr">
        <is>
          <t>Archive</t>
        </is>
      </c>
    </row>
    <row r="19" ht="16.5" customHeight="1" s="237">
      <c r="A19" s="61" t="inlineStr">
        <is>
          <t>Danielle Caruthers</t>
        </is>
      </c>
      <c r="B19" s="284" t="inlineStr">
        <is>
          <t>N/A</t>
        </is>
      </c>
      <c r="C19" s="61" t="inlineStr">
        <is>
          <t>2235 Moore Rd.</t>
        </is>
      </c>
      <c r="D19" s="61" t="inlineStr">
        <is>
          <t>Lincoln Park</t>
        </is>
      </c>
      <c r="E19" s="63" t="inlineStr">
        <is>
          <t>MI</t>
        </is>
      </c>
      <c r="F19" s="63" t="n">
        <v>48146</v>
      </c>
      <c r="G19" s="291" t="n"/>
      <c r="H19" s="61" t="n"/>
      <c r="I19" s="61" t="n"/>
      <c r="J19" s="284" t="n"/>
      <c r="K19" s="61" t="n"/>
      <c r="L19" s="291" t="n"/>
      <c r="M19" s="63" t="n"/>
      <c r="N19" s="65" t="n"/>
      <c r="O19" s="63" t="inlineStr">
        <is>
          <t>On record</t>
        </is>
      </c>
      <c r="P19" s="284" t="n">
        <v>45757</v>
      </c>
      <c r="Q19" s="67" t="inlineStr">
        <is>
          <t>Expired</t>
        </is>
      </c>
      <c r="R19" s="63" t="inlineStr">
        <is>
          <t>Non-Wheel Chair</t>
        </is>
      </c>
      <c r="S19" s="66" t="n"/>
      <c r="T19" s="68" t="n"/>
      <c r="U19" s="68" t="inlineStr">
        <is>
          <t>Archive</t>
        </is>
      </c>
    </row>
    <row r="20" ht="16.5" customHeight="1" s="237">
      <c r="A20" s="61" t="inlineStr">
        <is>
          <t>Danita Mcknight</t>
        </is>
      </c>
      <c r="B20" s="284" t="inlineStr">
        <is>
          <t>N/A</t>
        </is>
      </c>
      <c r="C20" s="61" t="inlineStr">
        <is>
          <t>2301  Ewald  Circle</t>
        </is>
      </c>
      <c r="D20" s="61" t="inlineStr">
        <is>
          <t>Detroit</t>
        </is>
      </c>
      <c r="E20" s="63" t="inlineStr">
        <is>
          <t>MI</t>
        </is>
      </c>
      <c r="F20" s="63" t="n">
        <v>48238</v>
      </c>
      <c r="G20" s="291" t="n"/>
      <c r="H20" s="61" t="n"/>
      <c r="I20" s="61" t="n"/>
      <c r="J20" s="284" t="n"/>
      <c r="K20" s="61" t="n"/>
      <c r="L20" s="291" t="n"/>
      <c r="M20" s="63" t="n"/>
      <c r="N20" s="65" t="n"/>
      <c r="O20" s="63" t="inlineStr">
        <is>
          <t>On record</t>
        </is>
      </c>
      <c r="P20" s="284" t="n">
        <v>45578</v>
      </c>
      <c r="Q20" s="67" t="inlineStr">
        <is>
          <t>Expired</t>
        </is>
      </c>
      <c r="R20" s="63" t="inlineStr">
        <is>
          <t>Non-Wheel Chair</t>
        </is>
      </c>
      <c r="S20" s="66" t="n"/>
      <c r="T20" s="68" t="n"/>
      <c r="U20" s="68" t="inlineStr">
        <is>
          <t>Archive</t>
        </is>
      </c>
    </row>
    <row r="21" ht="49.5" customHeight="1" s="237">
      <c r="A21" s="61" t="inlineStr">
        <is>
          <t>David Williams</t>
        </is>
      </c>
      <c r="B21" s="284" t="inlineStr">
        <is>
          <t>N/A</t>
        </is>
      </c>
      <c r="C21" s="61" t="inlineStr">
        <is>
          <t>10431 Maplelawn St.</t>
        </is>
      </c>
      <c r="D21" s="61" t="inlineStr">
        <is>
          <t>Detroit</t>
        </is>
      </c>
      <c r="E21" s="63" t="inlineStr">
        <is>
          <t>MI</t>
        </is>
      </c>
      <c r="F21" s="63" t="n">
        <v>48204</v>
      </c>
      <c r="G21" s="291" t="n"/>
      <c r="H21" s="61" t="n"/>
      <c r="I21" s="61" t="n"/>
      <c r="J21" s="284" t="n"/>
      <c r="K21" s="61" t="n"/>
      <c r="L21" s="291" t="n"/>
      <c r="M21" s="63" t="n"/>
      <c r="N21" s="65" t="n"/>
      <c r="O21" s="63" t="inlineStr">
        <is>
          <t>On record</t>
        </is>
      </c>
      <c r="P21" s="284" t="n">
        <v>45591</v>
      </c>
      <c r="Q21" s="67" t="inlineStr">
        <is>
          <t>Expired</t>
        </is>
      </c>
      <c r="R21" s="63" t="inlineStr">
        <is>
          <t>Non-Wheel Chair</t>
        </is>
      </c>
      <c r="S21" s="66" t="n"/>
      <c r="T21" s="66" t="inlineStr">
        <is>
          <t>Walker Assistance
$50.0 Charge</t>
        </is>
      </c>
      <c r="U21" s="68" t="inlineStr">
        <is>
          <t>Archive</t>
        </is>
      </c>
    </row>
    <row r="22" ht="16.5" customHeight="1" s="237">
      <c r="A22" s="61" t="inlineStr">
        <is>
          <t>Deasia Ruff</t>
        </is>
      </c>
      <c r="B22" s="284" t="inlineStr">
        <is>
          <t>N/A</t>
        </is>
      </c>
      <c r="C22" s="61" t="inlineStr">
        <is>
          <t>116 W Greendale St</t>
        </is>
      </c>
      <c r="D22" s="61" t="inlineStr">
        <is>
          <t>Detroit</t>
        </is>
      </c>
      <c r="E22" s="63" t="inlineStr">
        <is>
          <t>MI</t>
        </is>
      </c>
      <c r="F22" s="63" t="n">
        <v>48203</v>
      </c>
      <c r="G22" s="291" t="n"/>
      <c r="H22" s="61" t="n"/>
      <c r="I22" s="61" t="n"/>
      <c r="J22" s="284" t="n"/>
      <c r="K22" s="61" t="n"/>
      <c r="L22" s="291" t="n"/>
      <c r="M22" s="63" t="n"/>
      <c r="N22" s="65" t="n"/>
      <c r="O22" s="63" t="inlineStr">
        <is>
          <t>On record</t>
        </is>
      </c>
      <c r="P22" s="284" t="n">
        <v>45589</v>
      </c>
      <c r="Q22" s="67" t="inlineStr">
        <is>
          <t>Expired</t>
        </is>
      </c>
      <c r="R22" s="63" t="inlineStr">
        <is>
          <t>Wheel Chair</t>
        </is>
      </c>
      <c r="S22" s="66" t="n"/>
      <c r="T22" s="68" t="n"/>
      <c r="U22" s="68" t="inlineStr">
        <is>
          <t>Archive</t>
        </is>
      </c>
    </row>
    <row r="23" ht="16.5" customHeight="1" s="237">
      <c r="A23" s="61" t="inlineStr">
        <is>
          <t>Destiny Bailey</t>
        </is>
      </c>
      <c r="B23" s="284" t="inlineStr">
        <is>
          <t>N/A</t>
        </is>
      </c>
      <c r="C23" s="61" t="inlineStr">
        <is>
          <t>13069 Sarsfield St</t>
        </is>
      </c>
      <c r="D23" s="61" t="inlineStr">
        <is>
          <t>Warren</t>
        </is>
      </c>
      <c r="E23" s="63" t="inlineStr">
        <is>
          <t>MI</t>
        </is>
      </c>
      <c r="F23" s="63" t="n">
        <v>48089</v>
      </c>
      <c r="G23" s="291" t="n"/>
      <c r="H23" s="61" t="n"/>
      <c r="I23" s="61" t="n"/>
      <c r="J23" s="284" t="n"/>
      <c r="K23" s="61" t="n"/>
      <c r="L23" s="291" t="n"/>
      <c r="M23" s="63" t="n"/>
      <c r="N23" s="65" t="n"/>
      <c r="O23" s="63" t="inlineStr">
        <is>
          <t>On record</t>
        </is>
      </c>
      <c r="P23" s="284" t="n">
        <v>45447</v>
      </c>
      <c r="Q23" s="67" t="inlineStr">
        <is>
          <t>Expired</t>
        </is>
      </c>
      <c r="R23" s="63" t="inlineStr">
        <is>
          <t>Non-Wheel Chair</t>
        </is>
      </c>
      <c r="S23" s="66" t="n"/>
      <c r="T23" s="68" t="n"/>
      <c r="U23" s="68" t="inlineStr">
        <is>
          <t>Archive</t>
        </is>
      </c>
    </row>
    <row r="24" ht="16.5" customHeight="1" s="237">
      <c r="A24" s="61" t="inlineStr">
        <is>
          <t>Divionda Collier</t>
        </is>
      </c>
      <c r="B24" s="284" t="inlineStr">
        <is>
          <t>N/A</t>
        </is>
      </c>
      <c r="C24" s="61" t="inlineStr">
        <is>
          <t>19393 Anglin St</t>
        </is>
      </c>
      <c r="D24" s="61" t="inlineStr">
        <is>
          <t>Detroit</t>
        </is>
      </c>
      <c r="E24" s="63" t="inlineStr">
        <is>
          <t>MI</t>
        </is>
      </c>
      <c r="F24" s="63" t="n">
        <v>48234</v>
      </c>
      <c r="G24" s="291" t="n"/>
      <c r="H24" s="61" t="n"/>
      <c r="I24" s="61" t="n"/>
      <c r="J24" s="284" t="n"/>
      <c r="K24" s="61" t="n"/>
      <c r="L24" s="291" t="n"/>
      <c r="M24" s="63" t="n"/>
      <c r="N24" s="65" t="n"/>
      <c r="O24" s="63" t="inlineStr">
        <is>
          <t>On record</t>
        </is>
      </c>
      <c r="P24" s="284" t="n">
        <v>45716</v>
      </c>
      <c r="Q24" s="67" t="inlineStr">
        <is>
          <t>Expired</t>
        </is>
      </c>
      <c r="R24" s="63" t="inlineStr">
        <is>
          <t>Non-Wheel Chair</t>
        </is>
      </c>
      <c r="S24" s="66" t="n"/>
      <c r="T24" s="68" t="n"/>
      <c r="U24" s="68" t="inlineStr">
        <is>
          <t>Archive</t>
        </is>
      </c>
    </row>
    <row r="25" ht="16.5" customHeight="1" s="237">
      <c r="A25" s="61" t="inlineStr">
        <is>
          <t>Donald Mccuin</t>
        </is>
      </c>
      <c r="B25" s="284" t="inlineStr">
        <is>
          <t>N/A</t>
        </is>
      </c>
      <c r="C25" s="61" t="inlineStr">
        <is>
          <t>29401 Sharon Ln</t>
        </is>
      </c>
      <c r="D25" s="61" t="inlineStr">
        <is>
          <t>Southfield</t>
        </is>
      </c>
      <c r="E25" s="63" t="inlineStr">
        <is>
          <t xml:space="preserve">MI </t>
        </is>
      </c>
      <c r="F25" s="63" t="n">
        <v>48076</v>
      </c>
      <c r="G25" s="291" t="n"/>
      <c r="H25" s="61" t="n"/>
      <c r="I25" s="61" t="n"/>
      <c r="J25" s="284" t="n"/>
      <c r="K25" s="61" t="n"/>
      <c r="L25" s="291" t="n"/>
      <c r="M25" s="63" t="n"/>
      <c r="N25" s="65" t="n"/>
      <c r="O25" s="63" t="inlineStr">
        <is>
          <t>On record</t>
        </is>
      </c>
      <c r="P25" s="284" t="n">
        <v>45647</v>
      </c>
      <c r="Q25" s="67" t="inlineStr">
        <is>
          <t>Expired</t>
        </is>
      </c>
      <c r="R25" s="63" t="inlineStr">
        <is>
          <t>Non-Wheel Chair</t>
        </is>
      </c>
      <c r="S25" s="66" t="n"/>
      <c r="T25" s="68" t="n"/>
      <c r="U25" s="68" t="inlineStr">
        <is>
          <t>Archive</t>
        </is>
      </c>
    </row>
    <row r="26" ht="16.5" customHeight="1" s="237">
      <c r="A26" s="61" t="inlineStr">
        <is>
          <t>Erik Laster</t>
        </is>
      </c>
      <c r="B26" s="284" t="inlineStr">
        <is>
          <t>N/A</t>
        </is>
      </c>
      <c r="C26" s="61" t="inlineStr">
        <is>
          <t>5100 Mott Rd trailor 219</t>
        </is>
      </c>
      <c r="D26" s="61" t="inlineStr">
        <is>
          <t>Canton</t>
        </is>
      </c>
      <c r="E26" s="63" t="inlineStr">
        <is>
          <t>MI</t>
        </is>
      </c>
      <c r="F26" s="63" t="n">
        <v>48188</v>
      </c>
      <c r="G26" s="291" t="n"/>
      <c r="H26" s="61" t="n"/>
      <c r="I26" s="61" t="n"/>
      <c r="J26" s="284" t="n"/>
      <c r="K26" s="61" t="n"/>
      <c r="L26" s="291" t="n"/>
      <c r="M26" s="63" t="n"/>
      <c r="N26" s="65" t="n"/>
      <c r="O26" s="63" t="inlineStr">
        <is>
          <t>On record</t>
        </is>
      </c>
      <c r="P26" s="284" t="n">
        <v>45557</v>
      </c>
      <c r="Q26" s="67" t="inlineStr">
        <is>
          <t>Expired</t>
        </is>
      </c>
      <c r="R26" s="63" t="inlineStr">
        <is>
          <t>Non-Wheel Chair</t>
        </is>
      </c>
      <c r="S26" s="66" t="n"/>
      <c r="T26" s="68" t="n"/>
      <c r="U26" s="68" t="inlineStr">
        <is>
          <t>Archive</t>
        </is>
      </c>
    </row>
    <row r="27" ht="16.5" customHeight="1" s="237">
      <c r="A27" s="61" t="inlineStr">
        <is>
          <t>Ervin Taylor</t>
        </is>
      </c>
      <c r="B27" s="284" t="inlineStr">
        <is>
          <t>N/A</t>
        </is>
      </c>
      <c r="C27" s="61" t="inlineStr">
        <is>
          <t>13608 Cloverlawn St.</t>
        </is>
      </c>
      <c r="D27" s="61" t="inlineStr">
        <is>
          <t>Detroit</t>
        </is>
      </c>
      <c r="E27" s="63" t="inlineStr">
        <is>
          <t>MI</t>
        </is>
      </c>
      <c r="F27" s="63" t="n">
        <v>48238</v>
      </c>
      <c r="G27" s="291" t="n"/>
      <c r="H27" s="61" t="n"/>
      <c r="I27" s="61" t="n"/>
      <c r="J27" s="284" t="n"/>
      <c r="K27" s="61" t="n"/>
      <c r="L27" s="291" t="n"/>
      <c r="M27" s="63" t="n"/>
      <c r="N27" s="65" t="n"/>
      <c r="O27" s="63" t="inlineStr">
        <is>
          <t>On record</t>
        </is>
      </c>
      <c r="P27" s="284" t="n">
        <v>45396</v>
      </c>
      <c r="Q27" s="67" t="inlineStr">
        <is>
          <t>Expired</t>
        </is>
      </c>
      <c r="R27" s="63" t="inlineStr">
        <is>
          <t>Non-Wheel Chair</t>
        </is>
      </c>
      <c r="S27" s="66" t="n"/>
      <c r="T27" s="68" t="n"/>
      <c r="U27" s="68" t="inlineStr">
        <is>
          <t>Archive</t>
        </is>
      </c>
    </row>
    <row r="28" ht="16.5" customHeight="1" s="237">
      <c r="A28" s="61" t="inlineStr">
        <is>
          <t>Hussein Chahin</t>
        </is>
      </c>
      <c r="B28" s="284" t="inlineStr">
        <is>
          <t>N/A</t>
        </is>
      </c>
      <c r="C28" s="61" t="inlineStr">
        <is>
          <t>7836 N Charlseworth St.</t>
        </is>
      </c>
      <c r="D28" s="61" t="inlineStr">
        <is>
          <t>Dearborn Heights</t>
        </is>
      </c>
      <c r="E28" s="63" t="inlineStr">
        <is>
          <t>MI</t>
        </is>
      </c>
      <c r="F28" s="63" t="n">
        <v>48127</v>
      </c>
      <c r="G28" s="291" t="n"/>
      <c r="H28" s="61" t="n"/>
      <c r="I28" s="61" t="n"/>
      <c r="J28" s="284" t="n"/>
      <c r="K28" s="61" t="n"/>
      <c r="L28" s="291" t="n"/>
      <c r="M28" s="63" t="n"/>
      <c r="N28" s="65" t="n"/>
      <c r="O28" s="63" t="inlineStr">
        <is>
          <t>On record</t>
        </is>
      </c>
      <c r="P28" s="284" t="n">
        <v>45364</v>
      </c>
      <c r="Q28" s="67" t="inlineStr">
        <is>
          <t>Expired</t>
        </is>
      </c>
      <c r="R28" s="63" t="inlineStr">
        <is>
          <t>Non-Wheel Chair</t>
        </is>
      </c>
      <c r="S28" s="66" t="n"/>
      <c r="T28" s="68" t="n"/>
      <c r="U28" s="68" t="inlineStr">
        <is>
          <t>Archive</t>
        </is>
      </c>
    </row>
    <row r="29" ht="16.5" customHeight="1" s="237">
      <c r="A29" s="61" t="inlineStr">
        <is>
          <t>Ieesha Mitchell</t>
        </is>
      </c>
      <c r="B29" s="284" t="inlineStr">
        <is>
          <t>N/A</t>
        </is>
      </c>
      <c r="C29" s="61" t="inlineStr">
        <is>
          <t>534 Campbell St.</t>
        </is>
      </c>
      <c r="D29" s="61" t="inlineStr">
        <is>
          <t>River Rouge</t>
        </is>
      </c>
      <c r="E29" s="63" t="inlineStr">
        <is>
          <t>MI</t>
        </is>
      </c>
      <c r="F29" s="63" t="n">
        <v>48218</v>
      </c>
      <c r="G29" s="291" t="n"/>
      <c r="H29" s="61" t="n"/>
      <c r="I29" s="61" t="n"/>
      <c r="J29" s="284" t="n"/>
      <c r="K29" s="61" t="n"/>
      <c r="L29" s="291" t="n"/>
      <c r="M29" s="63" t="n"/>
      <c r="N29" s="65" t="n"/>
      <c r="O29" s="63" t="inlineStr">
        <is>
          <t>On record</t>
        </is>
      </c>
      <c r="P29" s="284" t="n">
        <v>45396</v>
      </c>
      <c r="Q29" s="67" t="inlineStr">
        <is>
          <t>Expired</t>
        </is>
      </c>
      <c r="R29" s="63" t="inlineStr">
        <is>
          <t>Non-Wheel Chair</t>
        </is>
      </c>
      <c r="S29" s="66" t="n"/>
      <c r="T29" s="68" t="n"/>
      <c r="U29" s="68" t="inlineStr">
        <is>
          <t>Archive</t>
        </is>
      </c>
    </row>
    <row r="30" ht="16.5" customHeight="1" s="237">
      <c r="A30" s="61" t="inlineStr">
        <is>
          <t>Ishiah Reasonover</t>
        </is>
      </c>
      <c r="B30" s="284" t="inlineStr">
        <is>
          <t>N/A</t>
        </is>
      </c>
      <c r="C30" s="61" t="inlineStr">
        <is>
          <t>13694 Edmore Dr.</t>
        </is>
      </c>
      <c r="D30" s="61" t="inlineStr">
        <is>
          <t>Detroit</t>
        </is>
      </c>
      <c r="E30" s="63" t="inlineStr">
        <is>
          <t>MI</t>
        </is>
      </c>
      <c r="F30" s="63" t="n">
        <v>48205</v>
      </c>
      <c r="G30" s="291" t="n"/>
      <c r="H30" s="61" t="n"/>
      <c r="I30" s="61" t="n"/>
      <c r="J30" s="284" t="n"/>
      <c r="K30" s="61" t="n"/>
      <c r="L30" s="291" t="n"/>
      <c r="M30" s="63" t="n"/>
      <c r="N30" s="65" t="n"/>
      <c r="O30" s="63" t="inlineStr">
        <is>
          <t>On record</t>
        </is>
      </c>
      <c r="P30" s="284" t="n">
        <v>45473</v>
      </c>
      <c r="Q30" s="67" t="inlineStr">
        <is>
          <t>Expired</t>
        </is>
      </c>
      <c r="R30" s="63" t="inlineStr">
        <is>
          <t>Non-Wheel Chair</t>
        </is>
      </c>
      <c r="S30" s="66" t="n"/>
      <c r="T30" s="68" t="n"/>
      <c r="U30" s="68" t="inlineStr">
        <is>
          <t>Archive</t>
        </is>
      </c>
    </row>
    <row r="31" ht="16.5" customHeight="1" s="237">
      <c r="A31" s="61" t="inlineStr">
        <is>
          <t>Jamale Lockett</t>
        </is>
      </c>
      <c r="B31" s="284" t="inlineStr">
        <is>
          <t>N/A</t>
        </is>
      </c>
      <c r="C31" s="61" t="inlineStr">
        <is>
          <t xml:space="preserve">12200 Sorento St. </t>
        </is>
      </c>
      <c r="D31" s="61" t="inlineStr">
        <is>
          <t>Detroit</t>
        </is>
      </c>
      <c r="E31" s="63" t="inlineStr">
        <is>
          <t xml:space="preserve">MI </t>
        </is>
      </c>
      <c r="F31" s="63" t="n">
        <v>48227</v>
      </c>
      <c r="G31" s="291" t="n"/>
      <c r="H31" s="61" t="n"/>
      <c r="I31" s="61" t="n"/>
      <c r="J31" s="284" t="n"/>
      <c r="K31" s="61" t="n"/>
      <c r="L31" s="291" t="n"/>
      <c r="M31" s="63" t="n"/>
      <c r="N31" s="65" t="n"/>
      <c r="O31" s="63" t="inlineStr">
        <is>
          <t>On record</t>
        </is>
      </c>
      <c r="P31" s="284" t="n">
        <v>45521</v>
      </c>
      <c r="Q31" s="67" t="inlineStr">
        <is>
          <t>Expired</t>
        </is>
      </c>
      <c r="R31" s="63" t="inlineStr">
        <is>
          <t>Non-Wheel Chair</t>
        </is>
      </c>
      <c r="S31" s="66" t="n"/>
      <c r="T31" s="68" t="n"/>
      <c r="U31" s="68" t="inlineStr">
        <is>
          <t>Archive</t>
        </is>
      </c>
    </row>
    <row r="32" ht="16.5" customHeight="1" s="237">
      <c r="A32" s="61" t="inlineStr">
        <is>
          <t>Jasmine Mason</t>
        </is>
      </c>
      <c r="B32" s="284" t="inlineStr">
        <is>
          <t>N/A</t>
        </is>
      </c>
      <c r="C32" s="61" t="inlineStr">
        <is>
          <t>13694 Edmore Dr.</t>
        </is>
      </c>
      <c r="D32" s="61" t="inlineStr">
        <is>
          <t>Detroit</t>
        </is>
      </c>
      <c r="E32" s="63" t="inlineStr">
        <is>
          <t>MI</t>
        </is>
      </c>
      <c r="F32" s="63" t="n">
        <v>48205</v>
      </c>
      <c r="G32" s="291" t="n"/>
      <c r="H32" s="61" t="n"/>
      <c r="I32" s="61" t="n"/>
      <c r="J32" s="284" t="n"/>
      <c r="K32" s="61" t="n"/>
      <c r="L32" s="291" t="n"/>
      <c r="M32" s="63" t="n"/>
      <c r="N32" s="65" t="n"/>
      <c r="O32" s="63" t="inlineStr">
        <is>
          <t>On record</t>
        </is>
      </c>
      <c r="P32" s="284" t="n">
        <v>45473</v>
      </c>
      <c r="Q32" s="67" t="inlineStr">
        <is>
          <t>Expired</t>
        </is>
      </c>
      <c r="R32" s="63" t="inlineStr">
        <is>
          <t>Wheel Chair</t>
        </is>
      </c>
      <c r="S32" s="66" t="n"/>
      <c r="T32" s="68" t="n"/>
      <c r="U32" s="68" t="inlineStr">
        <is>
          <t>Archive</t>
        </is>
      </c>
    </row>
    <row r="33" ht="16.5" customHeight="1" s="237">
      <c r="A33" s="61" t="inlineStr">
        <is>
          <t>Kayla Fletcher</t>
        </is>
      </c>
      <c r="B33" s="284" t="inlineStr">
        <is>
          <t>N/A</t>
        </is>
      </c>
      <c r="C33" s="61" t="inlineStr">
        <is>
          <t>19178 Kenosha St.</t>
        </is>
      </c>
      <c r="D33" s="61" t="inlineStr">
        <is>
          <t>Harper Woods</t>
        </is>
      </c>
      <c r="E33" s="63" t="inlineStr">
        <is>
          <t>MI</t>
        </is>
      </c>
      <c r="F33" s="63" t="n">
        <v>48225</v>
      </c>
      <c r="G33" s="291" t="n"/>
      <c r="H33" s="61" t="n"/>
      <c r="I33" s="61" t="n"/>
      <c r="J33" s="284" t="n"/>
      <c r="K33" s="61" t="n"/>
      <c r="L33" s="291" t="n"/>
      <c r="M33" s="63" t="n"/>
      <c r="N33" s="65" t="n"/>
      <c r="O33" s="63" t="inlineStr">
        <is>
          <t>On record</t>
        </is>
      </c>
      <c r="P33" s="284" t="n">
        <v>45542</v>
      </c>
      <c r="Q33" s="67" t="inlineStr">
        <is>
          <t>Expired</t>
        </is>
      </c>
      <c r="R33" s="63" t="inlineStr">
        <is>
          <t>Non-Wheel Chair</t>
        </is>
      </c>
      <c r="S33" s="66" t="n"/>
      <c r="T33" s="68" t="n"/>
      <c r="U33" s="68" t="inlineStr">
        <is>
          <t>Archive</t>
        </is>
      </c>
    </row>
    <row r="34" ht="16.5" customHeight="1" s="237">
      <c r="A34" s="61" t="inlineStr">
        <is>
          <t>Kion Dawkins</t>
        </is>
      </c>
      <c r="B34" s="284" t="inlineStr">
        <is>
          <t>N/A</t>
        </is>
      </c>
      <c r="C34" s="61" t="inlineStr">
        <is>
          <t>4342 Trumbull St.</t>
        </is>
      </c>
      <c r="D34" s="61" t="inlineStr">
        <is>
          <t>Detroit</t>
        </is>
      </c>
      <c r="E34" s="63" t="inlineStr">
        <is>
          <t>MI</t>
        </is>
      </c>
      <c r="F34" s="63" t="n">
        <v>48208</v>
      </c>
      <c r="G34" s="291" t="n"/>
      <c r="H34" s="61" t="n"/>
      <c r="I34" s="61" t="n"/>
      <c r="J34" s="284" t="n"/>
      <c r="K34" s="61" t="n"/>
      <c r="L34" s="291" t="n"/>
      <c r="M34" s="63" t="n"/>
      <c r="N34" s="65" t="n"/>
      <c r="O34" s="63" t="inlineStr">
        <is>
          <t>On record</t>
        </is>
      </c>
      <c r="P34" s="284" t="n">
        <v>45716</v>
      </c>
      <c r="Q34" s="67" t="inlineStr">
        <is>
          <t>Expired</t>
        </is>
      </c>
      <c r="R34" s="63" t="inlineStr">
        <is>
          <t>Non-Wheel Chair</t>
        </is>
      </c>
      <c r="S34" s="66" t="n"/>
      <c r="T34" s="68" t="n"/>
      <c r="U34" s="68" t="inlineStr">
        <is>
          <t>Archive</t>
        </is>
      </c>
    </row>
    <row r="35" ht="16.5" customHeight="1" s="237">
      <c r="A35" s="61" t="inlineStr">
        <is>
          <t>Laquanda Cowart</t>
        </is>
      </c>
      <c r="B35" s="284" t="inlineStr">
        <is>
          <t>N/A</t>
        </is>
      </c>
      <c r="C35" s="61" t="inlineStr">
        <is>
          <t>821 East Alpha Dr.</t>
        </is>
      </c>
      <c r="D35" s="61" t="inlineStr">
        <is>
          <t>Waterford</t>
        </is>
      </c>
      <c r="E35" s="63" t="inlineStr">
        <is>
          <t>MI</t>
        </is>
      </c>
      <c r="F35" s="63" t="n">
        <v>48328</v>
      </c>
      <c r="G35" s="291" t="n"/>
      <c r="H35" s="61" t="n"/>
      <c r="I35" s="61" t="n"/>
      <c r="J35" s="284" t="n"/>
      <c r="K35" s="61" t="n"/>
      <c r="L35" s="291" t="n"/>
      <c r="M35" s="63" t="n"/>
      <c r="N35" s="65" t="n"/>
      <c r="O35" s="63" t="inlineStr">
        <is>
          <t>On record</t>
        </is>
      </c>
      <c r="P35" s="284" t="n">
        <v>45551</v>
      </c>
      <c r="Q35" s="67" t="inlineStr">
        <is>
          <t>Expired</t>
        </is>
      </c>
      <c r="R35" s="63" t="inlineStr">
        <is>
          <t>Non-Wheel Chair</t>
        </is>
      </c>
      <c r="S35" s="66" t="n"/>
      <c r="T35" s="68" t="n"/>
      <c r="U35" s="68" t="inlineStr">
        <is>
          <t>Archive</t>
        </is>
      </c>
    </row>
    <row r="36" ht="16.5" customHeight="1" s="237">
      <c r="A36" s="61" t="inlineStr">
        <is>
          <t>Latrice Choates</t>
        </is>
      </c>
      <c r="B36" s="284" t="inlineStr">
        <is>
          <t>N/A</t>
        </is>
      </c>
      <c r="C36" s="61" t="inlineStr">
        <is>
          <t>20499 Norwood st.</t>
        </is>
      </c>
      <c r="D36" s="61" t="inlineStr">
        <is>
          <t>Detroit</t>
        </is>
      </c>
      <c r="E36" s="63" t="inlineStr">
        <is>
          <t>MI</t>
        </is>
      </c>
      <c r="F36" s="63" t="n">
        <v>48234</v>
      </c>
      <c r="G36" s="291" t="n"/>
      <c r="H36" s="61" t="n"/>
      <c r="I36" s="61" t="n"/>
      <c r="J36" s="284" t="n"/>
      <c r="K36" s="61" t="n"/>
      <c r="L36" s="291" t="n"/>
      <c r="M36" s="63" t="n"/>
      <c r="N36" s="65" t="n"/>
      <c r="O36" s="63" t="inlineStr">
        <is>
          <t>On record</t>
        </is>
      </c>
      <c r="P36" s="284" t="n">
        <v>45716</v>
      </c>
      <c r="Q36" s="67" t="inlineStr">
        <is>
          <t>Expired</t>
        </is>
      </c>
      <c r="R36" s="63" t="inlineStr">
        <is>
          <t>Non-Wheel Chair</t>
        </is>
      </c>
      <c r="S36" s="66" t="n"/>
      <c r="T36" s="68" t="n"/>
      <c r="U36" s="68" t="inlineStr">
        <is>
          <t>Archive</t>
        </is>
      </c>
    </row>
    <row r="37" ht="16.5" customHeight="1" s="237">
      <c r="A37" s="61" t="inlineStr">
        <is>
          <t>Linda Lamb</t>
        </is>
      </c>
      <c r="B37" s="284" t="inlineStr">
        <is>
          <t>N/A</t>
        </is>
      </c>
      <c r="C37" s="61" t="inlineStr">
        <is>
          <t>629 Granada St.</t>
        </is>
      </c>
      <c r="D37" s="61" t="inlineStr">
        <is>
          <t>Pontiac</t>
        </is>
      </c>
      <c r="E37" s="63" t="inlineStr">
        <is>
          <t>MI</t>
        </is>
      </c>
      <c r="F37" s="63" t="n">
        <v>48342</v>
      </c>
      <c r="G37" s="291" t="n"/>
      <c r="H37" s="61" t="n"/>
      <c r="I37" s="61" t="n"/>
      <c r="J37" s="284" t="n"/>
      <c r="K37" s="61" t="n"/>
      <c r="L37" s="291" t="n"/>
      <c r="M37" s="63" t="n"/>
      <c r="N37" s="65" t="n"/>
      <c r="O37" s="63" t="inlineStr">
        <is>
          <t>On record</t>
        </is>
      </c>
      <c r="P37" s="284" t="n">
        <v>45537</v>
      </c>
      <c r="Q37" s="67" t="inlineStr">
        <is>
          <t>Expired</t>
        </is>
      </c>
      <c r="R37" s="63" t="inlineStr">
        <is>
          <t>Non-Wheel Chair</t>
        </is>
      </c>
      <c r="S37" s="66" t="n"/>
      <c r="T37" s="68" t="n"/>
      <c r="U37" s="68" t="inlineStr">
        <is>
          <t>Archive</t>
        </is>
      </c>
    </row>
    <row r="38" ht="16.5" customHeight="1" s="237">
      <c r="A38" s="61" t="inlineStr">
        <is>
          <t>Llewellyn Jenkins</t>
        </is>
      </c>
      <c r="B38" s="284" t="inlineStr">
        <is>
          <t>N/A</t>
        </is>
      </c>
      <c r="C38" s="61" t="inlineStr">
        <is>
          <t>4656 Lakewood</t>
        </is>
      </c>
      <c r="D38" s="61" t="inlineStr">
        <is>
          <t>Detroit</t>
        </is>
      </c>
      <c r="E38" s="63" t="inlineStr">
        <is>
          <t>MI</t>
        </is>
      </c>
      <c r="F38" s="63" t="n">
        <v>48224</v>
      </c>
      <c r="G38" s="291" t="n"/>
      <c r="H38" s="61" t="n"/>
      <c r="I38" s="61" t="n"/>
      <c r="J38" s="284" t="n"/>
      <c r="K38" s="61" t="n"/>
      <c r="L38" s="291" t="n"/>
      <c r="M38" s="63" t="n"/>
      <c r="N38" s="65" t="n"/>
      <c r="O38" s="63" t="inlineStr">
        <is>
          <t>On record</t>
        </is>
      </c>
      <c r="P38" s="284" t="n">
        <v>45716</v>
      </c>
      <c r="Q38" s="67" t="inlineStr">
        <is>
          <t>Expired</t>
        </is>
      </c>
      <c r="R38" s="63" t="inlineStr">
        <is>
          <t>Non-Wheel Chair</t>
        </is>
      </c>
      <c r="S38" s="66" t="n"/>
      <c r="T38" s="68" t="n"/>
      <c r="U38" s="68" t="inlineStr">
        <is>
          <t>Archive</t>
        </is>
      </c>
    </row>
    <row r="39" ht="16.5" customHeight="1" s="237">
      <c r="A39" s="61" t="inlineStr">
        <is>
          <t>Maranda Butler</t>
        </is>
      </c>
      <c r="B39" s="284" t="inlineStr">
        <is>
          <t>N/A</t>
        </is>
      </c>
      <c r="C39" s="61" t="inlineStr">
        <is>
          <t>20521 Fairport St</t>
        </is>
      </c>
      <c r="D39" s="61" t="inlineStr">
        <is>
          <t>Detroit</t>
        </is>
      </c>
      <c r="E39" s="63" t="inlineStr">
        <is>
          <t>MI</t>
        </is>
      </c>
      <c r="F39" s="63" t="n">
        <v>48205</v>
      </c>
      <c r="G39" s="291" t="n"/>
      <c r="H39" s="61" t="n"/>
      <c r="I39" s="61" t="n"/>
      <c r="J39" s="284" t="n"/>
      <c r="K39" s="61" t="n"/>
      <c r="L39" s="291" t="n"/>
      <c r="M39" s="63" t="n"/>
      <c r="N39" s="65" t="n"/>
      <c r="O39" s="63" t="inlineStr">
        <is>
          <t>On record</t>
        </is>
      </c>
      <c r="P39" s="284" t="n">
        <v>45662</v>
      </c>
      <c r="Q39" s="67" t="inlineStr">
        <is>
          <t>Expired</t>
        </is>
      </c>
      <c r="R39" s="63" t="inlineStr">
        <is>
          <t>Non-Wheel Chair</t>
        </is>
      </c>
      <c r="S39" s="66" t="n"/>
      <c r="T39" s="68" t="n"/>
      <c r="U39" s="68" t="inlineStr">
        <is>
          <t>Archive</t>
        </is>
      </c>
    </row>
    <row r="40" ht="16.5" customHeight="1" s="237">
      <c r="A40" s="61" t="inlineStr">
        <is>
          <t>Marc Robinson</t>
        </is>
      </c>
      <c r="B40" s="284" t="inlineStr">
        <is>
          <t>N/A</t>
        </is>
      </c>
      <c r="C40" s="61" t="inlineStr">
        <is>
          <t>24579 Kelly Rd.</t>
        </is>
      </c>
      <c r="D40" s="61" t="inlineStr">
        <is>
          <t>Eastpointe</t>
        </is>
      </c>
      <c r="E40" s="63" t="inlineStr">
        <is>
          <t>MI</t>
        </is>
      </c>
      <c r="F40" s="63" t="n">
        <v>48201</v>
      </c>
      <c r="G40" s="291" t="n"/>
      <c r="H40" s="61" t="n"/>
      <c r="I40" s="61" t="n"/>
      <c r="J40" s="284" t="n"/>
      <c r="K40" s="61" t="n"/>
      <c r="L40" s="291" t="n"/>
      <c r="M40" s="63" t="n"/>
      <c r="N40" s="65" t="n"/>
      <c r="O40" s="63" t="inlineStr">
        <is>
          <t>On record</t>
        </is>
      </c>
      <c r="P40" s="284" t="n">
        <v>45465</v>
      </c>
      <c r="Q40" s="67" t="inlineStr">
        <is>
          <t>Expired</t>
        </is>
      </c>
      <c r="R40" s="63" t="inlineStr">
        <is>
          <t>Non-Wheel Chair</t>
        </is>
      </c>
      <c r="S40" s="66" t="n"/>
      <c r="T40" s="68" t="n"/>
      <c r="U40" s="68" t="inlineStr">
        <is>
          <t>Archive</t>
        </is>
      </c>
    </row>
    <row r="41" ht="16.5" customHeight="1" s="237">
      <c r="A41" s="61" t="inlineStr">
        <is>
          <t>Michael Nelson</t>
        </is>
      </c>
      <c r="B41" s="284" t="inlineStr">
        <is>
          <t>N/A</t>
        </is>
      </c>
      <c r="C41" s="61" t="inlineStr">
        <is>
          <t>15347 Murry Hill</t>
        </is>
      </c>
      <c r="D41" s="61" t="inlineStr">
        <is>
          <t>Detroit</t>
        </is>
      </c>
      <c r="E41" s="63" t="inlineStr">
        <is>
          <t>MI</t>
        </is>
      </c>
      <c r="F41" s="63" t="n">
        <v>48227</v>
      </c>
      <c r="G41" s="291" t="n"/>
      <c r="H41" s="61" t="n"/>
      <c r="I41" s="61" t="n"/>
      <c r="J41" s="284" t="n"/>
      <c r="K41" s="61" t="n"/>
      <c r="L41" s="291" t="n"/>
      <c r="M41" s="63" t="n"/>
      <c r="N41" s="65" t="n"/>
      <c r="O41" s="63" t="inlineStr">
        <is>
          <t>On record</t>
        </is>
      </c>
      <c r="P41" s="284" t="n">
        <v>45715</v>
      </c>
      <c r="Q41" s="67" t="inlineStr">
        <is>
          <t>Expired</t>
        </is>
      </c>
      <c r="R41" s="63" t="inlineStr">
        <is>
          <t>Non-Wheel Chair</t>
        </is>
      </c>
      <c r="S41" s="66" t="n"/>
      <c r="T41" s="68" t="n"/>
      <c r="U41" s="68" t="inlineStr">
        <is>
          <t>Archive</t>
        </is>
      </c>
    </row>
    <row r="42" ht="16.5" customHeight="1" s="237">
      <c r="A42" s="61" t="inlineStr">
        <is>
          <t>Michelle Young</t>
        </is>
      </c>
      <c r="B42" s="284" t="inlineStr">
        <is>
          <t>N/A</t>
        </is>
      </c>
      <c r="C42" s="61" t="inlineStr">
        <is>
          <t>37770 Westwood Circle</t>
        </is>
      </c>
      <c r="D42" s="61" t="inlineStr">
        <is>
          <t>Westland</t>
        </is>
      </c>
      <c r="E42" s="63" t="inlineStr">
        <is>
          <t>MI</t>
        </is>
      </c>
      <c r="F42" s="63" t="n">
        <v>48185</v>
      </c>
      <c r="G42" s="291" t="n"/>
      <c r="H42" s="61" t="n"/>
      <c r="I42" s="61" t="n"/>
      <c r="J42" s="284" t="n"/>
      <c r="K42" s="61" t="n"/>
      <c r="L42" s="291" t="n"/>
      <c r="M42" s="63" t="n"/>
      <c r="N42" s="65" t="n"/>
      <c r="O42" s="63" t="inlineStr">
        <is>
          <t>On record</t>
        </is>
      </c>
      <c r="P42" s="284" t="n">
        <v>45606</v>
      </c>
      <c r="Q42" s="67" t="inlineStr">
        <is>
          <t>Expired</t>
        </is>
      </c>
      <c r="R42" s="63" t="inlineStr">
        <is>
          <t>Non-Wheel Chair</t>
        </is>
      </c>
      <c r="S42" s="66" t="n"/>
      <c r="T42" s="68" t="n"/>
      <c r="U42" s="68" t="inlineStr">
        <is>
          <t>Archive</t>
        </is>
      </c>
    </row>
    <row r="43" ht="16.5" customHeight="1" s="237">
      <c r="A43" s="61" t="inlineStr">
        <is>
          <t>Nathaniel Barber</t>
        </is>
      </c>
      <c r="B43" s="284" t="inlineStr">
        <is>
          <t>N/A</t>
        </is>
      </c>
      <c r="C43" s="61" t="inlineStr">
        <is>
          <t>20277 Kenosha St.</t>
        </is>
      </c>
      <c r="D43" s="61" t="inlineStr">
        <is>
          <t>Harper Woods</t>
        </is>
      </c>
      <c r="E43" s="63" t="inlineStr">
        <is>
          <t>MI</t>
        </is>
      </c>
      <c r="F43" s="63" t="n">
        <v>48225</v>
      </c>
      <c r="G43" s="291" t="n"/>
      <c r="H43" s="61" t="n"/>
      <c r="I43" s="61" t="n"/>
      <c r="J43" s="284" t="n"/>
      <c r="K43" s="61" t="n"/>
      <c r="L43" s="291" t="n"/>
      <c r="M43" s="63" t="n"/>
      <c r="N43" s="65" t="n"/>
      <c r="O43" s="63" t="inlineStr">
        <is>
          <t>On record</t>
        </is>
      </c>
      <c r="P43" s="284" t="n">
        <v>45473</v>
      </c>
      <c r="Q43" s="67" t="inlineStr">
        <is>
          <t>Expired</t>
        </is>
      </c>
      <c r="R43" s="63" t="inlineStr">
        <is>
          <t>Non-Wheel Chair</t>
        </is>
      </c>
      <c r="S43" s="66" t="n"/>
      <c r="T43" s="68" t="n"/>
      <c r="U43" s="68" t="inlineStr">
        <is>
          <t>Archive</t>
        </is>
      </c>
    </row>
    <row r="44" ht="16.5" customHeight="1" s="237">
      <c r="A44" s="61" t="inlineStr">
        <is>
          <t>Nicole aranda</t>
        </is>
      </c>
      <c r="B44" s="284" t="inlineStr">
        <is>
          <t>N/A</t>
        </is>
      </c>
      <c r="C44" s="61" t="inlineStr">
        <is>
          <t xml:space="preserve">7878 Seven  Mile Rd. </t>
        </is>
      </c>
      <c r="D44" s="61" t="inlineStr">
        <is>
          <t>Northville</t>
        </is>
      </c>
      <c r="E44" s="63" t="inlineStr">
        <is>
          <t>MI</t>
        </is>
      </c>
      <c r="F44" s="63" t="n">
        <v>48167</v>
      </c>
      <c r="G44" s="291" t="n"/>
      <c r="H44" s="61" t="n"/>
      <c r="I44" s="61" t="n"/>
      <c r="J44" s="284" t="n"/>
      <c r="K44" s="61" t="n"/>
      <c r="L44" s="291" t="n"/>
      <c r="M44" s="63" t="n"/>
      <c r="N44" s="65" t="n"/>
      <c r="O44" s="63" t="inlineStr">
        <is>
          <t>On record</t>
        </is>
      </c>
      <c r="P44" s="284" t="n">
        <v>45436</v>
      </c>
      <c r="Q44" s="67" t="inlineStr">
        <is>
          <t>Expired</t>
        </is>
      </c>
      <c r="R44" s="63" t="inlineStr">
        <is>
          <t>Non-Wheel Chair</t>
        </is>
      </c>
      <c r="S44" s="66" t="n"/>
      <c r="T44" s="68" t="n"/>
      <c r="U44" s="68" t="inlineStr">
        <is>
          <t>Archive</t>
        </is>
      </c>
    </row>
    <row r="45" ht="16.5" customHeight="1" s="237">
      <c r="A45" s="61" t="inlineStr">
        <is>
          <t>Precious Tyus</t>
        </is>
      </c>
      <c r="B45" s="284" t="inlineStr">
        <is>
          <t>N/A</t>
        </is>
      </c>
      <c r="C45" s="61" t="inlineStr">
        <is>
          <t>25163 Pearl St</t>
        </is>
      </c>
      <c r="D45" s="61" t="inlineStr">
        <is>
          <t>Roseville, MI.</t>
        </is>
      </c>
      <c r="E45" s="63" t="inlineStr">
        <is>
          <t>MI</t>
        </is>
      </c>
      <c r="F45" s="63" t="n">
        <v>48066</v>
      </c>
      <c r="G45" s="291" t="n"/>
      <c r="H45" s="61" t="n"/>
      <c r="I45" s="61" t="n"/>
      <c r="J45" s="284" t="n"/>
      <c r="K45" s="61" t="n"/>
      <c r="L45" s="291" t="n"/>
      <c r="M45" s="63" t="n"/>
      <c r="N45" s="65" t="n"/>
      <c r="O45" s="63" t="inlineStr">
        <is>
          <t>On record</t>
        </is>
      </c>
      <c r="P45" s="284" t="n">
        <v>45644</v>
      </c>
      <c r="Q45" s="67" t="inlineStr">
        <is>
          <t>Expired</t>
        </is>
      </c>
      <c r="R45" s="63" t="inlineStr">
        <is>
          <t>Non-Wheel Chair</t>
        </is>
      </c>
      <c r="S45" s="66" t="n"/>
      <c r="T45" s="68" t="n"/>
      <c r="U45" s="68" t="inlineStr">
        <is>
          <t>Archive</t>
        </is>
      </c>
    </row>
    <row r="46" ht="16.5" customHeight="1" s="237">
      <c r="A46" s="61" t="inlineStr">
        <is>
          <t>Raveen Walker</t>
        </is>
      </c>
      <c r="B46" s="284" t="inlineStr">
        <is>
          <t>N/A</t>
        </is>
      </c>
      <c r="C46" s="61" t="inlineStr">
        <is>
          <t>16061 W Nine Mile Rd. Apt 103</t>
        </is>
      </c>
      <c r="D46" s="61" t="inlineStr">
        <is>
          <t>Southfield</t>
        </is>
      </c>
      <c r="E46" s="63" t="inlineStr">
        <is>
          <t>Mi.</t>
        </is>
      </c>
      <c r="F46" s="63" t="n">
        <v>48076</v>
      </c>
      <c r="G46" s="291" t="n"/>
      <c r="H46" s="61" t="n"/>
      <c r="I46" s="61" t="n"/>
      <c r="J46" s="284" t="n"/>
      <c r="K46" s="61" t="n"/>
      <c r="L46" s="291" t="n"/>
      <c r="M46" s="63" t="n"/>
      <c r="N46" s="65" t="n"/>
      <c r="O46" s="63" t="inlineStr">
        <is>
          <t>On record</t>
        </is>
      </c>
      <c r="P46" s="284" t="n">
        <v>45582</v>
      </c>
      <c r="Q46" s="67" t="inlineStr">
        <is>
          <t>Expired</t>
        </is>
      </c>
      <c r="R46" s="63" t="inlineStr">
        <is>
          <t>Non-Wheel Chair</t>
        </is>
      </c>
      <c r="S46" s="66" t="n"/>
      <c r="T46" s="68" t="n"/>
      <c r="U46" s="68" t="inlineStr">
        <is>
          <t>Archive</t>
        </is>
      </c>
    </row>
    <row r="47" ht="16.5" customHeight="1" s="237">
      <c r="A47" s="61" t="inlineStr">
        <is>
          <t>Reginald Mullen</t>
        </is>
      </c>
      <c r="B47" s="284" t="inlineStr">
        <is>
          <t>N/A</t>
        </is>
      </c>
      <c r="C47" s="61" t="inlineStr">
        <is>
          <t>202 Ewald Circle</t>
        </is>
      </c>
      <c r="D47" s="61" t="inlineStr">
        <is>
          <t>Detroit</t>
        </is>
      </c>
      <c r="E47" s="63" t="inlineStr">
        <is>
          <t>MI</t>
        </is>
      </c>
      <c r="F47" s="63" t="n">
        <v>48238</v>
      </c>
      <c r="G47" s="291" t="n"/>
      <c r="H47" s="61" t="n"/>
      <c r="I47" s="61" t="n"/>
      <c r="J47" s="284" t="n"/>
      <c r="K47" s="61" t="n"/>
      <c r="L47" s="291" t="n"/>
      <c r="M47" s="63" t="n"/>
      <c r="N47" s="65" t="n"/>
      <c r="O47" s="63" t="inlineStr">
        <is>
          <t>On record</t>
        </is>
      </c>
      <c r="P47" s="284" t="n">
        <v>45638</v>
      </c>
      <c r="Q47" s="67" t="inlineStr">
        <is>
          <t>Expired</t>
        </is>
      </c>
      <c r="R47" s="63" t="inlineStr">
        <is>
          <t>Non-Wheel Chair</t>
        </is>
      </c>
      <c r="S47" s="66" t="n"/>
      <c r="T47" s="68" t="n"/>
      <c r="U47" s="68" t="inlineStr">
        <is>
          <t>Archive</t>
        </is>
      </c>
    </row>
    <row r="48" ht="16.5" customHeight="1" s="237">
      <c r="A48" s="61" t="inlineStr">
        <is>
          <t>Robbin Gibson</t>
        </is>
      </c>
      <c r="B48" s="284" t="inlineStr">
        <is>
          <t>N/A</t>
        </is>
      </c>
      <c r="C48" s="61" t="inlineStr">
        <is>
          <t>29200 Gloede</t>
        </is>
      </c>
      <c r="D48" s="61" t="inlineStr">
        <is>
          <t>Warren</t>
        </is>
      </c>
      <c r="E48" s="63" t="inlineStr">
        <is>
          <t>MI</t>
        </is>
      </c>
      <c r="F48" s="63" t="n">
        <v>48088</v>
      </c>
      <c r="G48" s="291" t="n"/>
      <c r="H48" s="61" t="n"/>
      <c r="I48" s="61" t="n"/>
      <c r="J48" s="284" t="n"/>
      <c r="K48" s="61" t="n"/>
      <c r="L48" s="291" t="n"/>
      <c r="M48" s="63" t="n"/>
      <c r="N48" s="65" t="n"/>
      <c r="O48" s="63" t="inlineStr">
        <is>
          <t>On record</t>
        </is>
      </c>
      <c r="P48" s="284" t="n">
        <v>45704</v>
      </c>
      <c r="Q48" s="67" t="inlineStr">
        <is>
          <t>Expired</t>
        </is>
      </c>
      <c r="R48" s="63" t="inlineStr">
        <is>
          <t>Non-Wheel Chair</t>
        </is>
      </c>
      <c r="S48" s="66" t="n"/>
      <c r="T48" s="68" t="n"/>
      <c r="U48" s="68" t="inlineStr">
        <is>
          <t>Archive</t>
        </is>
      </c>
    </row>
    <row r="49" ht="16.5" customHeight="1" s="237">
      <c r="A49" s="61" t="inlineStr">
        <is>
          <t>Robert Messler</t>
        </is>
      </c>
      <c r="B49" s="284" t="inlineStr">
        <is>
          <t>N/A</t>
        </is>
      </c>
      <c r="C49" s="61" t="inlineStr">
        <is>
          <t>1036 Michigan Blvd</t>
        </is>
      </c>
      <c r="D49" s="61" t="inlineStr">
        <is>
          <t>Lincoln Park</t>
        </is>
      </c>
      <c r="E49" s="63" t="inlineStr">
        <is>
          <t>MI</t>
        </is>
      </c>
      <c r="F49" s="63" t="n">
        <v>48146</v>
      </c>
      <c r="G49" s="291" t="n"/>
      <c r="H49" s="61" t="n"/>
      <c r="I49" s="61" t="n"/>
      <c r="J49" s="284" t="n"/>
      <c r="K49" s="61" t="n"/>
      <c r="L49" s="291" t="n"/>
      <c r="M49" s="63" t="n"/>
      <c r="N49" s="65" t="n"/>
      <c r="O49" s="63" t="inlineStr">
        <is>
          <t>On record</t>
        </is>
      </c>
      <c r="P49" s="284" t="n">
        <v>45501</v>
      </c>
      <c r="Q49" s="67" t="inlineStr">
        <is>
          <t>Expired</t>
        </is>
      </c>
      <c r="R49" s="63" t="inlineStr">
        <is>
          <t>Non-Wheel Chair</t>
        </is>
      </c>
      <c r="S49" s="66" t="n"/>
      <c r="T49" s="68" t="n"/>
      <c r="U49" s="68" t="inlineStr">
        <is>
          <t>Archive</t>
        </is>
      </c>
    </row>
    <row r="50" ht="16.5" customHeight="1" s="237">
      <c r="A50" s="61" t="inlineStr">
        <is>
          <t>Roy Buckman</t>
        </is>
      </c>
      <c r="B50" s="284" t="inlineStr">
        <is>
          <t>N/A</t>
        </is>
      </c>
      <c r="C50" s="61" t="inlineStr">
        <is>
          <t>26812 Outer Dr. Apt 113</t>
        </is>
      </c>
      <c r="D50" s="61" t="inlineStr">
        <is>
          <t>Lincoln Park</t>
        </is>
      </c>
      <c r="E50" s="63" t="inlineStr">
        <is>
          <t>MI</t>
        </is>
      </c>
      <c r="F50" s="63" t="n">
        <v>48146</v>
      </c>
      <c r="G50" s="291" t="n"/>
      <c r="H50" s="61" t="n"/>
      <c r="I50" s="61" t="n"/>
      <c r="J50" s="284" t="n"/>
      <c r="K50" s="61" t="n"/>
      <c r="L50" s="291" t="n"/>
      <c r="M50" s="63" t="n"/>
      <c r="N50" s="65" t="n"/>
      <c r="O50" s="63" t="inlineStr">
        <is>
          <t>On record</t>
        </is>
      </c>
      <c r="P50" s="284" t="n">
        <v>45628</v>
      </c>
      <c r="Q50" s="67" t="inlineStr">
        <is>
          <t>Expired</t>
        </is>
      </c>
      <c r="R50" s="63" t="inlineStr">
        <is>
          <t>Non-Wheel Chair</t>
        </is>
      </c>
      <c r="S50" s="66" t="n"/>
      <c r="T50" s="68" t="n"/>
      <c r="U50" s="68" t="inlineStr">
        <is>
          <t>Archive</t>
        </is>
      </c>
    </row>
    <row r="51" ht="16.5" customHeight="1" s="237">
      <c r="A51" s="61" t="inlineStr">
        <is>
          <t xml:space="preserve">Sharkela Taylor </t>
        </is>
      </c>
      <c r="B51" s="284" t="inlineStr">
        <is>
          <t>N/A</t>
        </is>
      </c>
      <c r="C51" s="61" t="inlineStr">
        <is>
          <t>1737 Bagley St.</t>
        </is>
      </c>
      <c r="D51" s="61" t="inlineStr">
        <is>
          <t>Detroit</t>
        </is>
      </c>
      <c r="E51" s="63" t="inlineStr">
        <is>
          <t>MI</t>
        </is>
      </c>
      <c r="F51" s="63" t="n">
        <v>48216</v>
      </c>
      <c r="G51" s="291" t="n"/>
      <c r="H51" s="61" t="n"/>
      <c r="I51" s="61" t="n"/>
      <c r="J51" s="284" t="n"/>
      <c r="K51" s="61" t="n"/>
      <c r="L51" s="291" t="n"/>
      <c r="M51" s="63" t="n"/>
      <c r="N51" s="65" t="n"/>
      <c r="O51" s="63" t="inlineStr">
        <is>
          <t>On record</t>
        </is>
      </c>
      <c r="P51" s="284" t="n">
        <v>45543</v>
      </c>
      <c r="Q51" s="67" t="inlineStr">
        <is>
          <t>Expired</t>
        </is>
      </c>
      <c r="R51" s="63" t="inlineStr">
        <is>
          <t>Non-Wheel Chair</t>
        </is>
      </c>
      <c r="S51" s="66" t="n"/>
      <c r="T51" s="68" t="n"/>
      <c r="U51" s="68" t="inlineStr">
        <is>
          <t>Archive</t>
        </is>
      </c>
    </row>
    <row r="52" ht="16.5" customHeight="1" s="237">
      <c r="A52" s="61" t="inlineStr">
        <is>
          <t>Shaun Stewart</t>
        </is>
      </c>
      <c r="B52" s="284" t="inlineStr">
        <is>
          <t>N/A</t>
        </is>
      </c>
      <c r="C52" s="61" t="inlineStr">
        <is>
          <t xml:space="preserve">1136 Lumber Dr. </t>
        </is>
      </c>
      <c r="D52" s="61" t="inlineStr">
        <is>
          <t>Ypsilanti</t>
        </is>
      </c>
      <c r="E52" s="63" t="inlineStr">
        <is>
          <t>MI</t>
        </is>
      </c>
      <c r="F52" s="63" t="n">
        <v>48197</v>
      </c>
      <c r="G52" s="291" t="n"/>
      <c r="H52" s="61" t="n"/>
      <c r="I52" s="61" t="n"/>
      <c r="J52" s="284" t="n"/>
      <c r="K52" s="61" t="n"/>
      <c r="L52" s="291" t="n"/>
      <c r="M52" s="63" t="n"/>
      <c r="N52" s="65" t="n"/>
      <c r="O52" s="63" t="inlineStr">
        <is>
          <t>On record</t>
        </is>
      </c>
      <c r="P52" s="284" t="n">
        <v>45466</v>
      </c>
      <c r="Q52" s="67" t="inlineStr">
        <is>
          <t>Expired</t>
        </is>
      </c>
      <c r="R52" s="63" t="inlineStr">
        <is>
          <t>Non-Wheel Chair</t>
        </is>
      </c>
      <c r="S52" s="66" t="n"/>
      <c r="T52" s="68" t="n"/>
      <c r="U52" s="68" t="inlineStr">
        <is>
          <t>Archive</t>
        </is>
      </c>
    </row>
    <row r="53" ht="49.5" customHeight="1" s="237">
      <c r="A53" s="30" t="inlineStr">
        <is>
          <t>Sheila Neeley</t>
        </is>
      </c>
      <c r="B53" s="281" t="inlineStr">
        <is>
          <t>N/A</t>
        </is>
      </c>
      <c r="C53" s="30" t="inlineStr">
        <is>
          <t>3180 Greyfries St</t>
        </is>
      </c>
      <c r="D53" s="30" t="inlineStr">
        <is>
          <t>Detroit</t>
        </is>
      </c>
      <c r="E53" s="31" t="inlineStr">
        <is>
          <t>MI</t>
        </is>
      </c>
      <c r="F53" s="31" t="n">
        <v>48217</v>
      </c>
      <c r="G53" s="292" t="n"/>
      <c r="H53" s="30" t="n"/>
      <c r="I53" s="30" t="n"/>
      <c r="J53" s="281" t="n"/>
      <c r="K53" s="30" t="n"/>
      <c r="L53" s="292" t="n"/>
      <c r="M53" s="31" t="n"/>
      <c r="N53" s="170" t="n"/>
      <c r="O53" s="31" t="inlineStr">
        <is>
          <t>On record</t>
        </is>
      </c>
      <c r="P53" s="281" t="n">
        <v>45632</v>
      </c>
      <c r="Q53" s="171" t="inlineStr">
        <is>
          <t>Expired</t>
        </is>
      </c>
      <c r="R53" s="31" t="inlineStr">
        <is>
          <t>Non-Wheel Chair</t>
        </is>
      </c>
      <c r="S53" s="33" t="n"/>
      <c r="T53" s="172" t="inlineStr">
        <is>
          <t>Walker Assistance
$50.0 Charge</t>
        </is>
      </c>
      <c r="U53" s="172" t="inlineStr">
        <is>
          <t>Archive</t>
        </is>
      </c>
    </row>
    <row r="54" ht="49.5" customHeight="1" s="237">
      <c r="A54" s="61" t="inlineStr">
        <is>
          <t>Sommar Hutchinson</t>
        </is>
      </c>
      <c r="B54" s="284" t="inlineStr">
        <is>
          <t>N/A</t>
        </is>
      </c>
      <c r="C54" s="61" t="inlineStr">
        <is>
          <t>11220 Chapp Ave</t>
        </is>
      </c>
      <c r="D54" s="61" t="inlineStr">
        <is>
          <t>Warren</t>
        </is>
      </c>
      <c r="E54" s="63" t="inlineStr">
        <is>
          <t>MI</t>
        </is>
      </c>
      <c r="F54" s="63" t="n">
        <v>48089</v>
      </c>
      <c r="G54" s="291" t="n"/>
      <c r="H54" s="61" t="n"/>
      <c r="I54" s="61" t="n"/>
      <c r="J54" s="284" t="n"/>
      <c r="K54" s="61" t="n"/>
      <c r="L54" s="291" t="n"/>
      <c r="M54" s="63" t="n"/>
      <c r="N54" s="65" t="n"/>
      <c r="O54" s="63" t="inlineStr">
        <is>
          <t>On record</t>
        </is>
      </c>
      <c r="P54" s="284" t="n">
        <v>45543</v>
      </c>
      <c r="Q54" s="67" t="inlineStr">
        <is>
          <t>Expired</t>
        </is>
      </c>
      <c r="R54" s="63" t="inlineStr">
        <is>
          <t>Non-Wheel Chair</t>
        </is>
      </c>
      <c r="S54" s="66" t="n"/>
      <c r="T54" s="68" t="inlineStr">
        <is>
          <t>Walker Assistance
$50.0 Charge</t>
        </is>
      </c>
      <c r="U54" s="68" t="inlineStr">
        <is>
          <t>Archive</t>
        </is>
      </c>
    </row>
    <row r="55" ht="16.5" customHeight="1" s="237">
      <c r="A55" s="61" t="inlineStr">
        <is>
          <t>Terrance Norris</t>
        </is>
      </c>
      <c r="B55" s="284" t="inlineStr">
        <is>
          <t>N/A</t>
        </is>
      </c>
      <c r="C55" s="61" t="inlineStr">
        <is>
          <t>8217 Schaefer Hwy Apt 23</t>
        </is>
      </c>
      <c r="D55" s="61" t="inlineStr">
        <is>
          <t>Detroit</t>
        </is>
      </c>
      <c r="E55" s="63" t="inlineStr">
        <is>
          <t>MI</t>
        </is>
      </c>
      <c r="F55" s="63" t="n">
        <v>48228</v>
      </c>
      <c r="G55" s="291" t="n"/>
      <c r="H55" s="61" t="n"/>
      <c r="I55" s="61" t="n"/>
      <c r="J55" s="284" t="n"/>
      <c r="K55" s="61" t="n"/>
      <c r="L55" s="291" t="n"/>
      <c r="M55" s="63" t="n"/>
      <c r="N55" s="65" t="n"/>
      <c r="O55" s="63" t="inlineStr">
        <is>
          <t>On record</t>
        </is>
      </c>
      <c r="P55" s="284" t="n">
        <v>45662</v>
      </c>
      <c r="Q55" s="67" t="inlineStr">
        <is>
          <t>Expired</t>
        </is>
      </c>
      <c r="R55" s="63" t="inlineStr">
        <is>
          <t>Non-Wheel Chair</t>
        </is>
      </c>
      <c r="S55" s="66" t="n"/>
      <c r="T55" s="68" t="n"/>
      <c r="U55" s="68" t="inlineStr">
        <is>
          <t>Archive</t>
        </is>
      </c>
    </row>
    <row r="56" ht="16.5" customHeight="1" s="237">
      <c r="A56" s="61" t="inlineStr">
        <is>
          <t>Tolon Duncan</t>
        </is>
      </c>
      <c r="B56" s="284" t="inlineStr">
        <is>
          <t>N/A</t>
        </is>
      </c>
      <c r="C56" s="61" t="inlineStr">
        <is>
          <t>44081 Kings Gate Dr. Apt 3</t>
        </is>
      </c>
      <c r="D56" s="61" t="inlineStr">
        <is>
          <t>Sterling Hts.</t>
        </is>
      </c>
      <c r="E56" s="63" t="inlineStr">
        <is>
          <t>MI</t>
        </is>
      </c>
      <c r="F56" s="63" t="n">
        <v>48314</v>
      </c>
      <c r="G56" s="291" t="n"/>
      <c r="H56" s="61" t="n"/>
      <c r="I56" s="61" t="n"/>
      <c r="J56" s="284" t="n"/>
      <c r="K56" s="61" t="n"/>
      <c r="L56" s="291" t="n"/>
      <c r="M56" s="63" t="n"/>
      <c r="N56" s="65" t="n"/>
      <c r="O56" s="63" t="inlineStr">
        <is>
          <t>On record</t>
        </is>
      </c>
      <c r="P56" s="284" t="n">
        <v>45533</v>
      </c>
      <c r="Q56" s="67" t="inlineStr">
        <is>
          <t>Expired</t>
        </is>
      </c>
      <c r="R56" s="63" t="inlineStr">
        <is>
          <t>Non-Wheel Chair</t>
        </is>
      </c>
      <c r="S56" s="66" t="n"/>
      <c r="T56" s="68" t="n"/>
      <c r="U56" s="68" t="inlineStr">
        <is>
          <t>Archive</t>
        </is>
      </c>
    </row>
    <row r="57" ht="16.5" customHeight="1" s="237">
      <c r="A57" s="61" t="inlineStr">
        <is>
          <t>Tony Walker</t>
        </is>
      </c>
      <c r="B57" s="284" t="inlineStr">
        <is>
          <t>N/A</t>
        </is>
      </c>
      <c r="C57" s="61" t="inlineStr">
        <is>
          <t>3564 Mitchell St.</t>
        </is>
      </c>
      <c r="D57" s="61" t="inlineStr">
        <is>
          <t>Detroit</t>
        </is>
      </c>
      <c r="E57" s="63" t="inlineStr">
        <is>
          <t>MI</t>
        </is>
      </c>
      <c r="F57" s="63" t="n">
        <v>48207</v>
      </c>
      <c r="G57" s="291" t="n"/>
      <c r="H57" s="61" t="n"/>
      <c r="I57" s="61" t="n"/>
      <c r="J57" s="284" t="n"/>
      <c r="K57" s="61" t="n"/>
      <c r="L57" s="291" t="n"/>
      <c r="M57" s="63" t="n"/>
      <c r="N57" s="65" t="n"/>
      <c r="O57" s="63" t="inlineStr">
        <is>
          <t>On record</t>
        </is>
      </c>
      <c r="P57" s="284" t="n">
        <v>45473</v>
      </c>
      <c r="Q57" s="67" t="inlineStr">
        <is>
          <t>Expired</t>
        </is>
      </c>
      <c r="R57" s="63" t="inlineStr">
        <is>
          <t>Non-Wheel Chair</t>
        </is>
      </c>
      <c r="S57" s="66" t="n"/>
      <c r="T57" s="68" t="n"/>
      <c r="U57" s="68" t="inlineStr">
        <is>
          <t>Archive</t>
        </is>
      </c>
    </row>
    <row r="58" ht="16.5" customHeight="1" s="237">
      <c r="A58" s="61" t="inlineStr">
        <is>
          <t>Tyrese Lee Heard</t>
        </is>
      </c>
      <c r="B58" s="284" t="inlineStr">
        <is>
          <t>N/A</t>
        </is>
      </c>
      <c r="C58" s="61" t="inlineStr">
        <is>
          <t xml:space="preserve">8736 Barrington Dr. </t>
        </is>
      </c>
      <c r="D58" s="61" t="inlineStr">
        <is>
          <t>Ypsilanti</t>
        </is>
      </c>
      <c r="E58" s="63" t="inlineStr">
        <is>
          <t>MI</t>
        </is>
      </c>
      <c r="F58" s="63" t="n">
        <v>48197</v>
      </c>
      <c r="G58" s="291" t="n"/>
      <c r="H58" s="61" t="n"/>
      <c r="I58" s="61" t="n"/>
      <c r="J58" s="284" t="n"/>
      <c r="K58" s="61" t="n"/>
      <c r="L58" s="291" t="n"/>
      <c r="M58" s="63" t="n"/>
      <c r="N58" s="65" t="n"/>
      <c r="O58" s="63" t="inlineStr">
        <is>
          <t>On record</t>
        </is>
      </c>
      <c r="P58" s="284" t="n">
        <v>45460</v>
      </c>
      <c r="Q58" s="67" t="inlineStr">
        <is>
          <t>Expired</t>
        </is>
      </c>
      <c r="R58" s="63" t="inlineStr">
        <is>
          <t>Non-Wheel Chair</t>
        </is>
      </c>
      <c r="S58" s="66" t="n"/>
      <c r="T58" s="68" t="n"/>
      <c r="U58" s="68" t="inlineStr">
        <is>
          <t>Archive</t>
        </is>
      </c>
    </row>
    <row r="59" ht="16.5" customHeight="1" s="237">
      <c r="A59" s="61" t="inlineStr">
        <is>
          <t>William Perkins</t>
        </is>
      </c>
      <c r="B59" s="284" t="inlineStr">
        <is>
          <t>N/A</t>
        </is>
      </c>
      <c r="C59" s="61" t="inlineStr">
        <is>
          <t>14860 Ardmore St.</t>
        </is>
      </c>
      <c r="D59" s="61" t="inlineStr">
        <is>
          <t>Detroit</t>
        </is>
      </c>
      <c r="E59" s="63" t="inlineStr">
        <is>
          <t>MI</t>
        </is>
      </c>
      <c r="F59" s="63" t="n">
        <v>48227</v>
      </c>
      <c r="G59" s="291" t="n"/>
      <c r="H59" s="61" t="n"/>
      <c r="I59" s="61" t="n"/>
      <c r="J59" s="284" t="n"/>
      <c r="K59" s="61" t="n"/>
      <c r="L59" s="291" t="n"/>
      <c r="M59" s="63" t="n"/>
      <c r="N59" s="65" t="n"/>
      <c r="O59" s="63" t="inlineStr">
        <is>
          <t>On record</t>
        </is>
      </c>
      <c r="P59" s="284" t="n">
        <v>45376</v>
      </c>
      <c r="Q59" s="67" t="inlineStr">
        <is>
          <t>Expired</t>
        </is>
      </c>
      <c r="R59" s="63" t="inlineStr">
        <is>
          <t>Non-Wheel Chair</t>
        </is>
      </c>
      <c r="S59" s="66" t="n"/>
      <c r="T59" s="68" t="n"/>
      <c r="U59" s="68" t="inlineStr">
        <is>
          <t>Archive</t>
        </is>
      </c>
    </row>
    <row r="60" ht="16.5" customHeight="1" s="237">
      <c r="A60" s="61" t="inlineStr">
        <is>
          <t>Youssef A. Ismail</t>
        </is>
      </c>
      <c r="B60" s="284" t="inlineStr">
        <is>
          <t>N/A</t>
        </is>
      </c>
      <c r="C60" s="61" t="inlineStr">
        <is>
          <t>6914 Fenton St.</t>
        </is>
      </c>
      <c r="D60" s="61" t="inlineStr">
        <is>
          <t xml:space="preserve">Dearborn Hts. </t>
        </is>
      </c>
      <c r="E60" s="63" t="inlineStr">
        <is>
          <t>MI</t>
        </is>
      </c>
      <c r="F60" s="63" t="n">
        <v>48127</v>
      </c>
      <c r="G60" s="291" t="n"/>
      <c r="H60" s="61" t="n"/>
      <c r="I60" s="61" t="n"/>
      <c r="J60" s="284" t="n"/>
      <c r="K60" s="61" t="n"/>
      <c r="L60" s="291" t="n"/>
      <c r="M60" s="63" t="n"/>
      <c r="N60" s="65" t="n"/>
      <c r="O60" s="63" t="inlineStr">
        <is>
          <t>On record</t>
        </is>
      </c>
      <c r="P60" s="284" t="n">
        <v>45695</v>
      </c>
      <c r="Q60" s="67" t="inlineStr">
        <is>
          <t>Expired</t>
        </is>
      </c>
      <c r="R60" s="63" t="inlineStr">
        <is>
          <t>Non-Wheel Chair</t>
        </is>
      </c>
      <c r="S60" s="66" t="n"/>
      <c r="T60" s="68" t="n"/>
      <c r="U60" s="68" t="inlineStr">
        <is>
          <t>Archive</t>
        </is>
      </c>
    </row>
    <row r="61" ht="16.5" customHeight="1" s="237">
      <c r="A61" s="61" t="inlineStr">
        <is>
          <t>Yovon Woods</t>
        </is>
      </c>
      <c r="B61" s="284" t="inlineStr">
        <is>
          <t>N/A</t>
        </is>
      </c>
      <c r="C61" s="61" t="inlineStr">
        <is>
          <t>12113 Rossiter St</t>
        </is>
      </c>
      <c r="D61" s="61" t="inlineStr">
        <is>
          <t>Detroit</t>
        </is>
      </c>
      <c r="E61" s="63" t="inlineStr">
        <is>
          <t>MI</t>
        </is>
      </c>
      <c r="F61" s="63" t="n">
        <v>48228</v>
      </c>
      <c r="G61" s="291" t="n"/>
      <c r="H61" s="61" t="n"/>
      <c r="I61" s="61" t="n"/>
      <c r="J61" s="284" t="n"/>
      <c r="K61" s="61" t="n"/>
      <c r="L61" s="291" t="n"/>
      <c r="M61" s="63" t="n"/>
      <c r="N61" s="65" t="n"/>
      <c r="O61" s="63" t="inlineStr">
        <is>
          <t>On record</t>
        </is>
      </c>
      <c r="P61" s="284" t="n">
        <v>45785</v>
      </c>
      <c r="Q61" s="67" t="inlineStr">
        <is>
          <t>Expired</t>
        </is>
      </c>
      <c r="R61" s="63" t="inlineStr">
        <is>
          <t>Non-Wheel Chair</t>
        </is>
      </c>
      <c r="S61" s="66" t="n"/>
      <c r="T61" s="68" t="n"/>
      <c r="U61" s="68" t="inlineStr">
        <is>
          <t>Archive</t>
        </is>
      </c>
    </row>
    <row r="62" ht="15.75" customHeight="1" s="237">
      <c r="A62" s="12" t="n"/>
      <c r="B62" s="287" t="n"/>
      <c r="C62" s="12" t="n"/>
      <c r="D62" s="12" t="n"/>
      <c r="E62" s="236" t="n"/>
      <c r="F62" s="236" t="n"/>
      <c r="G62" s="288" t="n"/>
      <c r="H62" s="12" t="n"/>
      <c r="I62" s="236" t="n"/>
      <c r="J62" s="287" t="n"/>
      <c r="K62" s="236" t="n"/>
      <c r="L62" s="288" t="n"/>
      <c r="M62" s="236" t="n"/>
      <c r="N62" s="236" t="n"/>
      <c r="O62" s="236" t="n"/>
      <c r="P62" s="287" t="n"/>
      <c r="Q62" s="236" t="n"/>
      <c r="R62" s="236" t="n"/>
      <c r="S62" s="20" t="n"/>
      <c r="T62" s="20" t="n"/>
      <c r="U62" s="20" t="n"/>
    </row>
    <row r="63" ht="15.75" customHeight="1" s="237">
      <c r="A63" s="12" t="n"/>
      <c r="B63" s="287" t="n"/>
      <c r="C63" s="12" t="n"/>
      <c r="D63" s="12" t="n"/>
      <c r="E63" s="236" t="n"/>
      <c r="F63" s="236" t="n"/>
      <c r="G63" s="288" t="n"/>
      <c r="H63" s="12" t="n"/>
      <c r="I63" s="236" t="n"/>
      <c r="J63" s="287" t="n"/>
      <c r="K63" s="236" t="n"/>
      <c r="L63" s="288" t="n"/>
      <c r="M63" s="236" t="n"/>
      <c r="N63" s="236" t="n"/>
      <c r="O63" s="236" t="n"/>
      <c r="P63" s="287" t="n"/>
      <c r="Q63" s="236" t="n"/>
      <c r="R63" s="236" t="n"/>
      <c r="S63" s="20" t="n"/>
      <c r="T63" s="20" t="n"/>
      <c r="U63" s="20" t="n"/>
    </row>
    <row r="64" ht="15.75" customHeight="1" s="237">
      <c r="A64" s="12" t="n"/>
      <c r="B64" s="287" t="n"/>
      <c r="C64" s="12" t="n"/>
      <c r="D64" s="12" t="n"/>
      <c r="E64" s="236" t="n"/>
      <c r="F64" s="236" t="n"/>
      <c r="G64" s="288" t="n"/>
      <c r="H64" s="12" t="n"/>
      <c r="I64" s="236" t="n"/>
      <c r="J64" s="287" t="n"/>
      <c r="K64" s="236" t="n"/>
      <c r="L64" s="288" t="n"/>
      <c r="M64" s="236" t="n"/>
      <c r="N64" s="236" t="n"/>
      <c r="O64" s="236" t="n"/>
      <c r="P64" s="287" t="n"/>
      <c r="Q64" s="236" t="n"/>
      <c r="R64" s="236" t="n"/>
      <c r="S64" s="20" t="n"/>
      <c r="T64" s="20" t="n"/>
      <c r="U64" s="20" t="n"/>
    </row>
    <row r="65" ht="15.75" customHeight="1" s="237">
      <c r="A65" s="12" t="n"/>
      <c r="B65" s="287" t="n"/>
      <c r="C65" s="12" t="n"/>
      <c r="D65" s="12" t="n"/>
      <c r="E65" s="236" t="n"/>
      <c r="F65" s="236" t="n"/>
      <c r="G65" s="288" t="n"/>
      <c r="H65" s="12" t="n"/>
      <c r="I65" s="236" t="n"/>
      <c r="J65" s="287" t="n"/>
      <c r="K65" s="236" t="n"/>
      <c r="L65" s="288" t="n"/>
      <c r="M65" s="236" t="n"/>
      <c r="N65" s="236" t="n"/>
      <c r="O65" s="236" t="n"/>
      <c r="P65" s="287" t="n"/>
      <c r="Q65" s="236" t="n"/>
      <c r="R65" s="236" t="n"/>
      <c r="S65" s="20" t="n"/>
      <c r="T65" s="20" t="n"/>
      <c r="U65" s="20" t="n"/>
    </row>
    <row r="66" ht="15.75" customHeight="1" s="237">
      <c r="A66" s="12" t="n"/>
      <c r="B66" s="287" t="n"/>
      <c r="C66" s="12" t="n"/>
      <c r="D66" s="12" t="n"/>
      <c r="E66" s="236" t="n"/>
      <c r="F66" s="236" t="n"/>
      <c r="G66" s="288" t="n"/>
      <c r="H66" s="12" t="n"/>
      <c r="I66" s="236" t="n"/>
      <c r="J66" s="287" t="n"/>
      <c r="K66" s="236" t="n"/>
      <c r="L66" s="288" t="n"/>
      <c r="M66" s="236" t="n"/>
      <c r="N66" s="236" t="n"/>
      <c r="O66" s="236" t="n"/>
      <c r="P66" s="287" t="n"/>
      <c r="Q66" s="236" t="n"/>
      <c r="R66" s="236" t="n"/>
      <c r="S66" s="20" t="n"/>
      <c r="T66" s="20" t="n"/>
      <c r="U66" s="20" t="n"/>
    </row>
    <row r="67" ht="15.75" customHeight="1" s="237">
      <c r="A67" s="12" t="n"/>
      <c r="B67" s="287" t="n"/>
      <c r="C67" s="12" t="n"/>
      <c r="D67" s="12" t="n"/>
      <c r="E67" s="236" t="n"/>
      <c r="F67" s="236" t="n"/>
      <c r="G67" s="288" t="n"/>
      <c r="H67" s="12" t="n"/>
      <c r="I67" s="236" t="n"/>
      <c r="J67" s="287" t="n"/>
      <c r="K67" s="236" t="n"/>
      <c r="L67" s="288" t="n"/>
      <c r="M67" s="236" t="n"/>
      <c r="N67" s="236" t="n"/>
      <c r="O67" s="236" t="n"/>
      <c r="P67" s="287" t="n"/>
      <c r="Q67" s="236" t="n"/>
      <c r="R67" s="236" t="n"/>
      <c r="S67" s="20" t="n"/>
      <c r="T67" s="20" t="n"/>
      <c r="U67" s="20" t="n"/>
    </row>
    <row r="68" ht="15.75" customHeight="1" s="237">
      <c r="A68" s="12" t="n"/>
      <c r="B68" s="287" t="n"/>
      <c r="C68" s="12" t="n"/>
      <c r="D68" s="12" t="n"/>
      <c r="E68" s="236" t="n"/>
      <c r="F68" s="236" t="n"/>
      <c r="G68" s="288" t="n"/>
      <c r="H68" s="12" t="n"/>
      <c r="I68" s="236" t="n"/>
      <c r="J68" s="287" t="n"/>
      <c r="K68" s="236" t="n"/>
      <c r="L68" s="288" t="n"/>
      <c r="M68" s="236" t="n"/>
      <c r="N68" s="236" t="n"/>
      <c r="O68" s="236" t="n"/>
      <c r="P68" s="287" t="n"/>
      <c r="Q68" s="236" t="n"/>
      <c r="R68" s="236" t="n"/>
      <c r="S68" s="20" t="n"/>
      <c r="T68" s="20" t="n"/>
      <c r="U68" s="20" t="n"/>
    </row>
    <row r="69" ht="15.75" customHeight="1" s="237">
      <c r="A69" s="12" t="n"/>
      <c r="B69" s="287" t="n"/>
      <c r="C69" s="12" t="n"/>
      <c r="D69" s="12" t="n"/>
      <c r="E69" s="236" t="n"/>
      <c r="F69" s="236" t="n"/>
      <c r="G69" s="288" t="n"/>
      <c r="H69" s="12" t="n"/>
      <c r="I69" s="236" t="n"/>
      <c r="J69" s="287" t="n"/>
      <c r="K69" s="236" t="n"/>
      <c r="L69" s="288" t="n"/>
      <c r="M69" s="236" t="n"/>
      <c r="N69" s="236" t="n"/>
      <c r="O69" s="236" t="n"/>
      <c r="P69" s="287" t="n"/>
      <c r="Q69" s="236" t="n"/>
      <c r="R69" s="236" t="n"/>
      <c r="S69" s="20" t="n"/>
      <c r="T69" s="20" t="n"/>
      <c r="U69" s="20" t="n"/>
    </row>
    <row r="70" ht="15.75" customHeight="1" s="237">
      <c r="A70" s="12" t="n"/>
      <c r="B70" s="287" t="n"/>
      <c r="C70" s="12" t="n"/>
      <c r="D70" s="12" t="n"/>
      <c r="E70" s="236" t="n"/>
      <c r="F70" s="236" t="n"/>
      <c r="G70" s="288" t="n"/>
      <c r="H70" s="12" t="n"/>
      <c r="I70" s="236" t="n"/>
      <c r="J70" s="287" t="n"/>
      <c r="K70" s="236" t="n"/>
      <c r="L70" s="288" t="n"/>
      <c r="M70" s="236" t="n"/>
      <c r="N70" s="236" t="n"/>
      <c r="O70" s="236" t="n"/>
      <c r="P70" s="287" t="n"/>
      <c r="Q70" s="236" t="n"/>
      <c r="R70" s="236" t="n"/>
      <c r="S70" s="20" t="n"/>
      <c r="T70" s="20" t="n"/>
      <c r="U70" s="20" t="n"/>
    </row>
    <row r="71" ht="15.75" customHeight="1" s="237">
      <c r="A71" s="12" t="n"/>
      <c r="B71" s="287" t="n"/>
      <c r="C71" s="12" t="n"/>
      <c r="D71" s="12" t="n"/>
      <c r="E71" s="236" t="n"/>
      <c r="F71" s="236" t="n"/>
      <c r="G71" s="288" t="n"/>
      <c r="H71" s="12" t="n"/>
      <c r="I71" s="236" t="n"/>
      <c r="J71" s="287" t="n"/>
      <c r="K71" s="236" t="n"/>
      <c r="L71" s="288" t="n"/>
      <c r="M71" s="236" t="n"/>
      <c r="N71" s="236" t="n"/>
      <c r="O71" s="236" t="n"/>
      <c r="P71" s="287" t="n"/>
      <c r="Q71" s="236" t="n"/>
      <c r="R71" s="236" t="n"/>
      <c r="S71" s="20" t="n"/>
      <c r="T71" s="20" t="n"/>
      <c r="U71" s="20" t="n"/>
    </row>
    <row r="72" ht="15.75" customHeight="1" s="237">
      <c r="A72" s="12" t="n"/>
      <c r="B72" s="287" t="n"/>
      <c r="C72" s="12" t="n"/>
      <c r="D72" s="12" t="n"/>
      <c r="E72" s="236" t="n"/>
      <c r="F72" s="236" t="n"/>
      <c r="G72" s="288" t="n"/>
      <c r="H72" s="12" t="n"/>
      <c r="I72" s="236" t="n"/>
      <c r="J72" s="287" t="n"/>
      <c r="K72" s="236" t="n"/>
      <c r="L72" s="288" t="n"/>
      <c r="M72" s="236" t="n"/>
      <c r="N72" s="236" t="n"/>
      <c r="O72" s="236" t="n"/>
      <c r="P72" s="287" t="n"/>
      <c r="Q72" s="236" t="n"/>
      <c r="R72" s="236" t="n"/>
      <c r="S72" s="20" t="n"/>
      <c r="T72" s="20" t="n"/>
      <c r="U72" s="20" t="n"/>
    </row>
    <row r="73" ht="15.75" customHeight="1" s="237">
      <c r="A73" s="12" t="n"/>
      <c r="B73" s="287" t="n"/>
      <c r="C73" s="12" t="n"/>
      <c r="D73" s="12" t="n"/>
      <c r="E73" s="236" t="n"/>
      <c r="F73" s="236" t="n"/>
      <c r="G73" s="288" t="n"/>
      <c r="H73" s="12" t="n"/>
      <c r="I73" s="236" t="n"/>
      <c r="J73" s="287" t="n"/>
      <c r="K73" s="236" t="n"/>
      <c r="L73" s="288" t="n"/>
      <c r="M73" s="236" t="n"/>
      <c r="N73" s="236" t="n"/>
      <c r="O73" s="236" t="n"/>
      <c r="P73" s="287" t="n"/>
      <c r="Q73" s="236" t="n"/>
      <c r="R73" s="236" t="n"/>
      <c r="S73" s="20" t="n"/>
      <c r="T73" s="20" t="n"/>
      <c r="U73" s="20" t="n"/>
    </row>
    <row r="74" ht="15.75" customHeight="1" s="237">
      <c r="A74" s="12" t="n"/>
      <c r="B74" s="287" t="n"/>
      <c r="C74" s="12" t="n"/>
      <c r="D74" s="12" t="n"/>
      <c r="E74" s="236" t="n"/>
      <c r="F74" s="236" t="n"/>
      <c r="G74" s="288" t="n"/>
      <c r="H74" s="12" t="n"/>
      <c r="I74" s="236" t="n"/>
      <c r="J74" s="287" t="n"/>
      <c r="K74" s="236" t="n"/>
      <c r="L74" s="288" t="n"/>
      <c r="M74" s="236" t="n"/>
      <c r="N74" s="236" t="n"/>
      <c r="O74" s="236" t="n"/>
      <c r="P74" s="287" t="n"/>
      <c r="Q74" s="236" t="n"/>
      <c r="R74" s="236" t="n"/>
      <c r="S74" s="20" t="n"/>
      <c r="T74" s="20" t="n"/>
      <c r="U74" s="20" t="n"/>
    </row>
    <row r="75" ht="15.75" customHeight="1" s="237">
      <c r="A75" s="12" t="n"/>
      <c r="B75" s="287" t="n"/>
      <c r="C75" s="12" t="n"/>
      <c r="D75" s="12" t="n"/>
      <c r="E75" s="236" t="n"/>
      <c r="F75" s="236" t="n"/>
      <c r="G75" s="288" t="n"/>
      <c r="H75" s="12" t="n"/>
      <c r="I75" s="236" t="n"/>
      <c r="J75" s="287" t="n"/>
      <c r="K75" s="236" t="n"/>
      <c r="L75" s="288" t="n"/>
      <c r="M75" s="236" t="n"/>
      <c r="N75" s="236" t="n"/>
      <c r="O75" s="236" t="n"/>
      <c r="P75" s="287" t="n"/>
      <c r="Q75" s="236" t="n"/>
      <c r="R75" s="236" t="n"/>
      <c r="S75" s="20" t="n"/>
      <c r="T75" s="20" t="n"/>
      <c r="U75" s="20" t="n"/>
    </row>
    <row r="76" ht="15.75" customHeight="1" s="237">
      <c r="A76" s="12" t="n"/>
      <c r="B76" s="287" t="n"/>
      <c r="C76" s="12" t="n"/>
      <c r="D76" s="12" t="n"/>
      <c r="E76" s="236" t="n"/>
      <c r="F76" s="236" t="n"/>
      <c r="G76" s="288" t="n"/>
      <c r="H76" s="12" t="n"/>
      <c r="I76" s="236" t="n"/>
      <c r="J76" s="287" t="n"/>
      <c r="K76" s="236" t="n"/>
      <c r="L76" s="288" t="n"/>
      <c r="M76" s="236" t="n"/>
      <c r="N76" s="236" t="n"/>
      <c r="O76" s="236" t="n"/>
      <c r="P76" s="287" t="n"/>
      <c r="Q76" s="236" t="n"/>
      <c r="R76" s="236" t="n"/>
      <c r="S76" s="20" t="n"/>
      <c r="T76" s="20" t="n"/>
      <c r="U76" s="20" t="n"/>
    </row>
    <row r="77" ht="15.75" customHeight="1" s="237">
      <c r="A77" s="12" t="n"/>
      <c r="B77" s="287" t="n"/>
      <c r="C77" s="12" t="n"/>
      <c r="D77" s="12" t="n"/>
      <c r="E77" s="236" t="n"/>
      <c r="F77" s="236" t="n"/>
      <c r="G77" s="288" t="n"/>
      <c r="H77" s="12" t="n"/>
      <c r="I77" s="236" t="n"/>
      <c r="J77" s="287" t="n"/>
      <c r="K77" s="236" t="n"/>
      <c r="L77" s="288" t="n"/>
      <c r="M77" s="236" t="n"/>
      <c r="N77" s="236" t="n"/>
      <c r="O77" s="236" t="n"/>
      <c r="P77" s="287" t="n"/>
      <c r="Q77" s="236" t="n"/>
      <c r="R77" s="236" t="n"/>
      <c r="S77" s="20" t="n"/>
      <c r="T77" s="20" t="n"/>
      <c r="U77" s="20" t="n"/>
    </row>
    <row r="78" ht="15.75" customHeight="1" s="237">
      <c r="A78" s="12" t="n"/>
      <c r="B78" s="287" t="n"/>
      <c r="C78" s="12" t="n"/>
      <c r="D78" s="12" t="n"/>
      <c r="E78" s="236" t="n"/>
      <c r="F78" s="236" t="n"/>
      <c r="G78" s="288" t="n"/>
      <c r="H78" s="12" t="n"/>
      <c r="I78" s="236" t="n"/>
      <c r="J78" s="287" t="n"/>
      <c r="K78" s="236" t="n"/>
      <c r="L78" s="288" t="n"/>
      <c r="M78" s="236" t="n"/>
      <c r="N78" s="236" t="n"/>
      <c r="O78" s="236" t="n"/>
      <c r="P78" s="287" t="n"/>
      <c r="Q78" s="236" t="n"/>
      <c r="R78" s="236" t="n"/>
      <c r="S78" s="20" t="n"/>
      <c r="T78" s="20" t="n"/>
      <c r="U78" s="20" t="n"/>
    </row>
    <row r="79" ht="15.75" customHeight="1" s="237">
      <c r="A79" s="21" t="n"/>
      <c r="H79" s="21" t="n"/>
      <c r="I79" s="22" t="n"/>
      <c r="K79" s="22" t="n"/>
      <c r="O79" s="21" t="n"/>
      <c r="R79" s="21" t="n"/>
      <c r="S79" s="21" t="n"/>
      <c r="T79" s="21" t="n"/>
      <c r="U79" s="21" t="n"/>
    </row>
    <row r="80" ht="15.75" customHeight="1" s="237">
      <c r="A80" s="21" t="n"/>
      <c r="H80" s="21" t="n"/>
      <c r="I80" s="22" t="n"/>
      <c r="K80" s="22" t="n"/>
      <c r="O80" s="21" t="n"/>
      <c r="R80" s="21" t="n"/>
      <c r="S80" s="21" t="n"/>
      <c r="T80" s="21" t="n"/>
      <c r="U80" s="21" t="n"/>
    </row>
    <row r="81" ht="15.75" customHeight="1" s="237">
      <c r="A81" s="21" t="n"/>
      <c r="H81" s="21" t="n"/>
      <c r="I81" s="22" t="n"/>
      <c r="K81" s="22" t="n"/>
      <c r="O81" s="21" t="n"/>
      <c r="R81" s="21" t="n"/>
      <c r="S81" s="21" t="n"/>
      <c r="T81" s="21" t="n"/>
      <c r="U81" s="21" t="n"/>
    </row>
    <row r="82" ht="15.75" customHeight="1" s="237">
      <c r="A82" s="21" t="n"/>
      <c r="H82" s="21" t="n"/>
      <c r="I82" s="22" t="n"/>
      <c r="K82" s="22" t="n"/>
      <c r="O82" s="21" t="n"/>
      <c r="R82" s="21" t="n"/>
      <c r="S82" s="21" t="n"/>
      <c r="T82" s="21" t="n"/>
      <c r="U82" s="21" t="n"/>
    </row>
    <row r="83" ht="15.75" customHeight="1" s="237">
      <c r="A83" s="21" t="n"/>
      <c r="H83" s="21" t="n"/>
      <c r="I83" s="22" t="n"/>
      <c r="K83" s="22" t="n"/>
      <c r="O83" s="21" t="n"/>
      <c r="R83" s="21" t="n"/>
      <c r="S83" s="21" t="n"/>
      <c r="T83" s="21" t="n"/>
      <c r="U83" s="21" t="n"/>
    </row>
    <row r="84" ht="15.75" customHeight="1" s="237">
      <c r="A84" s="21" t="n"/>
      <c r="H84" s="21" t="n"/>
      <c r="I84" s="22" t="n"/>
      <c r="K84" s="22" t="n"/>
      <c r="O84" s="21" t="n"/>
      <c r="R84" s="21" t="n"/>
      <c r="S84" s="21" t="n"/>
      <c r="T84" s="21" t="n"/>
      <c r="U84" s="21" t="n"/>
    </row>
    <row r="85" ht="15.75" customHeight="1" s="237">
      <c r="A85" s="21" t="n"/>
      <c r="H85" s="21" t="n"/>
      <c r="I85" s="22" t="n"/>
      <c r="K85" s="22" t="n"/>
      <c r="O85" s="21" t="n"/>
      <c r="R85" s="21" t="n"/>
      <c r="S85" s="21" t="n"/>
      <c r="T85" s="21" t="n"/>
      <c r="U85" s="21" t="n"/>
    </row>
    <row r="86" ht="15.75" customHeight="1" s="237">
      <c r="A86" s="21" t="n"/>
      <c r="H86" s="21" t="n"/>
      <c r="I86" s="22" t="n"/>
      <c r="K86" s="22" t="n"/>
      <c r="O86" s="21" t="n"/>
      <c r="R86" s="21" t="n"/>
      <c r="S86" s="21" t="n"/>
      <c r="T86" s="21" t="n"/>
      <c r="U86" s="21" t="n"/>
    </row>
    <row r="87" ht="15.75" customHeight="1" s="237">
      <c r="A87" s="21" t="n"/>
      <c r="H87" s="21" t="n"/>
      <c r="I87" s="22" t="n"/>
      <c r="K87" s="22" t="n"/>
      <c r="O87" s="21" t="n"/>
      <c r="R87" s="21" t="n"/>
      <c r="S87" s="21" t="n"/>
      <c r="T87" s="21" t="n"/>
      <c r="U87" s="21" t="n"/>
    </row>
    <row r="88" ht="15.75" customHeight="1" s="237">
      <c r="A88" s="21" t="n"/>
      <c r="H88" s="21" t="n"/>
      <c r="I88" s="22" t="n"/>
      <c r="K88" s="22" t="n"/>
      <c r="O88" s="21" t="n"/>
      <c r="R88" s="21" t="n"/>
      <c r="S88" s="21" t="n"/>
      <c r="T88" s="21" t="n"/>
      <c r="U88" s="21" t="n"/>
    </row>
    <row r="89" ht="15.75" customHeight="1" s="237">
      <c r="A89" s="21" t="n"/>
      <c r="H89" s="21" t="n"/>
      <c r="I89" s="22" t="n"/>
      <c r="K89" s="22" t="n"/>
      <c r="O89" s="21" t="n"/>
      <c r="R89" s="21" t="n"/>
      <c r="S89" s="21" t="n"/>
      <c r="T89" s="21" t="n"/>
      <c r="U89" s="21" t="n"/>
    </row>
    <row r="90" ht="15.75" customHeight="1" s="237">
      <c r="A90" s="21" t="n"/>
      <c r="H90" s="21" t="n"/>
      <c r="I90" s="22" t="n"/>
      <c r="K90" s="22" t="n"/>
      <c r="O90" s="21" t="n"/>
      <c r="R90" s="21" t="n"/>
      <c r="S90" s="21" t="n"/>
      <c r="T90" s="21" t="n"/>
      <c r="U90" s="21" t="n"/>
    </row>
    <row r="91" ht="15.75" customHeight="1" s="237">
      <c r="A91" s="21" t="n"/>
      <c r="H91" s="21" t="n"/>
      <c r="I91" s="22" t="n"/>
      <c r="K91" s="22" t="n"/>
      <c r="O91" s="21" t="n"/>
      <c r="R91" s="21" t="n"/>
      <c r="S91" s="21" t="n"/>
      <c r="T91" s="21" t="n"/>
      <c r="U91" s="21" t="n"/>
    </row>
    <row r="92" ht="15.75" customHeight="1" s="237">
      <c r="A92" s="21" t="n"/>
      <c r="H92" s="21" t="n"/>
      <c r="I92" s="22" t="n"/>
      <c r="K92" s="22" t="n"/>
      <c r="O92" s="21" t="n"/>
      <c r="R92" s="21" t="n"/>
      <c r="S92" s="21" t="n"/>
      <c r="T92" s="21" t="n"/>
      <c r="U92" s="21" t="n"/>
    </row>
    <row r="93" ht="15.75" customHeight="1" s="237">
      <c r="A93" s="21" t="n"/>
      <c r="H93" s="21" t="n"/>
      <c r="I93" s="22" t="n"/>
      <c r="K93" s="22" t="n"/>
      <c r="O93" s="21" t="n"/>
      <c r="R93" s="21" t="n"/>
      <c r="S93" s="21" t="n"/>
      <c r="T93" s="21" t="n"/>
      <c r="U93" s="21" t="n"/>
    </row>
    <row r="94" ht="15.75" customHeight="1" s="237">
      <c r="A94" s="21" t="n"/>
      <c r="H94" s="21" t="n"/>
      <c r="I94" s="22" t="n"/>
      <c r="K94" s="22" t="n"/>
      <c r="O94" s="21" t="n"/>
      <c r="R94" s="21" t="n"/>
      <c r="S94" s="21" t="n"/>
      <c r="T94" s="21" t="n"/>
      <c r="U94" s="21" t="n"/>
    </row>
    <row r="95" ht="15.75" customHeight="1" s="237">
      <c r="A95" s="21" t="n"/>
      <c r="H95" s="21" t="n"/>
      <c r="I95" s="22" t="n"/>
      <c r="K95" s="22" t="n"/>
      <c r="O95" s="21" t="n"/>
      <c r="R95" s="21" t="n"/>
      <c r="S95" s="21" t="n"/>
      <c r="T95" s="21" t="n"/>
      <c r="U95" s="21" t="n"/>
    </row>
    <row r="96" ht="15.75" customHeight="1" s="237">
      <c r="A96" s="21" t="n"/>
      <c r="H96" s="21" t="n"/>
      <c r="I96" s="22" t="n"/>
      <c r="K96" s="22" t="n"/>
      <c r="O96" s="21" t="n"/>
      <c r="R96" s="21" t="n"/>
      <c r="S96" s="21" t="n"/>
      <c r="T96" s="21" t="n"/>
      <c r="U96" s="21" t="n"/>
    </row>
    <row r="97" ht="15.75" customHeight="1" s="237">
      <c r="A97" s="21" t="n"/>
      <c r="H97" s="21" t="n"/>
      <c r="I97" s="22" t="n"/>
      <c r="K97" s="22" t="n"/>
      <c r="O97" s="21" t="n"/>
      <c r="R97" s="21" t="n"/>
      <c r="S97" s="21" t="n"/>
      <c r="T97" s="21" t="n"/>
      <c r="U97" s="21" t="n"/>
    </row>
    <row r="98" ht="15.75" customHeight="1" s="237">
      <c r="A98" s="21" t="n"/>
      <c r="H98" s="21" t="n"/>
      <c r="I98" s="22" t="n"/>
      <c r="K98" s="22" t="n"/>
      <c r="O98" s="21" t="n"/>
      <c r="R98" s="21" t="n"/>
      <c r="S98" s="21" t="n"/>
      <c r="T98" s="21" t="n"/>
      <c r="U98" s="21" t="n"/>
    </row>
    <row r="99" ht="15.75" customHeight="1" s="237">
      <c r="A99" s="21" t="n"/>
      <c r="H99" s="21" t="n"/>
      <c r="I99" s="22" t="n"/>
      <c r="K99" s="22" t="n"/>
      <c r="O99" s="21" t="n"/>
      <c r="R99" s="21" t="n"/>
      <c r="S99" s="21" t="n"/>
      <c r="T99" s="21" t="n"/>
      <c r="U99" s="21" t="n"/>
    </row>
    <row r="100" ht="15.75" customHeight="1" s="237">
      <c r="A100" s="21" t="n"/>
      <c r="H100" s="21" t="n"/>
      <c r="I100" s="22" t="n"/>
      <c r="K100" s="22" t="n"/>
      <c r="O100" s="21" t="n"/>
      <c r="R100" s="21" t="n"/>
      <c r="S100" s="21" t="n"/>
      <c r="T100" s="21" t="n"/>
      <c r="U100" s="21" t="n"/>
    </row>
    <row r="101" ht="15.75" customHeight="1" s="237">
      <c r="A101" s="21" t="n"/>
      <c r="H101" s="21" t="n"/>
      <c r="I101" s="22" t="n"/>
      <c r="K101" s="22" t="n"/>
      <c r="O101" s="21" t="n"/>
      <c r="R101" s="21" t="n"/>
      <c r="S101" s="21" t="n"/>
      <c r="T101" s="21" t="n"/>
      <c r="U101" s="21" t="n"/>
    </row>
    <row r="102" ht="15.75" customHeight="1" s="237">
      <c r="A102" s="21" t="n"/>
      <c r="H102" s="21" t="n"/>
      <c r="I102" s="22" t="n"/>
      <c r="K102" s="22" t="n"/>
      <c r="O102" s="21" t="n"/>
      <c r="R102" s="21" t="n"/>
      <c r="S102" s="21" t="n"/>
      <c r="T102" s="21" t="n"/>
      <c r="U102" s="21" t="n"/>
    </row>
    <row r="103" ht="15.75" customHeight="1" s="237">
      <c r="A103" s="21" t="n"/>
      <c r="H103" s="21" t="n"/>
      <c r="I103" s="22" t="n"/>
      <c r="K103" s="22" t="n"/>
      <c r="O103" s="21" t="n"/>
      <c r="R103" s="21" t="n"/>
      <c r="S103" s="21" t="n"/>
      <c r="T103" s="21" t="n"/>
      <c r="U103" s="21" t="n"/>
    </row>
    <row r="104" ht="15.75" customHeight="1" s="237">
      <c r="A104" s="21" t="n"/>
      <c r="H104" s="21" t="n"/>
      <c r="I104" s="22" t="n"/>
      <c r="K104" s="22" t="n"/>
      <c r="O104" s="21" t="n"/>
      <c r="R104" s="21" t="n"/>
      <c r="S104" s="21" t="n"/>
      <c r="T104" s="21" t="n"/>
      <c r="U104" s="21" t="n"/>
    </row>
    <row r="105" ht="15.75" customHeight="1" s="237">
      <c r="A105" s="21" t="n"/>
      <c r="H105" s="21" t="n"/>
      <c r="I105" s="22" t="n"/>
      <c r="K105" s="22" t="n"/>
      <c r="O105" s="21" t="n"/>
      <c r="R105" s="21" t="n"/>
      <c r="S105" s="21" t="n"/>
      <c r="T105" s="21" t="n"/>
      <c r="U105" s="21" t="n"/>
    </row>
    <row r="106" ht="15.75" customHeight="1" s="237">
      <c r="A106" s="21" t="n"/>
      <c r="H106" s="21" t="n"/>
      <c r="I106" s="22" t="n"/>
      <c r="K106" s="22" t="n"/>
      <c r="O106" s="21" t="n"/>
      <c r="R106" s="21" t="n"/>
      <c r="S106" s="21" t="n"/>
      <c r="T106" s="21" t="n"/>
      <c r="U106" s="21" t="n"/>
    </row>
    <row r="107" ht="15.75" customHeight="1" s="237">
      <c r="A107" s="21" t="n"/>
      <c r="H107" s="21" t="n"/>
      <c r="I107" s="22" t="n"/>
      <c r="K107" s="22" t="n"/>
      <c r="O107" s="21" t="n"/>
      <c r="R107" s="21" t="n"/>
      <c r="S107" s="21" t="n"/>
      <c r="T107" s="21" t="n"/>
      <c r="U107" s="21" t="n"/>
    </row>
    <row r="108" ht="15.75" customHeight="1" s="237">
      <c r="A108" s="21" t="n"/>
      <c r="H108" s="21" t="n"/>
      <c r="I108" s="22" t="n"/>
      <c r="K108" s="22" t="n"/>
      <c r="O108" s="21" t="n"/>
      <c r="R108" s="21" t="n"/>
      <c r="S108" s="21" t="n"/>
      <c r="T108" s="21" t="n"/>
      <c r="U108" s="21" t="n"/>
    </row>
    <row r="109" ht="15.75" customHeight="1" s="237">
      <c r="A109" s="21" t="n"/>
      <c r="H109" s="21" t="n"/>
      <c r="I109" s="22" t="n"/>
      <c r="K109" s="22" t="n"/>
      <c r="O109" s="21" t="n"/>
      <c r="R109" s="21" t="n"/>
      <c r="S109" s="21" t="n"/>
      <c r="T109" s="21" t="n"/>
      <c r="U109" s="21" t="n"/>
    </row>
    <row r="110" ht="15.75" customHeight="1" s="237">
      <c r="A110" s="21" t="n"/>
      <c r="H110" s="21" t="n"/>
      <c r="I110" s="22" t="n"/>
      <c r="K110" s="22" t="n"/>
      <c r="O110" s="21" t="n"/>
      <c r="R110" s="21" t="n"/>
      <c r="S110" s="21" t="n"/>
      <c r="T110" s="21" t="n"/>
      <c r="U110" s="21" t="n"/>
    </row>
    <row r="111" ht="15.75" customHeight="1" s="237">
      <c r="A111" s="21" t="n"/>
      <c r="H111" s="21" t="n"/>
      <c r="I111" s="22" t="n"/>
      <c r="K111" s="22" t="n"/>
      <c r="O111" s="21" t="n"/>
      <c r="R111" s="21" t="n"/>
      <c r="S111" s="21" t="n"/>
      <c r="T111" s="21" t="n"/>
      <c r="U111" s="21" t="n"/>
    </row>
    <row r="112" ht="15.75" customHeight="1" s="237">
      <c r="A112" s="21" t="n"/>
      <c r="H112" s="21" t="n"/>
      <c r="I112" s="22" t="n"/>
      <c r="K112" s="22" t="n"/>
      <c r="O112" s="21" t="n"/>
      <c r="R112" s="21" t="n"/>
      <c r="S112" s="21" t="n"/>
      <c r="T112" s="21" t="n"/>
      <c r="U112" s="21" t="n"/>
    </row>
    <row r="113" ht="15.75" customHeight="1" s="237">
      <c r="A113" s="21" t="n"/>
      <c r="H113" s="21" t="n"/>
      <c r="I113" s="22" t="n"/>
      <c r="K113" s="22" t="n"/>
      <c r="O113" s="21" t="n"/>
      <c r="R113" s="21" t="n"/>
      <c r="S113" s="21" t="n"/>
      <c r="T113" s="21" t="n"/>
      <c r="U113" s="21" t="n"/>
    </row>
    <row r="114" ht="15.75" customHeight="1" s="237">
      <c r="A114" s="21" t="n"/>
      <c r="H114" s="21" t="n"/>
      <c r="I114" s="22" t="n"/>
      <c r="K114" s="22" t="n"/>
      <c r="O114" s="21" t="n"/>
      <c r="R114" s="21" t="n"/>
      <c r="S114" s="21" t="n"/>
      <c r="T114" s="21" t="n"/>
      <c r="U114" s="21" t="n"/>
    </row>
    <row r="115" ht="15.75" customHeight="1" s="237">
      <c r="A115" s="21" t="n"/>
      <c r="H115" s="21" t="n"/>
      <c r="I115" s="22" t="n"/>
      <c r="K115" s="22" t="n"/>
      <c r="O115" s="21" t="n"/>
      <c r="R115" s="21" t="n"/>
      <c r="S115" s="21" t="n"/>
      <c r="T115" s="21" t="n"/>
      <c r="U115" s="21" t="n"/>
    </row>
    <row r="116" ht="15.75" customHeight="1" s="237">
      <c r="A116" s="21" t="n"/>
      <c r="H116" s="21" t="n"/>
      <c r="I116" s="22" t="n"/>
      <c r="K116" s="22" t="n"/>
      <c r="O116" s="21" t="n"/>
      <c r="R116" s="21" t="n"/>
      <c r="S116" s="21" t="n"/>
      <c r="T116" s="21" t="n"/>
      <c r="U116" s="21" t="n"/>
    </row>
    <row r="117" ht="15.75" customHeight="1" s="237">
      <c r="A117" s="21" t="n"/>
      <c r="H117" s="21" t="n"/>
      <c r="I117" s="22" t="n"/>
      <c r="K117" s="22" t="n"/>
      <c r="O117" s="21" t="n"/>
      <c r="R117" s="21" t="n"/>
      <c r="S117" s="21" t="n"/>
      <c r="T117" s="21" t="n"/>
      <c r="U117" s="21" t="n"/>
    </row>
    <row r="118" ht="15.75" customHeight="1" s="237">
      <c r="A118" s="21" t="n"/>
      <c r="H118" s="21" t="n"/>
      <c r="I118" s="22" t="n"/>
      <c r="K118" s="22" t="n"/>
      <c r="O118" s="21" t="n"/>
      <c r="R118" s="21" t="n"/>
      <c r="S118" s="21" t="n"/>
      <c r="T118" s="21" t="n"/>
      <c r="U118" s="21" t="n"/>
    </row>
    <row r="119" ht="15.75" customHeight="1" s="237">
      <c r="A119" s="21" t="n"/>
      <c r="H119" s="21" t="n"/>
      <c r="I119" s="22" t="n"/>
      <c r="K119" s="22" t="n"/>
      <c r="O119" s="21" t="n"/>
      <c r="R119" s="21" t="n"/>
      <c r="S119" s="21" t="n"/>
      <c r="T119" s="21" t="n"/>
      <c r="U119" s="21" t="n"/>
    </row>
    <row r="120" ht="15.75" customHeight="1" s="237">
      <c r="A120" s="21" t="n"/>
      <c r="H120" s="21" t="n"/>
      <c r="I120" s="22" t="n"/>
      <c r="K120" s="22" t="n"/>
      <c r="O120" s="21" t="n"/>
      <c r="R120" s="21" t="n"/>
      <c r="S120" s="21" t="n"/>
      <c r="T120" s="21" t="n"/>
      <c r="U120" s="21" t="n"/>
    </row>
    <row r="121" ht="15.75" customHeight="1" s="237">
      <c r="A121" s="21" t="n"/>
      <c r="H121" s="21" t="n"/>
      <c r="I121" s="22" t="n"/>
      <c r="K121" s="22" t="n"/>
      <c r="O121" s="21" t="n"/>
      <c r="R121" s="21" t="n"/>
      <c r="S121" s="21" t="n"/>
      <c r="T121" s="21" t="n"/>
      <c r="U121" s="21" t="n"/>
    </row>
    <row r="122" ht="15.75" customHeight="1" s="237">
      <c r="A122" s="21" t="n"/>
      <c r="H122" s="21" t="n"/>
      <c r="I122" s="22" t="n"/>
      <c r="K122" s="22" t="n"/>
      <c r="O122" s="21" t="n"/>
      <c r="R122" s="21" t="n"/>
      <c r="S122" s="21" t="n"/>
      <c r="T122" s="21" t="n"/>
      <c r="U122" s="21" t="n"/>
    </row>
    <row r="123" ht="15.75" customHeight="1" s="237">
      <c r="A123" s="21" t="n"/>
      <c r="H123" s="21" t="n"/>
      <c r="I123" s="22" t="n"/>
      <c r="K123" s="22" t="n"/>
      <c r="O123" s="21" t="n"/>
      <c r="R123" s="21" t="n"/>
      <c r="S123" s="21" t="n"/>
      <c r="T123" s="21" t="n"/>
      <c r="U123" s="21" t="n"/>
    </row>
    <row r="124" ht="15.75" customHeight="1" s="237">
      <c r="A124" s="21" t="n"/>
      <c r="H124" s="21" t="n"/>
      <c r="I124" s="22" t="n"/>
      <c r="K124" s="22" t="n"/>
      <c r="O124" s="21" t="n"/>
      <c r="R124" s="21" t="n"/>
      <c r="S124" s="21" t="n"/>
      <c r="T124" s="21" t="n"/>
      <c r="U124" s="21" t="n"/>
    </row>
    <row r="125" ht="15.75" customHeight="1" s="237">
      <c r="A125" s="21" t="n"/>
      <c r="H125" s="21" t="n"/>
      <c r="I125" s="22" t="n"/>
      <c r="K125" s="22" t="n"/>
      <c r="O125" s="21" t="n"/>
      <c r="R125" s="21" t="n"/>
      <c r="S125" s="21" t="n"/>
      <c r="T125" s="21" t="n"/>
      <c r="U125" s="21" t="n"/>
    </row>
    <row r="126" ht="15.75" customHeight="1" s="237">
      <c r="A126" s="21" t="n"/>
      <c r="H126" s="21" t="n"/>
      <c r="I126" s="22" t="n"/>
      <c r="K126" s="22" t="n"/>
      <c r="O126" s="21" t="n"/>
      <c r="R126" s="21" t="n"/>
      <c r="S126" s="21" t="n"/>
      <c r="T126" s="21" t="n"/>
      <c r="U126" s="21" t="n"/>
    </row>
    <row r="127" ht="15.75" customHeight="1" s="237">
      <c r="A127" s="21" t="n"/>
      <c r="H127" s="21" t="n"/>
      <c r="I127" s="22" t="n"/>
      <c r="K127" s="22" t="n"/>
      <c r="O127" s="21" t="n"/>
      <c r="R127" s="21" t="n"/>
      <c r="S127" s="21" t="n"/>
      <c r="T127" s="21" t="n"/>
      <c r="U127" s="21" t="n"/>
    </row>
    <row r="128" ht="15.75" customHeight="1" s="237">
      <c r="A128" s="21" t="n"/>
      <c r="H128" s="21" t="n"/>
      <c r="I128" s="22" t="n"/>
      <c r="K128" s="22" t="n"/>
      <c r="O128" s="21" t="n"/>
      <c r="R128" s="21" t="n"/>
      <c r="S128" s="21" t="n"/>
      <c r="T128" s="21" t="n"/>
      <c r="U128" s="21" t="n"/>
    </row>
    <row r="129" ht="15.75" customHeight="1" s="237">
      <c r="A129" s="21" t="n"/>
      <c r="H129" s="21" t="n"/>
      <c r="I129" s="22" t="n"/>
      <c r="K129" s="22" t="n"/>
      <c r="O129" s="21" t="n"/>
      <c r="R129" s="21" t="n"/>
      <c r="S129" s="21" t="n"/>
      <c r="T129" s="21" t="n"/>
      <c r="U129" s="21" t="n"/>
    </row>
    <row r="130" ht="15.75" customHeight="1" s="237">
      <c r="A130" s="21" t="n"/>
      <c r="H130" s="21" t="n"/>
      <c r="I130" s="22" t="n"/>
      <c r="K130" s="22" t="n"/>
      <c r="O130" s="21" t="n"/>
      <c r="R130" s="21" t="n"/>
      <c r="S130" s="21" t="n"/>
      <c r="T130" s="21" t="n"/>
      <c r="U130" s="21" t="n"/>
    </row>
    <row r="131" ht="15.75" customHeight="1" s="237">
      <c r="A131" s="21" t="n"/>
      <c r="H131" s="21" t="n"/>
      <c r="I131" s="22" t="n"/>
      <c r="K131" s="22" t="n"/>
      <c r="O131" s="21" t="n"/>
      <c r="R131" s="21" t="n"/>
      <c r="S131" s="21" t="n"/>
      <c r="T131" s="21" t="n"/>
      <c r="U131" s="21" t="n"/>
    </row>
    <row r="132" ht="15.75" customHeight="1" s="237">
      <c r="A132" s="21" t="n"/>
      <c r="H132" s="21" t="n"/>
      <c r="I132" s="22" t="n"/>
      <c r="K132" s="22" t="n"/>
      <c r="O132" s="21" t="n"/>
      <c r="R132" s="21" t="n"/>
      <c r="S132" s="21" t="n"/>
      <c r="T132" s="21" t="n"/>
      <c r="U132" s="21" t="n"/>
    </row>
    <row r="133" ht="15.75" customHeight="1" s="237">
      <c r="A133" s="21" t="n"/>
      <c r="H133" s="21" t="n"/>
      <c r="I133" s="22" t="n"/>
      <c r="K133" s="22" t="n"/>
      <c r="O133" s="21" t="n"/>
      <c r="R133" s="21" t="n"/>
      <c r="S133" s="21" t="n"/>
      <c r="T133" s="21" t="n"/>
      <c r="U133" s="21" t="n"/>
    </row>
    <row r="134" ht="15.75" customHeight="1" s="237">
      <c r="A134" s="21" t="n"/>
      <c r="H134" s="21" t="n"/>
      <c r="I134" s="22" t="n"/>
      <c r="K134" s="22" t="n"/>
      <c r="O134" s="21" t="n"/>
      <c r="R134" s="21" t="n"/>
      <c r="S134" s="21" t="n"/>
      <c r="T134" s="21" t="n"/>
      <c r="U134" s="21" t="n"/>
    </row>
    <row r="135" ht="15.75" customHeight="1" s="237">
      <c r="A135" s="21" t="n"/>
      <c r="H135" s="21" t="n"/>
      <c r="I135" s="22" t="n"/>
      <c r="K135" s="22" t="n"/>
      <c r="O135" s="21" t="n"/>
      <c r="R135" s="21" t="n"/>
      <c r="S135" s="21" t="n"/>
      <c r="T135" s="21" t="n"/>
      <c r="U135" s="21" t="n"/>
    </row>
    <row r="136" ht="15.75" customHeight="1" s="237">
      <c r="A136" s="21" t="n"/>
      <c r="H136" s="21" t="n"/>
      <c r="I136" s="22" t="n"/>
      <c r="K136" s="22" t="n"/>
      <c r="O136" s="21" t="n"/>
      <c r="R136" s="21" t="n"/>
      <c r="S136" s="21" t="n"/>
      <c r="T136" s="21" t="n"/>
      <c r="U136" s="21" t="n"/>
    </row>
    <row r="137" ht="15.75" customHeight="1" s="237">
      <c r="A137" s="21" t="n"/>
      <c r="H137" s="21" t="n"/>
      <c r="I137" s="22" t="n"/>
      <c r="K137" s="22" t="n"/>
      <c r="O137" s="21" t="n"/>
      <c r="R137" s="21" t="n"/>
      <c r="S137" s="21" t="n"/>
      <c r="T137" s="21" t="n"/>
      <c r="U137" s="21" t="n"/>
    </row>
    <row r="138" ht="15.75" customHeight="1" s="237">
      <c r="A138" s="21" t="n"/>
      <c r="H138" s="21" t="n"/>
      <c r="I138" s="22" t="n"/>
      <c r="K138" s="22" t="n"/>
      <c r="O138" s="21" t="n"/>
      <c r="R138" s="21" t="n"/>
      <c r="S138" s="21" t="n"/>
      <c r="T138" s="21" t="n"/>
      <c r="U138" s="21" t="n"/>
    </row>
    <row r="139" ht="15.75" customHeight="1" s="237">
      <c r="A139" s="21" t="n"/>
      <c r="H139" s="21" t="n"/>
      <c r="I139" s="22" t="n"/>
      <c r="K139" s="22" t="n"/>
      <c r="O139" s="21" t="n"/>
      <c r="R139" s="21" t="n"/>
      <c r="S139" s="21" t="n"/>
      <c r="T139" s="21" t="n"/>
      <c r="U139" s="21" t="n"/>
    </row>
    <row r="140" ht="15.75" customHeight="1" s="237">
      <c r="A140" s="21" t="n"/>
      <c r="H140" s="21" t="n"/>
      <c r="I140" s="22" t="n"/>
      <c r="K140" s="22" t="n"/>
      <c r="O140" s="21" t="n"/>
      <c r="R140" s="21" t="n"/>
      <c r="S140" s="21" t="n"/>
      <c r="T140" s="21" t="n"/>
      <c r="U140" s="21" t="n"/>
    </row>
    <row r="141" ht="15.75" customHeight="1" s="237">
      <c r="A141" s="21" t="n"/>
      <c r="H141" s="21" t="n"/>
      <c r="I141" s="22" t="n"/>
      <c r="K141" s="22" t="n"/>
      <c r="O141" s="21" t="n"/>
      <c r="R141" s="21" t="n"/>
      <c r="S141" s="21" t="n"/>
      <c r="T141" s="21" t="n"/>
      <c r="U141" s="21" t="n"/>
    </row>
    <row r="142" ht="15.75" customHeight="1" s="237">
      <c r="A142" s="21" t="n"/>
      <c r="H142" s="21" t="n"/>
      <c r="I142" s="22" t="n"/>
      <c r="K142" s="22" t="n"/>
      <c r="O142" s="21" t="n"/>
      <c r="R142" s="21" t="n"/>
      <c r="S142" s="21" t="n"/>
      <c r="T142" s="21" t="n"/>
      <c r="U142" s="21" t="n"/>
    </row>
    <row r="143" ht="15.75" customHeight="1" s="237">
      <c r="A143" s="21" t="n"/>
      <c r="H143" s="21" t="n"/>
      <c r="I143" s="22" t="n"/>
      <c r="K143" s="22" t="n"/>
      <c r="O143" s="21" t="n"/>
      <c r="R143" s="21" t="n"/>
      <c r="S143" s="21" t="n"/>
      <c r="T143" s="21" t="n"/>
      <c r="U143" s="21" t="n"/>
    </row>
    <row r="144" ht="15.75" customHeight="1" s="237">
      <c r="A144" s="21" t="n"/>
      <c r="H144" s="21" t="n"/>
      <c r="I144" s="22" t="n"/>
      <c r="K144" s="22" t="n"/>
      <c r="O144" s="21" t="n"/>
      <c r="R144" s="21" t="n"/>
      <c r="S144" s="21" t="n"/>
      <c r="T144" s="21" t="n"/>
      <c r="U144" s="21" t="n"/>
    </row>
    <row r="145" ht="15.75" customHeight="1" s="237">
      <c r="A145" s="21" t="n"/>
      <c r="H145" s="21" t="n"/>
      <c r="I145" s="22" t="n"/>
      <c r="K145" s="22" t="n"/>
      <c r="O145" s="21" t="n"/>
      <c r="R145" s="21" t="n"/>
      <c r="S145" s="21" t="n"/>
      <c r="T145" s="21" t="n"/>
      <c r="U145" s="21" t="n"/>
    </row>
    <row r="146" ht="15.75" customHeight="1" s="237">
      <c r="A146" s="21" t="n"/>
      <c r="H146" s="21" t="n"/>
      <c r="I146" s="22" t="n"/>
      <c r="K146" s="22" t="n"/>
      <c r="O146" s="21" t="n"/>
      <c r="R146" s="21" t="n"/>
      <c r="S146" s="21" t="n"/>
      <c r="T146" s="21" t="n"/>
      <c r="U146" s="21" t="n"/>
    </row>
    <row r="147" ht="15.75" customHeight="1" s="237">
      <c r="A147" s="21" t="n"/>
      <c r="H147" s="21" t="n"/>
      <c r="I147" s="22" t="n"/>
      <c r="K147" s="22" t="n"/>
      <c r="O147" s="21" t="n"/>
      <c r="R147" s="21" t="n"/>
      <c r="S147" s="21" t="n"/>
      <c r="T147" s="21" t="n"/>
      <c r="U147" s="21" t="n"/>
    </row>
    <row r="148" ht="15.75" customHeight="1" s="237">
      <c r="A148" s="21" t="n"/>
      <c r="H148" s="21" t="n"/>
      <c r="I148" s="22" t="n"/>
      <c r="K148" s="22" t="n"/>
      <c r="O148" s="21" t="n"/>
      <c r="R148" s="21" t="n"/>
      <c r="S148" s="21" t="n"/>
      <c r="T148" s="21" t="n"/>
      <c r="U148" s="21" t="n"/>
    </row>
    <row r="149" ht="15.75" customHeight="1" s="237">
      <c r="A149" s="21" t="n"/>
      <c r="H149" s="21" t="n"/>
      <c r="I149" s="22" t="n"/>
      <c r="K149" s="22" t="n"/>
      <c r="O149" s="21" t="n"/>
      <c r="R149" s="21" t="n"/>
      <c r="S149" s="21" t="n"/>
      <c r="T149" s="21" t="n"/>
      <c r="U149" s="21" t="n"/>
    </row>
    <row r="150" ht="15.75" customHeight="1" s="237">
      <c r="A150" s="21" t="n"/>
      <c r="H150" s="21" t="n"/>
      <c r="I150" s="22" t="n"/>
      <c r="K150" s="22" t="n"/>
      <c r="O150" s="21" t="n"/>
      <c r="R150" s="21" t="n"/>
      <c r="S150" s="21" t="n"/>
      <c r="T150" s="21" t="n"/>
      <c r="U150" s="21" t="n"/>
    </row>
    <row r="151" ht="15.75" customHeight="1" s="237">
      <c r="A151" s="21" t="n"/>
      <c r="H151" s="21" t="n"/>
      <c r="I151" s="22" t="n"/>
      <c r="K151" s="22" t="n"/>
      <c r="O151" s="21" t="n"/>
      <c r="R151" s="21" t="n"/>
      <c r="S151" s="21" t="n"/>
      <c r="T151" s="21" t="n"/>
      <c r="U151" s="21" t="n"/>
    </row>
    <row r="152" ht="15.75" customHeight="1" s="237">
      <c r="A152" s="21" t="n"/>
      <c r="H152" s="21" t="n"/>
      <c r="I152" s="22" t="n"/>
      <c r="K152" s="22" t="n"/>
      <c r="O152" s="21" t="n"/>
      <c r="R152" s="21" t="n"/>
      <c r="S152" s="21" t="n"/>
      <c r="T152" s="21" t="n"/>
      <c r="U152" s="21" t="n"/>
    </row>
    <row r="153" ht="15.75" customHeight="1" s="237">
      <c r="A153" s="21" t="n"/>
      <c r="H153" s="21" t="n"/>
      <c r="I153" s="22" t="n"/>
      <c r="K153" s="22" t="n"/>
      <c r="O153" s="21" t="n"/>
      <c r="R153" s="21" t="n"/>
      <c r="S153" s="21" t="n"/>
      <c r="T153" s="21" t="n"/>
      <c r="U153" s="21" t="n"/>
    </row>
    <row r="154" ht="15.75" customHeight="1" s="237">
      <c r="A154" s="21" t="n"/>
      <c r="H154" s="21" t="n"/>
      <c r="I154" s="22" t="n"/>
      <c r="K154" s="22" t="n"/>
      <c r="O154" s="21" t="n"/>
      <c r="R154" s="21" t="n"/>
      <c r="S154" s="21" t="n"/>
      <c r="T154" s="21" t="n"/>
      <c r="U154" s="21" t="n"/>
    </row>
    <row r="155" ht="15.75" customHeight="1" s="237">
      <c r="A155" s="21" t="n"/>
      <c r="H155" s="21" t="n"/>
      <c r="I155" s="22" t="n"/>
      <c r="K155" s="22" t="n"/>
      <c r="O155" s="21" t="n"/>
      <c r="R155" s="21" t="n"/>
      <c r="S155" s="21" t="n"/>
      <c r="T155" s="21" t="n"/>
      <c r="U155" s="21" t="n"/>
    </row>
    <row r="156" ht="15.75" customHeight="1" s="237">
      <c r="A156" s="21" t="n"/>
      <c r="H156" s="21" t="n"/>
      <c r="I156" s="22" t="n"/>
      <c r="K156" s="22" t="n"/>
      <c r="O156" s="21" t="n"/>
      <c r="R156" s="21" t="n"/>
      <c r="S156" s="21" t="n"/>
      <c r="T156" s="21" t="n"/>
      <c r="U156" s="21" t="n"/>
    </row>
    <row r="157" ht="15.75" customHeight="1" s="237">
      <c r="A157" s="21" t="n"/>
      <c r="H157" s="21" t="n"/>
      <c r="I157" s="22" t="n"/>
      <c r="K157" s="22" t="n"/>
      <c r="O157" s="21" t="n"/>
      <c r="R157" s="21" t="n"/>
      <c r="S157" s="21" t="n"/>
      <c r="T157" s="21" t="n"/>
      <c r="U157" s="21" t="n"/>
    </row>
    <row r="158" ht="15.75" customHeight="1" s="237">
      <c r="A158" s="21" t="n"/>
      <c r="H158" s="21" t="n"/>
      <c r="I158" s="22" t="n"/>
      <c r="K158" s="22" t="n"/>
      <c r="O158" s="21" t="n"/>
      <c r="R158" s="21" t="n"/>
      <c r="S158" s="21" t="n"/>
      <c r="T158" s="21" t="n"/>
      <c r="U158" s="21" t="n"/>
    </row>
    <row r="159" ht="15.75" customHeight="1" s="237">
      <c r="A159" s="21" t="n"/>
      <c r="H159" s="21" t="n"/>
      <c r="I159" s="22" t="n"/>
      <c r="K159" s="22" t="n"/>
      <c r="O159" s="21" t="n"/>
      <c r="R159" s="21" t="n"/>
      <c r="S159" s="21" t="n"/>
      <c r="T159" s="21" t="n"/>
      <c r="U159" s="21" t="n"/>
    </row>
    <row r="160" ht="15.75" customHeight="1" s="237">
      <c r="A160" s="21" t="n"/>
      <c r="H160" s="21" t="n"/>
      <c r="I160" s="22" t="n"/>
      <c r="K160" s="22" t="n"/>
      <c r="O160" s="21" t="n"/>
      <c r="R160" s="21" t="n"/>
      <c r="S160" s="21" t="n"/>
      <c r="T160" s="21" t="n"/>
      <c r="U160" s="21" t="n"/>
    </row>
    <row r="161" ht="15.75" customHeight="1" s="237">
      <c r="A161" s="21" t="n"/>
      <c r="H161" s="21" t="n"/>
      <c r="I161" s="22" t="n"/>
      <c r="K161" s="22" t="n"/>
      <c r="O161" s="21" t="n"/>
      <c r="R161" s="21" t="n"/>
      <c r="S161" s="21" t="n"/>
      <c r="T161" s="21" t="n"/>
      <c r="U161" s="21" t="n"/>
    </row>
    <row r="162" ht="15.75" customHeight="1" s="237">
      <c r="A162" s="21" t="n"/>
      <c r="H162" s="21" t="n"/>
      <c r="I162" s="22" t="n"/>
      <c r="K162" s="22" t="n"/>
      <c r="O162" s="21" t="n"/>
      <c r="R162" s="21" t="n"/>
      <c r="S162" s="21" t="n"/>
      <c r="T162" s="21" t="n"/>
      <c r="U162" s="21" t="n"/>
    </row>
    <row r="163" ht="15.75" customHeight="1" s="237">
      <c r="A163" s="21" t="n"/>
      <c r="H163" s="21" t="n"/>
      <c r="I163" s="22" t="n"/>
      <c r="K163" s="22" t="n"/>
      <c r="O163" s="21" t="n"/>
      <c r="R163" s="21" t="n"/>
      <c r="S163" s="21" t="n"/>
      <c r="T163" s="21" t="n"/>
      <c r="U163" s="21" t="n"/>
    </row>
    <row r="164" ht="15.75" customHeight="1" s="237">
      <c r="A164" s="21" t="n"/>
      <c r="H164" s="21" t="n"/>
      <c r="I164" s="22" t="n"/>
      <c r="K164" s="22" t="n"/>
      <c r="O164" s="21" t="n"/>
      <c r="R164" s="21" t="n"/>
      <c r="S164" s="21" t="n"/>
      <c r="T164" s="21" t="n"/>
      <c r="U164" s="21" t="n"/>
    </row>
    <row r="165" ht="15.75" customHeight="1" s="237">
      <c r="A165" s="21" t="n"/>
      <c r="H165" s="21" t="n"/>
      <c r="I165" s="22" t="n"/>
      <c r="K165" s="22" t="n"/>
      <c r="O165" s="21" t="n"/>
      <c r="R165" s="21" t="n"/>
      <c r="S165" s="21" t="n"/>
      <c r="T165" s="21" t="n"/>
      <c r="U165" s="21" t="n"/>
    </row>
    <row r="166" ht="15.75" customHeight="1" s="237">
      <c r="A166" s="21" t="n"/>
      <c r="H166" s="21" t="n"/>
      <c r="I166" s="22" t="n"/>
      <c r="K166" s="22" t="n"/>
      <c r="O166" s="21" t="n"/>
      <c r="R166" s="21" t="n"/>
      <c r="S166" s="21" t="n"/>
      <c r="T166" s="21" t="n"/>
      <c r="U166" s="21" t="n"/>
    </row>
    <row r="167" ht="15.75" customHeight="1" s="237">
      <c r="A167" s="21" t="n"/>
      <c r="H167" s="21" t="n"/>
      <c r="I167" s="22" t="n"/>
      <c r="K167" s="22" t="n"/>
      <c r="O167" s="21" t="n"/>
      <c r="R167" s="21" t="n"/>
      <c r="S167" s="21" t="n"/>
      <c r="T167" s="21" t="n"/>
      <c r="U167" s="21" t="n"/>
    </row>
    <row r="168" ht="15.75" customHeight="1" s="237">
      <c r="A168" s="21" t="n"/>
      <c r="H168" s="21" t="n"/>
      <c r="I168" s="22" t="n"/>
      <c r="K168" s="22" t="n"/>
      <c r="O168" s="21" t="n"/>
      <c r="R168" s="21" t="n"/>
      <c r="S168" s="21" t="n"/>
      <c r="T168" s="21" t="n"/>
      <c r="U168" s="21" t="n"/>
    </row>
    <row r="169" ht="15.75" customHeight="1" s="237">
      <c r="A169" s="21" t="n"/>
      <c r="H169" s="21" t="n"/>
      <c r="I169" s="22" t="n"/>
      <c r="K169" s="22" t="n"/>
      <c r="O169" s="21" t="n"/>
      <c r="R169" s="21" t="n"/>
      <c r="S169" s="21" t="n"/>
      <c r="T169" s="21" t="n"/>
      <c r="U169" s="21" t="n"/>
    </row>
    <row r="170" ht="15.75" customHeight="1" s="237">
      <c r="A170" s="21" t="n"/>
      <c r="H170" s="21" t="n"/>
      <c r="I170" s="22" t="n"/>
      <c r="K170" s="22" t="n"/>
      <c r="O170" s="21" t="n"/>
      <c r="R170" s="21" t="n"/>
      <c r="S170" s="21" t="n"/>
      <c r="T170" s="21" t="n"/>
      <c r="U170" s="21" t="n"/>
    </row>
    <row r="171" ht="15.75" customHeight="1" s="237">
      <c r="A171" s="21" t="n"/>
      <c r="H171" s="21" t="n"/>
      <c r="I171" s="22" t="n"/>
      <c r="K171" s="22" t="n"/>
      <c r="O171" s="21" t="n"/>
      <c r="R171" s="21" t="n"/>
      <c r="S171" s="21" t="n"/>
      <c r="T171" s="21" t="n"/>
      <c r="U171" s="21" t="n"/>
    </row>
    <row r="172" ht="15.75" customHeight="1" s="237">
      <c r="A172" s="21" t="n"/>
      <c r="H172" s="21" t="n"/>
      <c r="I172" s="22" t="n"/>
      <c r="K172" s="22" t="n"/>
      <c r="O172" s="21" t="n"/>
      <c r="R172" s="21" t="n"/>
      <c r="S172" s="21" t="n"/>
      <c r="T172" s="21" t="n"/>
      <c r="U172" s="21" t="n"/>
    </row>
    <row r="173" ht="15.75" customHeight="1" s="237">
      <c r="A173" s="21" t="n"/>
      <c r="H173" s="21" t="n"/>
      <c r="I173" s="22" t="n"/>
      <c r="K173" s="22" t="n"/>
      <c r="O173" s="21" t="n"/>
      <c r="R173" s="21" t="n"/>
      <c r="S173" s="21" t="n"/>
      <c r="T173" s="21" t="n"/>
      <c r="U173" s="21" t="n"/>
    </row>
    <row r="174" ht="15.75" customHeight="1" s="237">
      <c r="A174" s="21" t="n"/>
      <c r="H174" s="21" t="n"/>
      <c r="I174" s="22" t="n"/>
      <c r="K174" s="22" t="n"/>
      <c r="O174" s="21" t="n"/>
      <c r="R174" s="21" t="n"/>
      <c r="S174" s="21" t="n"/>
      <c r="T174" s="21" t="n"/>
      <c r="U174" s="21" t="n"/>
    </row>
    <row r="175" ht="15.75" customHeight="1" s="237">
      <c r="A175" s="21" t="n"/>
      <c r="H175" s="21" t="n"/>
      <c r="I175" s="22" t="n"/>
      <c r="K175" s="22" t="n"/>
      <c r="O175" s="21" t="n"/>
      <c r="R175" s="21" t="n"/>
      <c r="S175" s="21" t="n"/>
      <c r="T175" s="21" t="n"/>
      <c r="U175" s="21" t="n"/>
    </row>
    <row r="176" ht="15.75" customHeight="1" s="237">
      <c r="A176" s="21" t="n"/>
      <c r="H176" s="21" t="n"/>
      <c r="I176" s="22" t="n"/>
      <c r="K176" s="22" t="n"/>
      <c r="O176" s="21" t="n"/>
      <c r="R176" s="21" t="n"/>
      <c r="S176" s="21" t="n"/>
      <c r="T176" s="21" t="n"/>
      <c r="U176" s="21" t="n"/>
    </row>
    <row r="177" ht="15.75" customHeight="1" s="237">
      <c r="A177" s="21" t="n"/>
      <c r="H177" s="21" t="n"/>
      <c r="I177" s="22" t="n"/>
      <c r="K177" s="22" t="n"/>
      <c r="O177" s="21" t="n"/>
      <c r="R177" s="21" t="n"/>
      <c r="S177" s="21" t="n"/>
      <c r="T177" s="21" t="n"/>
      <c r="U177" s="21" t="n"/>
    </row>
    <row r="178" ht="15.75" customHeight="1" s="237">
      <c r="A178" s="21" t="n"/>
      <c r="H178" s="21" t="n"/>
      <c r="I178" s="22" t="n"/>
      <c r="K178" s="22" t="n"/>
      <c r="O178" s="21" t="n"/>
      <c r="R178" s="21" t="n"/>
      <c r="S178" s="21" t="n"/>
      <c r="T178" s="21" t="n"/>
      <c r="U178" s="21" t="n"/>
    </row>
    <row r="179" ht="15.75" customHeight="1" s="237">
      <c r="A179" s="21" t="n"/>
      <c r="H179" s="21" t="n"/>
      <c r="I179" s="22" t="n"/>
      <c r="K179" s="22" t="n"/>
      <c r="O179" s="21" t="n"/>
      <c r="R179" s="21" t="n"/>
      <c r="S179" s="21" t="n"/>
      <c r="T179" s="21" t="n"/>
      <c r="U179" s="21" t="n"/>
    </row>
    <row r="180" ht="15.75" customHeight="1" s="237">
      <c r="A180" s="21" t="n"/>
      <c r="H180" s="21" t="n"/>
      <c r="I180" s="22" t="n"/>
      <c r="K180" s="22" t="n"/>
      <c r="O180" s="21" t="n"/>
      <c r="R180" s="21" t="n"/>
      <c r="S180" s="21" t="n"/>
      <c r="T180" s="21" t="n"/>
      <c r="U180" s="21" t="n"/>
    </row>
    <row r="181" ht="15.75" customHeight="1" s="237">
      <c r="A181" s="21" t="n"/>
      <c r="H181" s="21" t="n"/>
      <c r="I181" s="22" t="n"/>
      <c r="K181" s="22" t="n"/>
      <c r="O181" s="21" t="n"/>
      <c r="R181" s="21" t="n"/>
      <c r="S181" s="21" t="n"/>
      <c r="T181" s="21" t="n"/>
      <c r="U181" s="21" t="n"/>
    </row>
    <row r="182" ht="15.75" customHeight="1" s="237">
      <c r="A182" s="21" t="n"/>
      <c r="H182" s="21" t="n"/>
      <c r="I182" s="22" t="n"/>
      <c r="K182" s="22" t="n"/>
      <c r="O182" s="21" t="n"/>
      <c r="R182" s="21" t="n"/>
      <c r="S182" s="21" t="n"/>
      <c r="T182" s="21" t="n"/>
      <c r="U182" s="21" t="n"/>
    </row>
    <row r="183" ht="15.75" customHeight="1" s="237">
      <c r="A183" s="21" t="n"/>
      <c r="H183" s="21" t="n"/>
      <c r="I183" s="22" t="n"/>
      <c r="K183" s="22" t="n"/>
      <c r="O183" s="21" t="n"/>
      <c r="R183" s="21" t="n"/>
      <c r="S183" s="21" t="n"/>
      <c r="T183" s="21" t="n"/>
      <c r="U183" s="21" t="n"/>
    </row>
    <row r="184" ht="15.75" customHeight="1" s="237">
      <c r="A184" s="21" t="n"/>
      <c r="H184" s="21" t="n"/>
      <c r="I184" s="22" t="n"/>
      <c r="K184" s="22" t="n"/>
      <c r="O184" s="21" t="n"/>
      <c r="R184" s="21" t="n"/>
      <c r="S184" s="21" t="n"/>
      <c r="T184" s="21" t="n"/>
      <c r="U184" s="21" t="n"/>
    </row>
    <row r="185" ht="15.75" customHeight="1" s="237">
      <c r="A185" s="21" t="n"/>
      <c r="H185" s="21" t="n"/>
      <c r="I185" s="22" t="n"/>
      <c r="K185" s="22" t="n"/>
      <c r="O185" s="21" t="n"/>
      <c r="R185" s="21" t="n"/>
      <c r="S185" s="21" t="n"/>
      <c r="T185" s="21" t="n"/>
      <c r="U185" s="21" t="n"/>
    </row>
    <row r="186" ht="15.75" customHeight="1" s="237">
      <c r="A186" s="21" t="n"/>
      <c r="H186" s="21" t="n"/>
      <c r="I186" s="22" t="n"/>
      <c r="K186" s="22" t="n"/>
      <c r="O186" s="21" t="n"/>
      <c r="R186" s="21" t="n"/>
      <c r="S186" s="21" t="n"/>
      <c r="T186" s="21" t="n"/>
      <c r="U186" s="21" t="n"/>
    </row>
    <row r="187" ht="15.75" customHeight="1" s="237">
      <c r="A187" s="21" t="n"/>
      <c r="H187" s="21" t="n"/>
      <c r="I187" s="22" t="n"/>
      <c r="K187" s="22" t="n"/>
      <c r="O187" s="21" t="n"/>
      <c r="R187" s="21" t="n"/>
      <c r="S187" s="21" t="n"/>
      <c r="T187" s="21" t="n"/>
      <c r="U187" s="21" t="n"/>
    </row>
    <row r="188" ht="15.75" customHeight="1" s="237">
      <c r="A188" s="21" t="n"/>
      <c r="H188" s="21" t="n"/>
      <c r="I188" s="22" t="n"/>
      <c r="K188" s="22" t="n"/>
      <c r="O188" s="21" t="n"/>
      <c r="R188" s="21" t="n"/>
      <c r="S188" s="21" t="n"/>
      <c r="T188" s="21" t="n"/>
      <c r="U188" s="21" t="n"/>
    </row>
    <row r="189" ht="15.75" customHeight="1" s="237">
      <c r="A189" s="21" t="n"/>
      <c r="H189" s="21" t="n"/>
      <c r="I189" s="22" t="n"/>
      <c r="K189" s="22" t="n"/>
      <c r="O189" s="21" t="n"/>
      <c r="R189" s="21" t="n"/>
      <c r="S189" s="21" t="n"/>
      <c r="T189" s="21" t="n"/>
      <c r="U189" s="21" t="n"/>
    </row>
    <row r="190" ht="15.75" customHeight="1" s="237">
      <c r="A190" s="21" t="n"/>
      <c r="H190" s="21" t="n"/>
      <c r="I190" s="22" t="n"/>
      <c r="K190" s="22" t="n"/>
      <c r="O190" s="21" t="n"/>
      <c r="R190" s="21" t="n"/>
      <c r="S190" s="21" t="n"/>
      <c r="T190" s="21" t="n"/>
      <c r="U190" s="21" t="n"/>
    </row>
    <row r="191" ht="15.75" customHeight="1" s="237">
      <c r="A191" s="21" t="n"/>
      <c r="H191" s="21" t="n"/>
      <c r="I191" s="22" t="n"/>
      <c r="K191" s="22" t="n"/>
      <c r="O191" s="21" t="n"/>
      <c r="R191" s="21" t="n"/>
      <c r="S191" s="21" t="n"/>
      <c r="T191" s="21" t="n"/>
      <c r="U191" s="21" t="n"/>
    </row>
    <row r="192" ht="15.75" customHeight="1" s="237">
      <c r="A192" s="21" t="n"/>
      <c r="H192" s="21" t="n"/>
      <c r="I192" s="22" t="n"/>
      <c r="K192" s="22" t="n"/>
      <c r="O192" s="21" t="n"/>
      <c r="R192" s="21" t="n"/>
      <c r="S192" s="21" t="n"/>
      <c r="T192" s="21" t="n"/>
      <c r="U192" s="21" t="n"/>
    </row>
    <row r="193" ht="15.75" customHeight="1" s="237">
      <c r="A193" s="21" t="n"/>
      <c r="H193" s="21" t="n"/>
      <c r="I193" s="22" t="n"/>
      <c r="K193" s="22" t="n"/>
      <c r="O193" s="21" t="n"/>
      <c r="R193" s="21" t="n"/>
      <c r="S193" s="21" t="n"/>
      <c r="T193" s="21" t="n"/>
      <c r="U193" s="21" t="n"/>
    </row>
    <row r="194" ht="15.75" customHeight="1" s="237">
      <c r="A194" s="21" t="n"/>
      <c r="H194" s="21" t="n"/>
      <c r="I194" s="22" t="n"/>
      <c r="K194" s="22" t="n"/>
      <c r="O194" s="21" t="n"/>
      <c r="R194" s="21" t="n"/>
      <c r="S194" s="21" t="n"/>
      <c r="T194" s="21" t="n"/>
      <c r="U194" s="21" t="n"/>
    </row>
    <row r="195" ht="15.75" customHeight="1" s="237">
      <c r="A195" s="21" t="n"/>
      <c r="H195" s="21" t="n"/>
      <c r="I195" s="22" t="n"/>
      <c r="K195" s="22" t="n"/>
      <c r="O195" s="21" t="n"/>
      <c r="R195" s="21" t="n"/>
      <c r="S195" s="21" t="n"/>
      <c r="T195" s="21" t="n"/>
      <c r="U195" s="21" t="n"/>
    </row>
    <row r="196" ht="15.75" customHeight="1" s="237">
      <c r="A196" s="21" t="n"/>
      <c r="H196" s="21" t="n"/>
      <c r="I196" s="22" t="n"/>
      <c r="K196" s="22" t="n"/>
      <c r="O196" s="21" t="n"/>
      <c r="R196" s="21" t="n"/>
      <c r="S196" s="21" t="n"/>
      <c r="T196" s="21" t="n"/>
      <c r="U196" s="21" t="n"/>
    </row>
    <row r="197" ht="15.75" customHeight="1" s="237">
      <c r="A197" s="21" t="n"/>
      <c r="H197" s="21" t="n"/>
      <c r="I197" s="22" t="n"/>
      <c r="K197" s="22" t="n"/>
      <c r="O197" s="21" t="n"/>
      <c r="R197" s="21" t="n"/>
      <c r="S197" s="21" t="n"/>
      <c r="T197" s="21" t="n"/>
      <c r="U197" s="21" t="n"/>
    </row>
    <row r="198" ht="15.75" customHeight="1" s="237">
      <c r="A198" s="21" t="n"/>
      <c r="H198" s="21" t="n"/>
      <c r="I198" s="22" t="n"/>
      <c r="K198" s="22" t="n"/>
      <c r="O198" s="21" t="n"/>
      <c r="R198" s="21" t="n"/>
      <c r="S198" s="21" t="n"/>
      <c r="T198" s="21" t="n"/>
      <c r="U198" s="21" t="n"/>
    </row>
    <row r="199" ht="15.75" customHeight="1" s="237">
      <c r="A199" s="21" t="n"/>
      <c r="H199" s="21" t="n"/>
      <c r="I199" s="22" t="n"/>
      <c r="K199" s="22" t="n"/>
      <c r="O199" s="21" t="n"/>
      <c r="R199" s="21" t="n"/>
      <c r="S199" s="21" t="n"/>
      <c r="T199" s="21" t="n"/>
      <c r="U199" s="21" t="n"/>
    </row>
    <row r="200" ht="15.75" customHeight="1" s="237">
      <c r="A200" s="21" t="n"/>
      <c r="H200" s="21" t="n"/>
      <c r="I200" s="22" t="n"/>
      <c r="K200" s="22" t="n"/>
      <c r="O200" s="21" t="n"/>
      <c r="R200" s="21" t="n"/>
      <c r="S200" s="21" t="n"/>
      <c r="T200" s="21" t="n"/>
      <c r="U200" s="21" t="n"/>
    </row>
    <row r="201" ht="15.75" customHeight="1" s="237">
      <c r="A201" s="21" t="n"/>
      <c r="H201" s="21" t="n"/>
      <c r="I201" s="22" t="n"/>
      <c r="K201" s="22" t="n"/>
      <c r="O201" s="21" t="n"/>
      <c r="R201" s="21" t="n"/>
      <c r="S201" s="21" t="n"/>
      <c r="T201" s="21" t="n"/>
      <c r="U201" s="21" t="n"/>
    </row>
    <row r="202" ht="15.75" customHeight="1" s="237">
      <c r="A202" s="21" t="n"/>
      <c r="H202" s="21" t="n"/>
      <c r="I202" s="22" t="n"/>
      <c r="K202" s="22" t="n"/>
      <c r="O202" s="21" t="n"/>
      <c r="R202" s="21" t="n"/>
      <c r="S202" s="21" t="n"/>
      <c r="T202" s="21" t="n"/>
      <c r="U202" s="21" t="n"/>
    </row>
    <row r="203" ht="15.75" customHeight="1" s="237">
      <c r="A203" s="21" t="n"/>
      <c r="H203" s="21" t="n"/>
      <c r="I203" s="22" t="n"/>
      <c r="K203" s="22" t="n"/>
      <c r="O203" s="21" t="n"/>
      <c r="R203" s="21" t="n"/>
      <c r="S203" s="21" t="n"/>
      <c r="T203" s="21" t="n"/>
      <c r="U203" s="21" t="n"/>
    </row>
    <row r="204" ht="15.75" customHeight="1" s="237">
      <c r="A204" s="21" t="n"/>
      <c r="H204" s="21" t="n"/>
      <c r="I204" s="22" t="n"/>
      <c r="K204" s="22" t="n"/>
      <c r="O204" s="21" t="n"/>
      <c r="R204" s="21" t="n"/>
      <c r="S204" s="21" t="n"/>
      <c r="T204" s="21" t="n"/>
      <c r="U204" s="21" t="n"/>
    </row>
    <row r="205" ht="15.75" customHeight="1" s="237">
      <c r="A205" s="21" t="n"/>
      <c r="H205" s="21" t="n"/>
      <c r="I205" s="22" t="n"/>
      <c r="K205" s="22" t="n"/>
      <c r="O205" s="21" t="n"/>
      <c r="R205" s="21" t="n"/>
      <c r="S205" s="21" t="n"/>
      <c r="T205" s="21" t="n"/>
      <c r="U205" s="21" t="n"/>
    </row>
    <row r="206" ht="15.75" customHeight="1" s="237">
      <c r="A206" s="21" t="n"/>
      <c r="H206" s="21" t="n"/>
      <c r="I206" s="22" t="n"/>
      <c r="K206" s="22" t="n"/>
      <c r="O206" s="21" t="n"/>
      <c r="R206" s="21" t="n"/>
      <c r="S206" s="21" t="n"/>
      <c r="T206" s="21" t="n"/>
      <c r="U206" s="21" t="n"/>
    </row>
    <row r="207" ht="15.75" customHeight="1" s="237">
      <c r="A207" s="21" t="n"/>
      <c r="H207" s="21" t="n"/>
      <c r="I207" s="22" t="n"/>
      <c r="K207" s="22" t="n"/>
      <c r="O207" s="21" t="n"/>
      <c r="R207" s="21" t="n"/>
      <c r="S207" s="21" t="n"/>
      <c r="T207" s="21" t="n"/>
      <c r="U207" s="21" t="n"/>
    </row>
    <row r="208" ht="15.75" customHeight="1" s="237">
      <c r="A208" s="21" t="n"/>
      <c r="H208" s="21" t="n"/>
      <c r="I208" s="22" t="n"/>
      <c r="K208" s="22" t="n"/>
      <c r="O208" s="21" t="n"/>
      <c r="R208" s="21" t="n"/>
      <c r="S208" s="21" t="n"/>
      <c r="T208" s="21" t="n"/>
      <c r="U208" s="21" t="n"/>
    </row>
    <row r="209" ht="15.75" customHeight="1" s="237">
      <c r="A209" s="21" t="n"/>
      <c r="H209" s="21" t="n"/>
      <c r="I209" s="22" t="n"/>
      <c r="K209" s="22" t="n"/>
      <c r="O209" s="21" t="n"/>
      <c r="R209" s="21" t="n"/>
      <c r="S209" s="21" t="n"/>
      <c r="T209" s="21" t="n"/>
      <c r="U209" s="21" t="n"/>
    </row>
    <row r="210" ht="15.75" customHeight="1" s="237">
      <c r="A210" s="21" t="n"/>
      <c r="H210" s="21" t="n"/>
      <c r="I210" s="22" t="n"/>
      <c r="K210" s="22" t="n"/>
      <c r="O210" s="21" t="n"/>
      <c r="R210" s="21" t="n"/>
      <c r="S210" s="21" t="n"/>
      <c r="T210" s="21" t="n"/>
      <c r="U210" s="21" t="n"/>
    </row>
    <row r="211" ht="15.75" customHeight="1" s="237">
      <c r="A211" s="21" t="n"/>
      <c r="H211" s="21" t="n"/>
      <c r="I211" s="22" t="n"/>
      <c r="K211" s="22" t="n"/>
      <c r="O211" s="21" t="n"/>
      <c r="R211" s="21" t="n"/>
      <c r="S211" s="21" t="n"/>
      <c r="T211" s="21" t="n"/>
      <c r="U211" s="21" t="n"/>
    </row>
    <row r="212" ht="15.75" customHeight="1" s="237">
      <c r="A212" s="21" t="n"/>
      <c r="H212" s="21" t="n"/>
      <c r="I212" s="22" t="n"/>
      <c r="K212" s="22" t="n"/>
      <c r="O212" s="21" t="n"/>
      <c r="R212" s="21" t="n"/>
      <c r="S212" s="21" t="n"/>
      <c r="T212" s="21" t="n"/>
      <c r="U212" s="21" t="n"/>
    </row>
    <row r="213" ht="15.75" customHeight="1" s="237">
      <c r="A213" s="21" t="n"/>
      <c r="H213" s="21" t="n"/>
      <c r="I213" s="22" t="n"/>
      <c r="K213" s="22" t="n"/>
      <c r="O213" s="21" t="n"/>
      <c r="R213" s="21" t="n"/>
      <c r="S213" s="21" t="n"/>
      <c r="T213" s="21" t="n"/>
      <c r="U213" s="21" t="n"/>
    </row>
    <row r="214" ht="15.75" customHeight="1" s="237">
      <c r="A214" s="21" t="n"/>
      <c r="H214" s="21" t="n"/>
      <c r="I214" s="22" t="n"/>
      <c r="K214" s="22" t="n"/>
      <c r="O214" s="21" t="n"/>
      <c r="R214" s="21" t="n"/>
      <c r="S214" s="21" t="n"/>
      <c r="T214" s="21" t="n"/>
      <c r="U214" s="21" t="n"/>
    </row>
    <row r="215" ht="15.75" customHeight="1" s="237">
      <c r="A215" s="21" t="n"/>
      <c r="H215" s="21" t="n"/>
      <c r="I215" s="22" t="n"/>
      <c r="K215" s="22" t="n"/>
      <c r="O215" s="21" t="n"/>
      <c r="R215" s="21" t="n"/>
      <c r="S215" s="21" t="n"/>
      <c r="T215" s="21" t="n"/>
      <c r="U215" s="21" t="n"/>
    </row>
    <row r="216" ht="15.75" customHeight="1" s="237">
      <c r="A216" s="21" t="n"/>
      <c r="H216" s="21" t="n"/>
      <c r="I216" s="22" t="n"/>
      <c r="K216" s="22" t="n"/>
      <c r="O216" s="21" t="n"/>
      <c r="R216" s="21" t="n"/>
      <c r="S216" s="21" t="n"/>
      <c r="T216" s="21" t="n"/>
      <c r="U216" s="21" t="n"/>
    </row>
    <row r="217" ht="15.75" customHeight="1" s="237">
      <c r="A217" s="21" t="n"/>
      <c r="H217" s="21" t="n"/>
      <c r="I217" s="22" t="n"/>
      <c r="K217" s="22" t="n"/>
      <c r="O217" s="21" t="n"/>
      <c r="R217" s="21" t="n"/>
      <c r="S217" s="21" t="n"/>
      <c r="T217" s="21" t="n"/>
      <c r="U217" s="21" t="n"/>
    </row>
    <row r="218" ht="15.75" customHeight="1" s="237">
      <c r="A218" s="21" t="n"/>
      <c r="H218" s="21" t="n"/>
      <c r="I218" s="22" t="n"/>
      <c r="K218" s="22" t="n"/>
      <c r="O218" s="21" t="n"/>
      <c r="R218" s="21" t="n"/>
      <c r="S218" s="21" t="n"/>
      <c r="T218" s="21" t="n"/>
      <c r="U218" s="21" t="n"/>
    </row>
    <row r="219" ht="15.75" customHeight="1" s="237">
      <c r="A219" s="21" t="n"/>
      <c r="H219" s="21" t="n"/>
      <c r="I219" s="22" t="n"/>
      <c r="K219" s="22" t="n"/>
      <c r="O219" s="21" t="n"/>
      <c r="R219" s="21" t="n"/>
      <c r="S219" s="21" t="n"/>
      <c r="T219" s="21" t="n"/>
      <c r="U219" s="21" t="n"/>
    </row>
    <row r="220" ht="15.75" customHeight="1" s="237">
      <c r="A220" s="21" t="n"/>
      <c r="H220" s="21" t="n"/>
      <c r="I220" s="22" t="n"/>
      <c r="K220" s="22" t="n"/>
      <c r="O220" s="21" t="n"/>
      <c r="R220" s="21" t="n"/>
      <c r="S220" s="21" t="n"/>
      <c r="T220" s="21" t="n"/>
      <c r="U220" s="21" t="n"/>
    </row>
    <row r="221" ht="15.75" customHeight="1" s="237">
      <c r="A221" s="21" t="n"/>
      <c r="H221" s="21" t="n"/>
      <c r="I221" s="22" t="n"/>
      <c r="K221" s="22" t="n"/>
      <c r="O221" s="21" t="n"/>
      <c r="R221" s="21" t="n"/>
      <c r="S221" s="21" t="n"/>
      <c r="T221" s="21" t="n"/>
      <c r="U221" s="21" t="n"/>
    </row>
    <row r="222" ht="15.75" customHeight="1" s="237">
      <c r="A222" s="21" t="n"/>
      <c r="H222" s="21" t="n"/>
      <c r="I222" s="22" t="n"/>
      <c r="K222" s="22" t="n"/>
      <c r="O222" s="21" t="n"/>
      <c r="R222" s="21" t="n"/>
      <c r="S222" s="21" t="n"/>
      <c r="T222" s="21" t="n"/>
      <c r="U222" s="21" t="n"/>
    </row>
    <row r="223" ht="15.75" customHeight="1" s="237">
      <c r="A223" s="21" t="n"/>
      <c r="H223" s="21" t="n"/>
      <c r="I223" s="22" t="n"/>
      <c r="K223" s="22" t="n"/>
      <c r="O223" s="21" t="n"/>
      <c r="R223" s="21" t="n"/>
      <c r="S223" s="21" t="n"/>
      <c r="T223" s="21" t="n"/>
      <c r="U223" s="21" t="n"/>
    </row>
    <row r="224" ht="15.75" customHeight="1" s="237">
      <c r="A224" s="21" t="n"/>
      <c r="H224" s="21" t="n"/>
      <c r="I224" s="22" t="n"/>
      <c r="K224" s="22" t="n"/>
      <c r="O224" s="21" t="n"/>
      <c r="R224" s="21" t="n"/>
      <c r="S224" s="21" t="n"/>
      <c r="T224" s="21" t="n"/>
      <c r="U224" s="21" t="n"/>
    </row>
    <row r="225" ht="15.75" customHeight="1" s="237">
      <c r="A225" s="21" t="n"/>
      <c r="H225" s="21" t="n"/>
      <c r="I225" s="22" t="n"/>
      <c r="K225" s="22" t="n"/>
      <c r="O225" s="21" t="n"/>
      <c r="R225" s="21" t="n"/>
      <c r="S225" s="21" t="n"/>
      <c r="T225" s="21" t="n"/>
      <c r="U225" s="21" t="n"/>
    </row>
    <row r="226" ht="15.75" customHeight="1" s="237">
      <c r="A226" s="21" t="n"/>
      <c r="H226" s="21" t="n"/>
      <c r="I226" s="22" t="n"/>
      <c r="K226" s="22" t="n"/>
      <c r="O226" s="21" t="n"/>
      <c r="R226" s="21" t="n"/>
      <c r="S226" s="21" t="n"/>
      <c r="T226" s="21" t="n"/>
      <c r="U226" s="21" t="n"/>
    </row>
    <row r="227" ht="15.75" customHeight="1" s="237">
      <c r="A227" s="21" t="n"/>
      <c r="H227" s="21" t="n"/>
      <c r="I227" s="22" t="n"/>
      <c r="K227" s="22" t="n"/>
      <c r="O227" s="21" t="n"/>
      <c r="R227" s="21" t="n"/>
      <c r="S227" s="21" t="n"/>
      <c r="T227" s="21" t="n"/>
      <c r="U227" s="21" t="n"/>
    </row>
    <row r="228" ht="15.75" customHeight="1" s="237">
      <c r="A228" s="21" t="n"/>
      <c r="H228" s="21" t="n"/>
      <c r="I228" s="22" t="n"/>
      <c r="K228" s="22" t="n"/>
      <c r="O228" s="21" t="n"/>
      <c r="R228" s="21" t="n"/>
      <c r="S228" s="21" t="n"/>
      <c r="T228" s="21" t="n"/>
      <c r="U228" s="21" t="n"/>
    </row>
    <row r="229" ht="15.75" customHeight="1" s="237">
      <c r="A229" s="21" t="n"/>
      <c r="H229" s="21" t="n"/>
      <c r="I229" s="22" t="n"/>
      <c r="K229" s="22" t="n"/>
      <c r="O229" s="21" t="n"/>
      <c r="R229" s="21" t="n"/>
      <c r="S229" s="21" t="n"/>
      <c r="T229" s="21" t="n"/>
      <c r="U229" s="21" t="n"/>
    </row>
    <row r="230" ht="15.75" customHeight="1" s="237">
      <c r="A230" s="21" t="n"/>
      <c r="H230" s="21" t="n"/>
      <c r="I230" s="22" t="n"/>
      <c r="K230" s="22" t="n"/>
      <c r="O230" s="21" t="n"/>
      <c r="R230" s="21" t="n"/>
      <c r="S230" s="21" t="n"/>
      <c r="T230" s="21" t="n"/>
      <c r="U230" s="21" t="n"/>
    </row>
    <row r="231" ht="15.75" customHeight="1" s="237">
      <c r="A231" s="21" t="n"/>
      <c r="H231" s="21" t="n"/>
      <c r="I231" s="22" t="n"/>
      <c r="K231" s="22" t="n"/>
      <c r="O231" s="21" t="n"/>
      <c r="R231" s="21" t="n"/>
      <c r="S231" s="21" t="n"/>
      <c r="T231" s="21" t="n"/>
      <c r="U231" s="21" t="n"/>
    </row>
    <row r="232" ht="15.75" customHeight="1" s="237">
      <c r="A232" s="21" t="n"/>
      <c r="H232" s="21" t="n"/>
      <c r="I232" s="22" t="n"/>
      <c r="K232" s="22" t="n"/>
      <c r="O232" s="21" t="n"/>
      <c r="R232" s="21" t="n"/>
      <c r="S232" s="21" t="n"/>
      <c r="T232" s="21" t="n"/>
      <c r="U232" s="21" t="n"/>
    </row>
    <row r="233" ht="15.75" customHeight="1" s="237">
      <c r="A233" s="21" t="n"/>
      <c r="H233" s="21" t="n"/>
      <c r="I233" s="22" t="n"/>
      <c r="K233" s="22" t="n"/>
      <c r="O233" s="21" t="n"/>
      <c r="R233" s="21" t="n"/>
      <c r="S233" s="21" t="n"/>
      <c r="T233" s="21" t="n"/>
      <c r="U233" s="21" t="n"/>
    </row>
    <row r="234" ht="15.75" customHeight="1" s="237">
      <c r="A234" s="21" t="n"/>
      <c r="H234" s="21" t="n"/>
      <c r="I234" s="22" t="n"/>
      <c r="K234" s="22" t="n"/>
      <c r="O234" s="21" t="n"/>
      <c r="R234" s="21" t="n"/>
      <c r="S234" s="21" t="n"/>
      <c r="T234" s="21" t="n"/>
      <c r="U234" s="21" t="n"/>
    </row>
    <row r="235" ht="15.75" customHeight="1" s="237">
      <c r="A235" s="21" t="n"/>
      <c r="H235" s="21" t="n"/>
      <c r="I235" s="22" t="n"/>
      <c r="K235" s="22" t="n"/>
      <c r="O235" s="21" t="n"/>
      <c r="R235" s="21" t="n"/>
      <c r="S235" s="21" t="n"/>
      <c r="T235" s="21" t="n"/>
      <c r="U235" s="21" t="n"/>
    </row>
    <row r="236" ht="15.75" customHeight="1" s="237">
      <c r="A236" s="21" t="n"/>
      <c r="H236" s="21" t="n"/>
      <c r="I236" s="22" t="n"/>
      <c r="K236" s="22" t="n"/>
      <c r="O236" s="21" t="n"/>
      <c r="R236" s="21" t="n"/>
      <c r="S236" s="21" t="n"/>
      <c r="T236" s="21" t="n"/>
      <c r="U236" s="21" t="n"/>
    </row>
    <row r="237" ht="15.75" customHeight="1" s="237">
      <c r="A237" s="21" t="n"/>
      <c r="H237" s="21" t="n"/>
      <c r="I237" s="22" t="n"/>
      <c r="K237" s="22" t="n"/>
      <c r="O237" s="21" t="n"/>
      <c r="R237" s="21" t="n"/>
      <c r="S237" s="21" t="n"/>
      <c r="T237" s="21" t="n"/>
      <c r="U237" s="21" t="n"/>
    </row>
    <row r="238" ht="15.75" customHeight="1" s="237">
      <c r="A238" s="21" t="n"/>
      <c r="H238" s="21" t="n"/>
      <c r="I238" s="22" t="n"/>
      <c r="K238" s="22" t="n"/>
      <c r="O238" s="21" t="n"/>
      <c r="R238" s="21" t="n"/>
      <c r="S238" s="21" t="n"/>
      <c r="T238" s="21" t="n"/>
      <c r="U238" s="21" t="n"/>
    </row>
    <row r="239" ht="15.75" customHeight="1" s="237">
      <c r="A239" s="21" t="n"/>
      <c r="H239" s="21" t="n"/>
      <c r="I239" s="22" t="n"/>
      <c r="K239" s="22" t="n"/>
      <c r="O239" s="21" t="n"/>
      <c r="R239" s="21" t="n"/>
      <c r="S239" s="21" t="n"/>
      <c r="T239" s="21" t="n"/>
      <c r="U239" s="21" t="n"/>
    </row>
    <row r="240" ht="15.75" customHeight="1" s="237">
      <c r="A240" s="21" t="n"/>
      <c r="H240" s="21" t="n"/>
      <c r="I240" s="22" t="n"/>
      <c r="K240" s="22" t="n"/>
      <c r="O240" s="21" t="n"/>
      <c r="R240" s="21" t="n"/>
      <c r="S240" s="21" t="n"/>
      <c r="T240" s="21" t="n"/>
      <c r="U240" s="21" t="n"/>
    </row>
    <row r="241" ht="15.75" customHeight="1" s="237">
      <c r="A241" s="21" t="n"/>
      <c r="H241" s="21" t="n"/>
      <c r="I241" s="22" t="n"/>
      <c r="K241" s="22" t="n"/>
      <c r="O241" s="21" t="n"/>
      <c r="R241" s="21" t="n"/>
      <c r="S241" s="21" t="n"/>
      <c r="T241" s="21" t="n"/>
      <c r="U241" s="21" t="n"/>
    </row>
    <row r="242" ht="15.75" customHeight="1" s="237">
      <c r="A242" s="21" t="n"/>
      <c r="H242" s="21" t="n"/>
      <c r="I242" s="22" t="n"/>
      <c r="K242" s="22" t="n"/>
      <c r="O242" s="21" t="n"/>
      <c r="R242" s="21" t="n"/>
      <c r="S242" s="21" t="n"/>
      <c r="T242" s="21" t="n"/>
      <c r="U242" s="21" t="n"/>
    </row>
    <row r="243" ht="15.75" customHeight="1" s="237">
      <c r="A243" s="21" t="n"/>
      <c r="H243" s="21" t="n"/>
      <c r="I243" s="22" t="n"/>
      <c r="K243" s="22" t="n"/>
      <c r="O243" s="21" t="n"/>
      <c r="R243" s="21" t="n"/>
      <c r="S243" s="21" t="n"/>
      <c r="T243" s="21" t="n"/>
      <c r="U243" s="21" t="n"/>
    </row>
    <row r="244" ht="15.75" customHeight="1" s="237">
      <c r="A244" s="21" t="n"/>
      <c r="H244" s="21" t="n"/>
      <c r="I244" s="22" t="n"/>
      <c r="K244" s="22" t="n"/>
      <c r="O244" s="21" t="n"/>
      <c r="R244" s="21" t="n"/>
      <c r="S244" s="21" t="n"/>
      <c r="T244" s="21" t="n"/>
      <c r="U244" s="21" t="n"/>
    </row>
    <row r="245" ht="15.75" customHeight="1" s="237">
      <c r="A245" s="21" t="n"/>
      <c r="H245" s="21" t="n"/>
      <c r="I245" s="22" t="n"/>
      <c r="K245" s="22" t="n"/>
      <c r="O245" s="21" t="n"/>
      <c r="R245" s="21" t="n"/>
      <c r="S245" s="21" t="n"/>
      <c r="T245" s="21" t="n"/>
      <c r="U245" s="21" t="n"/>
    </row>
    <row r="246" ht="15.75" customHeight="1" s="237">
      <c r="A246" s="21" t="n"/>
      <c r="H246" s="21" t="n"/>
      <c r="I246" s="22" t="n"/>
      <c r="K246" s="22" t="n"/>
      <c r="O246" s="21" t="n"/>
      <c r="R246" s="21" t="n"/>
      <c r="S246" s="21" t="n"/>
      <c r="T246" s="21" t="n"/>
      <c r="U246" s="21" t="n"/>
    </row>
    <row r="247" ht="15.75" customHeight="1" s="237">
      <c r="A247" s="21" t="n"/>
      <c r="H247" s="21" t="n"/>
      <c r="I247" s="22" t="n"/>
      <c r="K247" s="22" t="n"/>
      <c r="O247" s="21" t="n"/>
      <c r="R247" s="21" t="n"/>
      <c r="S247" s="21" t="n"/>
      <c r="T247" s="21" t="n"/>
      <c r="U247" s="21" t="n"/>
    </row>
    <row r="248" ht="15.75" customHeight="1" s="237">
      <c r="A248" s="21" t="n"/>
      <c r="H248" s="21" t="n"/>
      <c r="I248" s="22" t="n"/>
      <c r="K248" s="22" t="n"/>
      <c r="O248" s="21" t="n"/>
      <c r="R248" s="21" t="n"/>
      <c r="S248" s="21" t="n"/>
      <c r="T248" s="21" t="n"/>
      <c r="U248" s="21" t="n"/>
    </row>
    <row r="249" ht="15.75" customHeight="1" s="237">
      <c r="A249" s="21" t="n"/>
      <c r="H249" s="21" t="n"/>
      <c r="I249" s="22" t="n"/>
      <c r="K249" s="22" t="n"/>
      <c r="O249" s="21" t="n"/>
      <c r="R249" s="21" t="n"/>
      <c r="S249" s="21" t="n"/>
      <c r="T249" s="21" t="n"/>
      <c r="U249" s="21" t="n"/>
    </row>
    <row r="250" ht="15.75" customHeight="1" s="237">
      <c r="A250" s="21" t="n"/>
      <c r="H250" s="21" t="n"/>
      <c r="I250" s="22" t="n"/>
      <c r="K250" s="22" t="n"/>
      <c r="O250" s="21" t="n"/>
      <c r="R250" s="21" t="n"/>
      <c r="S250" s="21" t="n"/>
      <c r="T250" s="21" t="n"/>
      <c r="U250" s="21" t="n"/>
    </row>
    <row r="251" ht="15.75" customHeight="1" s="237">
      <c r="A251" s="21" t="n"/>
      <c r="H251" s="21" t="n"/>
      <c r="I251" s="22" t="n"/>
      <c r="K251" s="22" t="n"/>
      <c r="O251" s="21" t="n"/>
      <c r="R251" s="21" t="n"/>
      <c r="S251" s="21" t="n"/>
      <c r="T251" s="21" t="n"/>
      <c r="U251" s="21" t="n"/>
    </row>
    <row r="252" ht="15.75" customHeight="1" s="237">
      <c r="A252" s="21" t="n"/>
      <c r="H252" s="21" t="n"/>
      <c r="I252" s="22" t="n"/>
      <c r="K252" s="22" t="n"/>
      <c r="O252" s="21" t="n"/>
      <c r="R252" s="21" t="n"/>
      <c r="S252" s="21" t="n"/>
      <c r="T252" s="21" t="n"/>
      <c r="U252" s="21" t="n"/>
    </row>
    <row r="253" ht="15.75" customHeight="1" s="237">
      <c r="A253" s="21" t="n"/>
      <c r="H253" s="21" t="n"/>
      <c r="I253" s="22" t="n"/>
      <c r="K253" s="22" t="n"/>
      <c r="O253" s="21" t="n"/>
      <c r="R253" s="21" t="n"/>
      <c r="S253" s="21" t="n"/>
      <c r="T253" s="21" t="n"/>
      <c r="U253" s="21" t="n"/>
    </row>
    <row r="254" ht="15.75" customHeight="1" s="237">
      <c r="A254" s="21" t="n"/>
      <c r="H254" s="21" t="n"/>
      <c r="I254" s="22" t="n"/>
      <c r="K254" s="22" t="n"/>
      <c r="O254" s="21" t="n"/>
      <c r="R254" s="21" t="n"/>
      <c r="S254" s="21" t="n"/>
      <c r="T254" s="21" t="n"/>
      <c r="U254" s="21" t="n"/>
    </row>
    <row r="255" ht="15.75" customHeight="1" s="237">
      <c r="A255" s="21" t="n"/>
      <c r="H255" s="21" t="n"/>
      <c r="I255" s="22" t="n"/>
      <c r="K255" s="22" t="n"/>
      <c r="O255" s="21" t="n"/>
      <c r="R255" s="21" t="n"/>
      <c r="S255" s="21" t="n"/>
      <c r="T255" s="21" t="n"/>
      <c r="U255" s="21" t="n"/>
    </row>
    <row r="256" ht="15.75" customHeight="1" s="237">
      <c r="A256" s="21" t="n"/>
      <c r="H256" s="21" t="n"/>
      <c r="I256" s="22" t="n"/>
      <c r="K256" s="22" t="n"/>
      <c r="O256" s="21" t="n"/>
      <c r="R256" s="21" t="n"/>
      <c r="S256" s="21" t="n"/>
      <c r="T256" s="21" t="n"/>
      <c r="U256" s="21" t="n"/>
    </row>
    <row r="257" ht="15.75" customHeight="1" s="237">
      <c r="A257" s="21" t="n"/>
      <c r="H257" s="21" t="n"/>
      <c r="I257" s="22" t="n"/>
      <c r="K257" s="22" t="n"/>
      <c r="O257" s="21" t="n"/>
      <c r="R257" s="21" t="n"/>
      <c r="S257" s="21" t="n"/>
      <c r="T257" s="21" t="n"/>
      <c r="U257" s="21" t="n"/>
    </row>
    <row r="258" ht="15.75" customHeight="1" s="237">
      <c r="A258" s="21" t="n"/>
      <c r="H258" s="21" t="n"/>
      <c r="I258" s="22" t="n"/>
      <c r="K258" s="22" t="n"/>
      <c r="O258" s="21" t="n"/>
      <c r="R258" s="21" t="n"/>
      <c r="S258" s="21" t="n"/>
      <c r="T258" s="21" t="n"/>
      <c r="U258" s="21" t="n"/>
    </row>
    <row r="259" ht="15.75" customHeight="1" s="237">
      <c r="A259" s="21" t="n"/>
      <c r="H259" s="21" t="n"/>
      <c r="I259" s="22" t="n"/>
      <c r="K259" s="22" t="n"/>
      <c r="O259" s="21" t="n"/>
      <c r="R259" s="21" t="n"/>
      <c r="S259" s="21" t="n"/>
      <c r="T259" s="21" t="n"/>
      <c r="U259" s="21" t="n"/>
    </row>
    <row r="260" ht="15.75" customHeight="1" s="237">
      <c r="A260" s="21" t="n"/>
      <c r="H260" s="21" t="n"/>
      <c r="I260" s="22" t="n"/>
      <c r="K260" s="22" t="n"/>
      <c r="O260" s="21" t="n"/>
      <c r="R260" s="21" t="n"/>
      <c r="S260" s="21" t="n"/>
      <c r="T260" s="21" t="n"/>
      <c r="U260" s="21" t="n"/>
    </row>
    <row r="261" ht="15.75" customHeight="1" s="237">
      <c r="A261" s="21" t="n"/>
      <c r="H261" s="21" t="n"/>
      <c r="I261" s="22" t="n"/>
      <c r="K261" s="22" t="n"/>
      <c r="O261" s="21" t="n"/>
      <c r="R261" s="21" t="n"/>
      <c r="S261" s="21" t="n"/>
      <c r="T261" s="21" t="n"/>
      <c r="U261" s="21" t="n"/>
    </row>
    <row r="262" ht="15.75" customHeight="1" s="237">
      <c r="A262" s="21" t="n"/>
      <c r="H262" s="21" t="n"/>
      <c r="I262" s="22" t="n"/>
      <c r="K262" s="22" t="n"/>
      <c r="O262" s="21" t="n"/>
      <c r="R262" s="21" t="n"/>
      <c r="S262" s="21" t="n"/>
      <c r="T262" s="21" t="n"/>
      <c r="U262" s="21" t="n"/>
    </row>
    <row r="263" ht="15.75" customHeight="1" s="237">
      <c r="A263" s="21" t="n"/>
      <c r="H263" s="21" t="n"/>
      <c r="I263" s="22" t="n"/>
      <c r="K263" s="22" t="n"/>
      <c r="O263" s="21" t="n"/>
      <c r="R263" s="21" t="n"/>
      <c r="S263" s="21" t="n"/>
      <c r="T263" s="21" t="n"/>
      <c r="U263" s="21" t="n"/>
    </row>
    <row r="264" ht="15.75" customHeight="1" s="237">
      <c r="A264" s="21" t="n"/>
      <c r="H264" s="21" t="n"/>
      <c r="I264" s="22" t="n"/>
      <c r="K264" s="22" t="n"/>
      <c r="O264" s="21" t="n"/>
      <c r="R264" s="21" t="n"/>
      <c r="S264" s="21" t="n"/>
      <c r="T264" s="21" t="n"/>
      <c r="U264" s="21" t="n"/>
    </row>
    <row r="265" ht="15.75" customHeight="1" s="237">
      <c r="A265" s="21" t="n"/>
      <c r="H265" s="21" t="n"/>
      <c r="I265" s="22" t="n"/>
      <c r="K265" s="22" t="n"/>
      <c r="O265" s="21" t="n"/>
      <c r="R265" s="21" t="n"/>
      <c r="S265" s="21" t="n"/>
      <c r="T265" s="21" t="n"/>
      <c r="U265" s="21" t="n"/>
    </row>
    <row r="266" ht="15.75" customHeight="1" s="237">
      <c r="A266" s="21" t="n"/>
      <c r="H266" s="21" t="n"/>
      <c r="I266" s="22" t="n"/>
      <c r="K266" s="22" t="n"/>
      <c r="O266" s="21" t="n"/>
      <c r="R266" s="21" t="n"/>
      <c r="S266" s="21" t="n"/>
      <c r="T266" s="21" t="n"/>
      <c r="U266" s="21" t="n"/>
    </row>
    <row r="267" ht="15.75" customHeight="1" s="237">
      <c r="A267" s="21" t="n"/>
      <c r="H267" s="21" t="n"/>
      <c r="I267" s="22" t="n"/>
      <c r="K267" s="22" t="n"/>
      <c r="O267" s="21" t="n"/>
      <c r="R267" s="21" t="n"/>
      <c r="S267" s="21" t="n"/>
      <c r="T267" s="21" t="n"/>
      <c r="U267" s="21" t="n"/>
    </row>
    <row r="268" ht="15.75" customHeight="1" s="237">
      <c r="A268" s="21" t="n"/>
      <c r="H268" s="21" t="n"/>
      <c r="I268" s="22" t="n"/>
      <c r="K268" s="22" t="n"/>
      <c r="O268" s="21" t="n"/>
      <c r="R268" s="21" t="n"/>
      <c r="S268" s="21" t="n"/>
      <c r="T268" s="21" t="n"/>
      <c r="U268" s="21" t="n"/>
    </row>
    <row r="269" ht="15.75" customHeight="1" s="237">
      <c r="A269" s="21" t="n"/>
      <c r="H269" s="21" t="n"/>
      <c r="I269" s="22" t="n"/>
      <c r="K269" s="22" t="n"/>
      <c r="O269" s="21" t="n"/>
      <c r="R269" s="21" t="n"/>
      <c r="S269" s="21" t="n"/>
      <c r="T269" s="21" t="n"/>
      <c r="U269" s="21" t="n"/>
    </row>
    <row r="270" ht="15.75" customHeight="1" s="237">
      <c r="A270" s="21" t="n"/>
      <c r="H270" s="21" t="n"/>
      <c r="I270" s="22" t="n"/>
      <c r="K270" s="22" t="n"/>
      <c r="O270" s="21" t="n"/>
      <c r="R270" s="21" t="n"/>
      <c r="S270" s="21" t="n"/>
      <c r="T270" s="21" t="n"/>
      <c r="U270" s="21" t="n"/>
    </row>
    <row r="271" ht="15.75" customHeight="1" s="237">
      <c r="A271" s="21" t="n"/>
      <c r="H271" s="21" t="n"/>
      <c r="I271" s="22" t="n"/>
      <c r="K271" s="22" t="n"/>
      <c r="O271" s="21" t="n"/>
      <c r="R271" s="21" t="n"/>
      <c r="S271" s="21" t="n"/>
      <c r="T271" s="21" t="n"/>
      <c r="U271" s="21" t="n"/>
    </row>
    <row r="272" ht="15.75" customHeight="1" s="237">
      <c r="A272" s="21" t="n"/>
      <c r="H272" s="21" t="n"/>
      <c r="I272" s="22" t="n"/>
      <c r="K272" s="22" t="n"/>
      <c r="O272" s="21" t="n"/>
      <c r="R272" s="21" t="n"/>
      <c r="S272" s="21" t="n"/>
      <c r="T272" s="21" t="n"/>
      <c r="U272" s="21" t="n"/>
    </row>
    <row r="273" ht="15.75" customHeight="1" s="237">
      <c r="A273" s="21" t="n"/>
      <c r="H273" s="21" t="n"/>
      <c r="I273" s="22" t="n"/>
      <c r="K273" s="22" t="n"/>
      <c r="O273" s="21" t="n"/>
      <c r="R273" s="21" t="n"/>
      <c r="S273" s="21" t="n"/>
      <c r="T273" s="21" t="n"/>
      <c r="U273" s="21" t="n"/>
    </row>
    <row r="274" ht="15.75" customHeight="1" s="237">
      <c r="A274" s="21" t="n"/>
      <c r="H274" s="21" t="n"/>
      <c r="I274" s="22" t="n"/>
      <c r="K274" s="22" t="n"/>
      <c r="O274" s="21" t="n"/>
      <c r="R274" s="21" t="n"/>
      <c r="S274" s="21" t="n"/>
      <c r="T274" s="21" t="n"/>
      <c r="U274" s="21" t="n"/>
    </row>
    <row r="275" ht="15.75" customHeight="1" s="237">
      <c r="A275" s="21" t="n"/>
      <c r="H275" s="21" t="n"/>
      <c r="I275" s="22" t="n"/>
      <c r="K275" s="22" t="n"/>
      <c r="O275" s="21" t="n"/>
      <c r="R275" s="21" t="n"/>
      <c r="S275" s="21" t="n"/>
      <c r="T275" s="21" t="n"/>
      <c r="U275" s="21" t="n"/>
    </row>
    <row r="276" ht="15.75" customHeight="1" s="237">
      <c r="A276" s="21" t="n"/>
      <c r="H276" s="21" t="n"/>
      <c r="I276" s="22" t="n"/>
      <c r="K276" s="22" t="n"/>
      <c r="O276" s="21" t="n"/>
      <c r="R276" s="21" t="n"/>
      <c r="S276" s="21" t="n"/>
      <c r="T276" s="21" t="n"/>
      <c r="U276" s="21" t="n"/>
    </row>
    <row r="277" ht="15.75" customHeight="1" s="237">
      <c r="A277" s="21" t="n"/>
      <c r="H277" s="21" t="n"/>
      <c r="I277" s="22" t="n"/>
      <c r="K277" s="22" t="n"/>
      <c r="O277" s="21" t="n"/>
      <c r="R277" s="21" t="n"/>
      <c r="S277" s="21" t="n"/>
      <c r="T277" s="21" t="n"/>
      <c r="U277" s="21" t="n"/>
    </row>
    <row r="278" ht="15.75" customHeight="1" s="237">
      <c r="A278" s="21" t="n"/>
      <c r="H278" s="21" t="n"/>
      <c r="I278" s="22" t="n"/>
      <c r="K278" s="22" t="n"/>
      <c r="O278" s="21" t="n"/>
      <c r="R278" s="21" t="n"/>
      <c r="S278" s="21" t="n"/>
      <c r="T278" s="21" t="n"/>
      <c r="U278" s="21" t="n"/>
    </row>
    <row r="279" ht="15.75" customHeight="1" s="237">
      <c r="A279" s="21" t="n"/>
      <c r="H279" s="21" t="n"/>
      <c r="I279" s="22" t="n"/>
      <c r="K279" s="22" t="n"/>
      <c r="O279" s="21" t="n"/>
      <c r="R279" s="21" t="n"/>
      <c r="S279" s="21" t="n"/>
      <c r="T279" s="21" t="n"/>
      <c r="U279" s="21" t="n"/>
    </row>
    <row r="280" ht="15.75" customHeight="1" s="237">
      <c r="A280" s="21" t="n"/>
      <c r="H280" s="21" t="n"/>
      <c r="I280" s="22" t="n"/>
      <c r="K280" s="22" t="n"/>
      <c r="O280" s="21" t="n"/>
      <c r="R280" s="21" t="n"/>
      <c r="S280" s="21" t="n"/>
      <c r="T280" s="21" t="n"/>
      <c r="U280" s="21" t="n"/>
    </row>
    <row r="281" ht="15.75" customHeight="1" s="237">
      <c r="A281" s="21" t="n"/>
      <c r="H281" s="21" t="n"/>
      <c r="I281" s="22" t="n"/>
      <c r="K281" s="22" t="n"/>
      <c r="O281" s="21" t="n"/>
      <c r="R281" s="21" t="n"/>
      <c r="S281" s="21" t="n"/>
      <c r="T281" s="21" t="n"/>
      <c r="U281" s="21" t="n"/>
    </row>
    <row r="282" ht="15.75" customHeight="1" s="237">
      <c r="A282" s="21" t="n"/>
      <c r="H282" s="21" t="n"/>
      <c r="I282" s="22" t="n"/>
      <c r="K282" s="22" t="n"/>
      <c r="O282" s="21" t="n"/>
      <c r="R282" s="21" t="n"/>
      <c r="S282" s="21" t="n"/>
      <c r="T282" s="21" t="n"/>
      <c r="U282" s="21" t="n"/>
    </row>
    <row r="283" ht="15.75" customHeight="1" s="237">
      <c r="A283" s="21" t="n"/>
      <c r="H283" s="21" t="n"/>
      <c r="I283" s="22" t="n"/>
      <c r="K283" s="22" t="n"/>
      <c r="O283" s="21" t="n"/>
      <c r="R283" s="21" t="n"/>
      <c r="S283" s="21" t="n"/>
      <c r="T283" s="21" t="n"/>
      <c r="U283" s="21" t="n"/>
    </row>
    <row r="284" ht="15.75" customHeight="1" s="237">
      <c r="A284" s="21" t="n"/>
      <c r="H284" s="21" t="n"/>
      <c r="I284" s="22" t="n"/>
      <c r="K284" s="22" t="n"/>
      <c r="O284" s="21" t="n"/>
      <c r="R284" s="21" t="n"/>
      <c r="S284" s="21" t="n"/>
      <c r="T284" s="21" t="n"/>
      <c r="U284" s="21" t="n"/>
    </row>
    <row r="285" ht="15.75" customHeight="1" s="237">
      <c r="A285" s="21" t="n"/>
      <c r="H285" s="21" t="n"/>
      <c r="I285" s="22" t="n"/>
      <c r="K285" s="22" t="n"/>
      <c r="O285" s="21" t="n"/>
      <c r="R285" s="21" t="n"/>
      <c r="S285" s="21" t="n"/>
      <c r="T285" s="21" t="n"/>
      <c r="U285" s="21" t="n"/>
    </row>
    <row r="286" ht="15.75" customHeight="1" s="237">
      <c r="A286" s="21" t="n"/>
      <c r="H286" s="21" t="n"/>
      <c r="I286" s="22" t="n"/>
      <c r="K286" s="22" t="n"/>
      <c r="O286" s="21" t="n"/>
      <c r="R286" s="21" t="n"/>
      <c r="S286" s="21" t="n"/>
      <c r="T286" s="21" t="n"/>
      <c r="U286" s="21" t="n"/>
    </row>
    <row r="287" ht="15.75" customHeight="1" s="237">
      <c r="A287" s="21" t="n"/>
      <c r="H287" s="21" t="n"/>
      <c r="I287" s="22" t="n"/>
      <c r="K287" s="22" t="n"/>
      <c r="O287" s="21" t="n"/>
      <c r="R287" s="21" t="n"/>
      <c r="S287" s="21" t="n"/>
      <c r="T287" s="21" t="n"/>
      <c r="U287" s="21" t="n"/>
    </row>
    <row r="288" ht="15.75" customHeight="1" s="237">
      <c r="A288" s="21" t="n"/>
      <c r="H288" s="21" t="n"/>
      <c r="I288" s="22" t="n"/>
      <c r="K288" s="22" t="n"/>
      <c r="O288" s="21" t="n"/>
      <c r="R288" s="21" t="n"/>
      <c r="S288" s="21" t="n"/>
      <c r="T288" s="21" t="n"/>
      <c r="U288" s="21" t="n"/>
    </row>
    <row r="289" ht="15.75" customHeight="1" s="237">
      <c r="A289" s="21" t="n"/>
      <c r="H289" s="21" t="n"/>
      <c r="I289" s="22" t="n"/>
      <c r="K289" s="22" t="n"/>
      <c r="O289" s="21" t="n"/>
      <c r="R289" s="21" t="n"/>
      <c r="S289" s="21" t="n"/>
      <c r="T289" s="21" t="n"/>
      <c r="U289" s="21" t="n"/>
    </row>
    <row r="290" ht="15.75" customHeight="1" s="237">
      <c r="A290" s="21" t="n"/>
      <c r="H290" s="21" t="n"/>
      <c r="I290" s="22" t="n"/>
      <c r="K290" s="22" t="n"/>
      <c r="O290" s="21" t="n"/>
      <c r="R290" s="21" t="n"/>
      <c r="S290" s="21" t="n"/>
      <c r="T290" s="21" t="n"/>
      <c r="U290" s="21" t="n"/>
    </row>
    <row r="291" ht="15.75" customHeight="1" s="237">
      <c r="A291" s="21" t="n"/>
      <c r="H291" s="21" t="n"/>
      <c r="I291" s="22" t="n"/>
      <c r="K291" s="22" t="n"/>
      <c r="O291" s="21" t="n"/>
      <c r="R291" s="21" t="n"/>
      <c r="S291" s="21" t="n"/>
      <c r="T291" s="21" t="n"/>
      <c r="U291" s="21" t="n"/>
    </row>
    <row r="292" ht="15.75" customHeight="1" s="237">
      <c r="A292" s="21" t="n"/>
      <c r="H292" s="21" t="n"/>
      <c r="I292" s="22" t="n"/>
      <c r="K292" s="22" t="n"/>
      <c r="O292" s="21" t="n"/>
      <c r="R292" s="21" t="n"/>
      <c r="S292" s="21" t="n"/>
      <c r="T292" s="21" t="n"/>
      <c r="U292" s="21" t="n"/>
    </row>
    <row r="293" ht="15.75" customHeight="1" s="237">
      <c r="A293" s="21" t="n"/>
      <c r="H293" s="21" t="n"/>
      <c r="I293" s="22" t="n"/>
      <c r="K293" s="22" t="n"/>
      <c r="O293" s="21" t="n"/>
      <c r="R293" s="21" t="n"/>
      <c r="S293" s="21" t="n"/>
      <c r="T293" s="21" t="n"/>
      <c r="U293" s="21" t="n"/>
    </row>
    <row r="294" ht="15.75" customHeight="1" s="237">
      <c r="A294" s="21" t="n"/>
      <c r="H294" s="21" t="n"/>
      <c r="I294" s="22" t="n"/>
      <c r="K294" s="22" t="n"/>
      <c r="O294" s="21" t="n"/>
      <c r="R294" s="21" t="n"/>
      <c r="S294" s="21" t="n"/>
      <c r="T294" s="21" t="n"/>
      <c r="U294" s="21" t="n"/>
    </row>
    <row r="295" ht="15.75" customHeight="1" s="237">
      <c r="A295" s="21" t="n"/>
      <c r="H295" s="21" t="n"/>
      <c r="I295" s="22" t="n"/>
      <c r="K295" s="22" t="n"/>
      <c r="O295" s="21" t="n"/>
      <c r="R295" s="21" t="n"/>
      <c r="S295" s="21" t="n"/>
      <c r="T295" s="21" t="n"/>
      <c r="U295" s="21" t="n"/>
    </row>
    <row r="296" ht="15.75" customHeight="1" s="237">
      <c r="A296" s="21" t="n"/>
      <c r="H296" s="21" t="n"/>
      <c r="I296" s="22" t="n"/>
      <c r="K296" s="22" t="n"/>
      <c r="O296" s="21" t="n"/>
      <c r="R296" s="21" t="n"/>
      <c r="S296" s="21" t="n"/>
      <c r="T296" s="21" t="n"/>
      <c r="U296" s="21" t="n"/>
    </row>
    <row r="297" ht="15.75" customHeight="1" s="237">
      <c r="A297" s="21" t="n"/>
      <c r="H297" s="21" t="n"/>
      <c r="I297" s="22" t="n"/>
      <c r="K297" s="22" t="n"/>
      <c r="O297" s="21" t="n"/>
      <c r="R297" s="21" t="n"/>
      <c r="S297" s="21" t="n"/>
      <c r="T297" s="21" t="n"/>
      <c r="U297" s="21" t="n"/>
    </row>
    <row r="298" ht="15.75" customHeight="1" s="237">
      <c r="A298" s="21" t="n"/>
      <c r="H298" s="21" t="n"/>
      <c r="I298" s="22" t="n"/>
      <c r="K298" s="22" t="n"/>
      <c r="O298" s="21" t="n"/>
      <c r="R298" s="21" t="n"/>
      <c r="S298" s="21" t="n"/>
      <c r="T298" s="21" t="n"/>
      <c r="U298" s="21" t="n"/>
    </row>
    <row r="299" ht="15.75" customHeight="1" s="237">
      <c r="A299" s="21" t="n"/>
      <c r="H299" s="21" t="n"/>
      <c r="I299" s="22" t="n"/>
      <c r="K299" s="22" t="n"/>
      <c r="O299" s="21" t="n"/>
      <c r="R299" s="21" t="n"/>
      <c r="S299" s="21" t="n"/>
      <c r="T299" s="21" t="n"/>
      <c r="U299" s="21" t="n"/>
    </row>
    <row r="300" ht="15.75" customHeight="1" s="237">
      <c r="A300" s="21" t="n"/>
      <c r="H300" s="21" t="n"/>
      <c r="I300" s="22" t="n"/>
      <c r="K300" s="22" t="n"/>
      <c r="O300" s="21" t="n"/>
      <c r="R300" s="21" t="n"/>
      <c r="S300" s="21" t="n"/>
      <c r="T300" s="21" t="n"/>
      <c r="U300" s="21" t="n"/>
    </row>
    <row r="301" ht="15.75" customHeight="1" s="237">
      <c r="A301" s="21" t="n"/>
      <c r="H301" s="21" t="n"/>
      <c r="I301" s="22" t="n"/>
      <c r="K301" s="22" t="n"/>
      <c r="O301" s="21" t="n"/>
      <c r="R301" s="21" t="n"/>
      <c r="S301" s="21" t="n"/>
      <c r="T301" s="21" t="n"/>
      <c r="U301" s="21" t="n"/>
    </row>
    <row r="302" ht="15.75" customHeight="1" s="237">
      <c r="A302" s="21" t="n"/>
      <c r="H302" s="21" t="n"/>
      <c r="I302" s="22" t="n"/>
      <c r="K302" s="22" t="n"/>
      <c r="O302" s="21" t="n"/>
      <c r="R302" s="21" t="n"/>
      <c r="S302" s="21" t="n"/>
      <c r="T302" s="21" t="n"/>
      <c r="U302" s="21" t="n"/>
    </row>
    <row r="303" ht="15.75" customHeight="1" s="237">
      <c r="A303" s="21" t="n"/>
      <c r="H303" s="21" t="n"/>
      <c r="I303" s="22" t="n"/>
      <c r="K303" s="22" t="n"/>
      <c r="O303" s="21" t="n"/>
      <c r="R303" s="21" t="n"/>
      <c r="S303" s="21" t="n"/>
      <c r="T303" s="21" t="n"/>
      <c r="U303" s="21" t="n"/>
    </row>
    <row r="304" ht="15.75" customHeight="1" s="237">
      <c r="A304" s="21" t="n"/>
      <c r="H304" s="21" t="n"/>
      <c r="I304" s="22" t="n"/>
      <c r="K304" s="22" t="n"/>
      <c r="O304" s="21" t="n"/>
      <c r="R304" s="21" t="n"/>
      <c r="S304" s="21" t="n"/>
      <c r="T304" s="21" t="n"/>
      <c r="U304" s="21" t="n"/>
    </row>
    <row r="305" ht="15.75" customHeight="1" s="237">
      <c r="A305" s="21" t="n"/>
      <c r="H305" s="21" t="n"/>
      <c r="I305" s="22" t="n"/>
      <c r="K305" s="22" t="n"/>
      <c r="O305" s="21" t="n"/>
      <c r="R305" s="21" t="n"/>
      <c r="S305" s="21" t="n"/>
      <c r="T305" s="21" t="n"/>
      <c r="U305" s="21" t="n"/>
    </row>
    <row r="306" ht="15.75" customHeight="1" s="237">
      <c r="A306" s="21" t="n"/>
      <c r="H306" s="21" t="n"/>
      <c r="I306" s="22" t="n"/>
      <c r="K306" s="22" t="n"/>
      <c r="O306" s="21" t="n"/>
      <c r="R306" s="21" t="n"/>
      <c r="S306" s="21" t="n"/>
      <c r="T306" s="21" t="n"/>
      <c r="U306" s="21" t="n"/>
    </row>
    <row r="307" ht="15.75" customHeight="1" s="237">
      <c r="A307" s="21" t="n"/>
      <c r="H307" s="21" t="n"/>
      <c r="I307" s="22" t="n"/>
      <c r="K307" s="22" t="n"/>
      <c r="O307" s="21" t="n"/>
      <c r="R307" s="21" t="n"/>
      <c r="S307" s="21" t="n"/>
      <c r="T307" s="21" t="n"/>
      <c r="U307" s="21" t="n"/>
    </row>
    <row r="308" ht="15.75" customHeight="1" s="237">
      <c r="A308" s="21" t="n"/>
      <c r="H308" s="21" t="n"/>
      <c r="I308" s="22" t="n"/>
      <c r="K308" s="22" t="n"/>
      <c r="O308" s="21" t="n"/>
      <c r="R308" s="21" t="n"/>
      <c r="S308" s="21" t="n"/>
      <c r="T308" s="21" t="n"/>
      <c r="U308" s="21" t="n"/>
    </row>
    <row r="309" ht="15.75" customHeight="1" s="237">
      <c r="A309" s="21" t="n"/>
      <c r="H309" s="21" t="n"/>
      <c r="I309" s="22" t="n"/>
      <c r="K309" s="22" t="n"/>
      <c r="O309" s="21" t="n"/>
      <c r="R309" s="21" t="n"/>
      <c r="S309" s="21" t="n"/>
      <c r="T309" s="21" t="n"/>
      <c r="U309" s="21" t="n"/>
    </row>
    <row r="310" ht="15.75" customHeight="1" s="237">
      <c r="A310" s="21" t="n"/>
      <c r="H310" s="21" t="n"/>
      <c r="I310" s="22" t="n"/>
      <c r="K310" s="22" t="n"/>
      <c r="O310" s="21" t="n"/>
      <c r="R310" s="21" t="n"/>
      <c r="S310" s="21" t="n"/>
      <c r="T310" s="21" t="n"/>
      <c r="U310" s="21" t="n"/>
    </row>
    <row r="311" ht="15.75" customHeight="1" s="237">
      <c r="A311" s="21" t="n"/>
      <c r="H311" s="21" t="n"/>
      <c r="I311" s="22" t="n"/>
      <c r="K311" s="22" t="n"/>
      <c r="O311" s="21" t="n"/>
      <c r="R311" s="21" t="n"/>
      <c r="S311" s="21" t="n"/>
      <c r="T311" s="21" t="n"/>
      <c r="U311" s="21" t="n"/>
    </row>
    <row r="312" ht="15.75" customHeight="1" s="237">
      <c r="A312" s="21" t="n"/>
      <c r="H312" s="21" t="n"/>
      <c r="I312" s="22" t="n"/>
      <c r="K312" s="22" t="n"/>
      <c r="O312" s="21" t="n"/>
      <c r="R312" s="21" t="n"/>
      <c r="S312" s="21" t="n"/>
      <c r="T312" s="21" t="n"/>
      <c r="U312" s="21" t="n"/>
    </row>
    <row r="313" ht="15.75" customHeight="1" s="237">
      <c r="A313" s="21" t="n"/>
      <c r="H313" s="21" t="n"/>
      <c r="I313" s="22" t="n"/>
      <c r="K313" s="22" t="n"/>
      <c r="O313" s="21" t="n"/>
      <c r="R313" s="21" t="n"/>
      <c r="S313" s="21" t="n"/>
      <c r="T313" s="21" t="n"/>
      <c r="U313" s="21" t="n"/>
    </row>
    <row r="314" ht="15.75" customHeight="1" s="237">
      <c r="A314" s="21" t="n"/>
      <c r="H314" s="21" t="n"/>
      <c r="I314" s="22" t="n"/>
      <c r="K314" s="22" t="n"/>
      <c r="O314" s="21" t="n"/>
      <c r="R314" s="21" t="n"/>
      <c r="S314" s="21" t="n"/>
      <c r="T314" s="21" t="n"/>
      <c r="U314" s="21" t="n"/>
    </row>
    <row r="315" ht="15.75" customHeight="1" s="237">
      <c r="A315" s="21" t="n"/>
      <c r="H315" s="21" t="n"/>
      <c r="I315" s="22" t="n"/>
      <c r="K315" s="22" t="n"/>
      <c r="O315" s="21" t="n"/>
      <c r="R315" s="21" t="n"/>
      <c r="S315" s="21" t="n"/>
      <c r="T315" s="21" t="n"/>
      <c r="U315" s="21" t="n"/>
    </row>
    <row r="316" ht="15.75" customHeight="1" s="237">
      <c r="A316" s="21" t="n"/>
      <c r="H316" s="21" t="n"/>
      <c r="I316" s="22" t="n"/>
      <c r="K316" s="22" t="n"/>
      <c r="O316" s="21" t="n"/>
      <c r="R316" s="21" t="n"/>
      <c r="S316" s="21" t="n"/>
      <c r="T316" s="21" t="n"/>
      <c r="U316" s="21" t="n"/>
    </row>
    <row r="317" ht="15.75" customHeight="1" s="237">
      <c r="A317" s="21" t="n"/>
      <c r="H317" s="21" t="n"/>
      <c r="I317" s="22" t="n"/>
      <c r="K317" s="22" t="n"/>
      <c r="O317" s="21" t="n"/>
      <c r="R317" s="21" t="n"/>
      <c r="S317" s="21" t="n"/>
      <c r="T317" s="21" t="n"/>
      <c r="U317" s="21" t="n"/>
    </row>
    <row r="318" ht="15.75" customHeight="1" s="237">
      <c r="A318" s="21" t="n"/>
      <c r="H318" s="21" t="n"/>
      <c r="I318" s="22" t="n"/>
      <c r="K318" s="22" t="n"/>
      <c r="O318" s="21" t="n"/>
      <c r="R318" s="21" t="n"/>
      <c r="S318" s="21" t="n"/>
      <c r="T318" s="21" t="n"/>
      <c r="U318" s="21" t="n"/>
    </row>
    <row r="319" ht="15.75" customHeight="1" s="237">
      <c r="A319" s="21" t="n"/>
      <c r="H319" s="21" t="n"/>
      <c r="I319" s="22" t="n"/>
      <c r="K319" s="22" t="n"/>
      <c r="O319" s="21" t="n"/>
      <c r="R319" s="21" t="n"/>
      <c r="S319" s="21" t="n"/>
      <c r="T319" s="21" t="n"/>
      <c r="U319" s="21" t="n"/>
    </row>
    <row r="320" ht="15.75" customHeight="1" s="237">
      <c r="A320" s="21" t="n"/>
      <c r="H320" s="21" t="n"/>
      <c r="I320" s="22" t="n"/>
      <c r="K320" s="22" t="n"/>
      <c r="O320" s="21" t="n"/>
      <c r="R320" s="21" t="n"/>
      <c r="S320" s="21" t="n"/>
      <c r="T320" s="21" t="n"/>
      <c r="U320" s="21" t="n"/>
    </row>
    <row r="321" ht="15.75" customHeight="1" s="237">
      <c r="A321" s="21" t="n"/>
      <c r="H321" s="21" t="n"/>
      <c r="I321" s="22" t="n"/>
      <c r="K321" s="22" t="n"/>
      <c r="O321" s="21" t="n"/>
      <c r="R321" s="21" t="n"/>
      <c r="S321" s="21" t="n"/>
      <c r="T321" s="21" t="n"/>
      <c r="U321" s="21" t="n"/>
    </row>
    <row r="322" ht="15.75" customHeight="1" s="237">
      <c r="A322" s="21" t="n"/>
      <c r="H322" s="21" t="n"/>
      <c r="I322" s="22" t="n"/>
      <c r="K322" s="22" t="n"/>
      <c r="O322" s="21" t="n"/>
      <c r="R322" s="21" t="n"/>
      <c r="S322" s="21" t="n"/>
      <c r="T322" s="21" t="n"/>
      <c r="U322" s="21" t="n"/>
    </row>
    <row r="323" ht="15.75" customHeight="1" s="237">
      <c r="A323" s="21" t="n"/>
      <c r="H323" s="21" t="n"/>
      <c r="I323" s="22" t="n"/>
      <c r="K323" s="22" t="n"/>
      <c r="O323" s="21" t="n"/>
      <c r="R323" s="21" t="n"/>
      <c r="S323" s="21" t="n"/>
      <c r="T323" s="21" t="n"/>
      <c r="U323" s="21" t="n"/>
    </row>
    <row r="324" ht="15.75" customHeight="1" s="237">
      <c r="A324" s="21" t="n"/>
      <c r="H324" s="21" t="n"/>
      <c r="I324" s="22" t="n"/>
      <c r="K324" s="22" t="n"/>
      <c r="O324" s="21" t="n"/>
      <c r="R324" s="21" t="n"/>
      <c r="S324" s="21" t="n"/>
      <c r="T324" s="21" t="n"/>
      <c r="U324" s="21" t="n"/>
    </row>
    <row r="325" ht="15.75" customHeight="1" s="237">
      <c r="A325" s="21" t="n"/>
      <c r="H325" s="21" t="n"/>
      <c r="I325" s="22" t="n"/>
      <c r="K325" s="22" t="n"/>
      <c r="O325" s="21" t="n"/>
      <c r="R325" s="21" t="n"/>
      <c r="S325" s="21" t="n"/>
      <c r="T325" s="21" t="n"/>
      <c r="U325" s="21" t="n"/>
    </row>
    <row r="326" ht="15.75" customHeight="1" s="237">
      <c r="A326" s="21" t="n"/>
      <c r="H326" s="21" t="n"/>
      <c r="I326" s="22" t="n"/>
      <c r="K326" s="22" t="n"/>
      <c r="O326" s="21" t="n"/>
      <c r="R326" s="21" t="n"/>
      <c r="S326" s="21" t="n"/>
      <c r="T326" s="21" t="n"/>
      <c r="U326" s="21" t="n"/>
    </row>
    <row r="327" ht="15.75" customHeight="1" s="237">
      <c r="A327" s="21" t="n"/>
      <c r="H327" s="21" t="n"/>
      <c r="I327" s="22" t="n"/>
      <c r="K327" s="22" t="n"/>
      <c r="O327" s="21" t="n"/>
      <c r="R327" s="21" t="n"/>
      <c r="S327" s="21" t="n"/>
      <c r="T327" s="21" t="n"/>
      <c r="U327" s="21" t="n"/>
    </row>
    <row r="328" ht="15.75" customHeight="1" s="237">
      <c r="A328" s="21" t="n"/>
      <c r="H328" s="21" t="n"/>
      <c r="I328" s="22" t="n"/>
      <c r="K328" s="22" t="n"/>
      <c r="O328" s="21" t="n"/>
      <c r="R328" s="21" t="n"/>
      <c r="S328" s="21" t="n"/>
      <c r="T328" s="21" t="n"/>
      <c r="U328" s="21" t="n"/>
    </row>
    <row r="329" ht="15.75" customHeight="1" s="237">
      <c r="A329" s="21" t="n"/>
      <c r="H329" s="21" t="n"/>
      <c r="I329" s="22" t="n"/>
      <c r="K329" s="22" t="n"/>
      <c r="O329" s="21" t="n"/>
      <c r="R329" s="21" t="n"/>
      <c r="S329" s="21" t="n"/>
      <c r="T329" s="21" t="n"/>
      <c r="U329" s="21" t="n"/>
    </row>
    <row r="330" ht="15.75" customHeight="1" s="237">
      <c r="A330" s="21" t="n"/>
      <c r="H330" s="21" t="n"/>
      <c r="I330" s="22" t="n"/>
      <c r="K330" s="22" t="n"/>
      <c r="O330" s="21" t="n"/>
      <c r="R330" s="21" t="n"/>
      <c r="S330" s="21" t="n"/>
      <c r="T330" s="21" t="n"/>
      <c r="U330" s="21" t="n"/>
    </row>
    <row r="331" ht="15.75" customHeight="1" s="237">
      <c r="A331" s="21" t="n"/>
      <c r="H331" s="21" t="n"/>
      <c r="I331" s="22" t="n"/>
      <c r="K331" s="22" t="n"/>
      <c r="O331" s="21" t="n"/>
      <c r="R331" s="21" t="n"/>
      <c r="S331" s="21" t="n"/>
      <c r="T331" s="21" t="n"/>
      <c r="U331" s="21" t="n"/>
    </row>
    <row r="332" ht="15.75" customHeight="1" s="237">
      <c r="A332" s="21" t="n"/>
      <c r="H332" s="21" t="n"/>
      <c r="I332" s="22" t="n"/>
      <c r="K332" s="22" t="n"/>
      <c r="O332" s="21" t="n"/>
      <c r="R332" s="21" t="n"/>
      <c r="S332" s="21" t="n"/>
      <c r="T332" s="21" t="n"/>
      <c r="U332" s="21" t="n"/>
    </row>
    <row r="333" ht="15.75" customHeight="1" s="237">
      <c r="A333" s="21" t="n"/>
      <c r="H333" s="21" t="n"/>
      <c r="I333" s="22" t="n"/>
      <c r="K333" s="22" t="n"/>
      <c r="O333" s="21" t="n"/>
      <c r="R333" s="21" t="n"/>
      <c r="S333" s="21" t="n"/>
      <c r="T333" s="21" t="n"/>
      <c r="U333" s="21" t="n"/>
    </row>
    <row r="334" ht="15.75" customHeight="1" s="237">
      <c r="A334" s="21" t="n"/>
      <c r="H334" s="21" t="n"/>
      <c r="I334" s="22" t="n"/>
      <c r="K334" s="22" t="n"/>
      <c r="O334" s="21" t="n"/>
      <c r="R334" s="21" t="n"/>
      <c r="S334" s="21" t="n"/>
      <c r="T334" s="21" t="n"/>
      <c r="U334" s="21" t="n"/>
    </row>
    <row r="335" ht="15.75" customHeight="1" s="237">
      <c r="A335" s="21" t="n"/>
      <c r="H335" s="21" t="n"/>
      <c r="I335" s="22" t="n"/>
      <c r="K335" s="22" t="n"/>
      <c r="O335" s="21" t="n"/>
      <c r="R335" s="21" t="n"/>
      <c r="S335" s="21" t="n"/>
      <c r="T335" s="21" t="n"/>
      <c r="U335" s="21" t="n"/>
    </row>
    <row r="336" ht="15.75" customHeight="1" s="237">
      <c r="A336" s="21" t="n"/>
      <c r="H336" s="21" t="n"/>
      <c r="I336" s="22" t="n"/>
      <c r="K336" s="22" t="n"/>
      <c r="O336" s="21" t="n"/>
      <c r="R336" s="21" t="n"/>
      <c r="S336" s="21" t="n"/>
      <c r="T336" s="21" t="n"/>
      <c r="U336" s="21" t="n"/>
    </row>
    <row r="337" ht="15.75" customHeight="1" s="237">
      <c r="A337" s="21" t="n"/>
      <c r="H337" s="21" t="n"/>
      <c r="I337" s="22" t="n"/>
      <c r="K337" s="22" t="n"/>
      <c r="O337" s="21" t="n"/>
      <c r="R337" s="21" t="n"/>
      <c r="S337" s="21" t="n"/>
      <c r="T337" s="21" t="n"/>
      <c r="U337" s="21" t="n"/>
    </row>
    <row r="338" ht="15.75" customHeight="1" s="237">
      <c r="A338" s="21" t="n"/>
      <c r="H338" s="21" t="n"/>
      <c r="I338" s="22" t="n"/>
      <c r="K338" s="22" t="n"/>
      <c r="O338" s="21" t="n"/>
      <c r="R338" s="21" t="n"/>
      <c r="S338" s="21" t="n"/>
      <c r="T338" s="21" t="n"/>
      <c r="U338" s="21" t="n"/>
    </row>
    <row r="339" ht="15.75" customHeight="1" s="237">
      <c r="A339" s="21" t="n"/>
      <c r="H339" s="21" t="n"/>
      <c r="I339" s="22" t="n"/>
      <c r="K339" s="22" t="n"/>
      <c r="O339" s="21" t="n"/>
      <c r="R339" s="21" t="n"/>
      <c r="S339" s="21" t="n"/>
      <c r="T339" s="21" t="n"/>
      <c r="U339" s="21" t="n"/>
    </row>
    <row r="340" ht="15.75" customHeight="1" s="237">
      <c r="A340" s="21" t="n"/>
      <c r="H340" s="21" t="n"/>
      <c r="I340" s="22" t="n"/>
      <c r="K340" s="22" t="n"/>
      <c r="O340" s="21" t="n"/>
      <c r="R340" s="21" t="n"/>
      <c r="S340" s="21" t="n"/>
      <c r="T340" s="21" t="n"/>
      <c r="U340" s="21" t="n"/>
    </row>
    <row r="341" ht="15.75" customHeight="1" s="237">
      <c r="A341" s="21" t="n"/>
      <c r="H341" s="21" t="n"/>
      <c r="I341" s="22" t="n"/>
      <c r="K341" s="22" t="n"/>
      <c r="O341" s="21" t="n"/>
      <c r="R341" s="21" t="n"/>
      <c r="S341" s="21" t="n"/>
      <c r="T341" s="21" t="n"/>
      <c r="U341" s="21" t="n"/>
    </row>
    <row r="342" ht="15.75" customHeight="1" s="237">
      <c r="A342" s="21" t="n"/>
      <c r="H342" s="21" t="n"/>
      <c r="I342" s="22" t="n"/>
      <c r="K342" s="22" t="n"/>
      <c r="O342" s="21" t="n"/>
      <c r="R342" s="21" t="n"/>
      <c r="S342" s="21" t="n"/>
      <c r="T342" s="21" t="n"/>
      <c r="U342" s="21" t="n"/>
    </row>
    <row r="343" ht="15.75" customHeight="1" s="237">
      <c r="A343" s="21" t="n"/>
      <c r="H343" s="21" t="n"/>
      <c r="I343" s="22" t="n"/>
      <c r="K343" s="22" t="n"/>
      <c r="O343" s="21" t="n"/>
      <c r="R343" s="21" t="n"/>
      <c r="S343" s="21" t="n"/>
      <c r="T343" s="21" t="n"/>
      <c r="U343" s="21" t="n"/>
    </row>
    <row r="344" ht="15.75" customHeight="1" s="237">
      <c r="A344" s="21" t="n"/>
      <c r="H344" s="21" t="n"/>
      <c r="I344" s="22" t="n"/>
      <c r="K344" s="22" t="n"/>
      <c r="O344" s="21" t="n"/>
      <c r="R344" s="21" t="n"/>
      <c r="S344" s="21" t="n"/>
      <c r="T344" s="21" t="n"/>
      <c r="U344" s="21" t="n"/>
    </row>
    <row r="345" ht="15.75" customHeight="1" s="237">
      <c r="A345" s="21" t="n"/>
      <c r="H345" s="21" t="n"/>
      <c r="I345" s="22" t="n"/>
      <c r="K345" s="22" t="n"/>
      <c r="O345" s="21" t="n"/>
      <c r="R345" s="21" t="n"/>
      <c r="S345" s="21" t="n"/>
      <c r="T345" s="21" t="n"/>
      <c r="U345" s="21" t="n"/>
    </row>
    <row r="346" ht="15.75" customHeight="1" s="237">
      <c r="A346" s="21" t="n"/>
      <c r="H346" s="21" t="n"/>
      <c r="I346" s="22" t="n"/>
      <c r="K346" s="22" t="n"/>
      <c r="O346" s="21" t="n"/>
      <c r="R346" s="21" t="n"/>
      <c r="S346" s="21" t="n"/>
      <c r="T346" s="21" t="n"/>
      <c r="U346" s="21" t="n"/>
    </row>
    <row r="347" ht="15.75" customHeight="1" s="237">
      <c r="A347" s="21" t="n"/>
      <c r="H347" s="21" t="n"/>
      <c r="I347" s="22" t="n"/>
      <c r="K347" s="22" t="n"/>
      <c r="O347" s="21" t="n"/>
      <c r="R347" s="21" t="n"/>
      <c r="S347" s="21" t="n"/>
      <c r="T347" s="21" t="n"/>
      <c r="U347" s="21" t="n"/>
    </row>
    <row r="348" ht="15.75" customHeight="1" s="237">
      <c r="A348" s="21" t="n"/>
      <c r="H348" s="21" t="n"/>
      <c r="I348" s="22" t="n"/>
      <c r="K348" s="22" t="n"/>
      <c r="O348" s="21" t="n"/>
      <c r="R348" s="21" t="n"/>
      <c r="S348" s="21" t="n"/>
      <c r="T348" s="21" t="n"/>
      <c r="U348" s="21" t="n"/>
    </row>
    <row r="349" ht="15.75" customHeight="1" s="237">
      <c r="A349" s="21" t="n"/>
      <c r="H349" s="21" t="n"/>
      <c r="I349" s="22" t="n"/>
      <c r="K349" s="22" t="n"/>
      <c r="O349" s="21" t="n"/>
      <c r="R349" s="21" t="n"/>
      <c r="S349" s="21" t="n"/>
      <c r="T349" s="21" t="n"/>
      <c r="U349" s="21" t="n"/>
    </row>
    <row r="350" ht="15.75" customHeight="1" s="237">
      <c r="A350" s="21" t="n"/>
      <c r="H350" s="21" t="n"/>
      <c r="I350" s="22" t="n"/>
      <c r="K350" s="22" t="n"/>
      <c r="O350" s="21" t="n"/>
      <c r="R350" s="21" t="n"/>
      <c r="S350" s="21" t="n"/>
      <c r="T350" s="21" t="n"/>
      <c r="U350" s="21" t="n"/>
    </row>
    <row r="351" ht="15.75" customHeight="1" s="237">
      <c r="A351" s="21" t="n"/>
      <c r="H351" s="21" t="n"/>
      <c r="I351" s="22" t="n"/>
      <c r="K351" s="22" t="n"/>
      <c r="O351" s="21" t="n"/>
      <c r="R351" s="21" t="n"/>
      <c r="S351" s="21" t="n"/>
      <c r="T351" s="21" t="n"/>
      <c r="U351" s="21" t="n"/>
    </row>
    <row r="352" ht="15.75" customHeight="1" s="237">
      <c r="A352" s="21" t="n"/>
      <c r="H352" s="21" t="n"/>
      <c r="I352" s="22" t="n"/>
      <c r="K352" s="22" t="n"/>
      <c r="O352" s="21" t="n"/>
      <c r="R352" s="21" t="n"/>
      <c r="S352" s="21" t="n"/>
      <c r="T352" s="21" t="n"/>
      <c r="U352" s="21" t="n"/>
    </row>
    <row r="353" ht="15.75" customHeight="1" s="237">
      <c r="A353" s="21" t="n"/>
      <c r="H353" s="21" t="n"/>
      <c r="I353" s="22" t="n"/>
      <c r="K353" s="22" t="n"/>
      <c r="O353" s="21" t="n"/>
      <c r="R353" s="21" t="n"/>
      <c r="S353" s="21" t="n"/>
      <c r="T353" s="21" t="n"/>
      <c r="U353" s="21" t="n"/>
    </row>
    <row r="354" ht="15.75" customHeight="1" s="237">
      <c r="A354" s="21" t="n"/>
      <c r="H354" s="21" t="n"/>
      <c r="I354" s="22" t="n"/>
      <c r="K354" s="22" t="n"/>
      <c r="O354" s="21" t="n"/>
      <c r="R354" s="21" t="n"/>
      <c r="S354" s="21" t="n"/>
      <c r="T354" s="21" t="n"/>
      <c r="U354" s="21" t="n"/>
    </row>
    <row r="355" ht="15.75" customHeight="1" s="237">
      <c r="A355" s="21" t="n"/>
      <c r="H355" s="21" t="n"/>
      <c r="I355" s="22" t="n"/>
      <c r="K355" s="22" t="n"/>
      <c r="O355" s="21" t="n"/>
      <c r="R355" s="21" t="n"/>
      <c r="S355" s="21" t="n"/>
      <c r="T355" s="21" t="n"/>
      <c r="U355" s="21" t="n"/>
    </row>
    <row r="356" ht="15.75" customHeight="1" s="237">
      <c r="A356" s="21" t="n"/>
      <c r="H356" s="21" t="n"/>
      <c r="I356" s="22" t="n"/>
      <c r="K356" s="22" t="n"/>
      <c r="O356" s="21" t="n"/>
      <c r="R356" s="21" t="n"/>
      <c r="S356" s="21" t="n"/>
      <c r="T356" s="21" t="n"/>
      <c r="U356" s="21" t="n"/>
    </row>
    <row r="357" ht="15.75" customHeight="1" s="237">
      <c r="A357" s="21" t="n"/>
      <c r="H357" s="21" t="n"/>
      <c r="I357" s="22" t="n"/>
      <c r="K357" s="22" t="n"/>
      <c r="O357" s="21" t="n"/>
      <c r="R357" s="21" t="n"/>
      <c r="S357" s="21" t="n"/>
      <c r="T357" s="21" t="n"/>
      <c r="U357" s="21" t="n"/>
    </row>
    <row r="358" ht="15.75" customHeight="1" s="237">
      <c r="A358" s="21" t="n"/>
      <c r="H358" s="21" t="n"/>
      <c r="I358" s="22" t="n"/>
      <c r="K358" s="22" t="n"/>
      <c r="O358" s="21" t="n"/>
      <c r="R358" s="21" t="n"/>
      <c r="S358" s="21" t="n"/>
      <c r="T358" s="21" t="n"/>
      <c r="U358" s="21" t="n"/>
    </row>
    <row r="359" ht="15.75" customHeight="1" s="237">
      <c r="A359" s="21" t="n"/>
      <c r="H359" s="21" t="n"/>
      <c r="I359" s="22" t="n"/>
      <c r="K359" s="22" t="n"/>
      <c r="O359" s="21" t="n"/>
      <c r="R359" s="21" t="n"/>
      <c r="S359" s="21" t="n"/>
      <c r="T359" s="21" t="n"/>
      <c r="U359" s="21" t="n"/>
    </row>
    <row r="360" ht="15.75" customHeight="1" s="237">
      <c r="A360" s="21" t="n"/>
      <c r="H360" s="21" t="n"/>
      <c r="I360" s="22" t="n"/>
      <c r="K360" s="22" t="n"/>
      <c r="O360" s="21" t="n"/>
      <c r="R360" s="21" t="n"/>
      <c r="S360" s="21" t="n"/>
      <c r="T360" s="21" t="n"/>
      <c r="U360" s="21" t="n"/>
    </row>
    <row r="361" ht="15.75" customHeight="1" s="237">
      <c r="A361" s="21" t="n"/>
      <c r="H361" s="21" t="n"/>
      <c r="I361" s="22" t="n"/>
      <c r="K361" s="22" t="n"/>
      <c r="O361" s="21" t="n"/>
      <c r="R361" s="21" t="n"/>
      <c r="S361" s="21" t="n"/>
      <c r="T361" s="21" t="n"/>
      <c r="U361" s="21" t="n"/>
    </row>
    <row r="362" ht="15.75" customHeight="1" s="237">
      <c r="A362" s="21" t="n"/>
      <c r="H362" s="21" t="n"/>
      <c r="I362" s="22" t="n"/>
      <c r="K362" s="22" t="n"/>
      <c r="O362" s="21" t="n"/>
      <c r="R362" s="21" t="n"/>
      <c r="S362" s="21" t="n"/>
      <c r="T362" s="21" t="n"/>
      <c r="U362" s="21" t="n"/>
    </row>
    <row r="363" ht="15.75" customHeight="1" s="237">
      <c r="A363" s="21" t="n"/>
      <c r="H363" s="21" t="n"/>
      <c r="I363" s="22" t="n"/>
      <c r="K363" s="22" t="n"/>
      <c r="O363" s="21" t="n"/>
      <c r="R363" s="21" t="n"/>
      <c r="S363" s="21" t="n"/>
      <c r="T363" s="21" t="n"/>
      <c r="U363" s="21" t="n"/>
    </row>
    <row r="364" ht="15.75" customHeight="1" s="237">
      <c r="A364" s="21" t="n"/>
      <c r="H364" s="21" t="n"/>
      <c r="I364" s="22" t="n"/>
      <c r="K364" s="22" t="n"/>
      <c r="O364" s="21" t="n"/>
      <c r="R364" s="21" t="n"/>
      <c r="S364" s="21" t="n"/>
      <c r="T364" s="21" t="n"/>
      <c r="U364" s="21" t="n"/>
    </row>
    <row r="365" ht="15.75" customHeight="1" s="237">
      <c r="A365" s="21" t="n"/>
      <c r="H365" s="21" t="n"/>
      <c r="I365" s="22" t="n"/>
      <c r="K365" s="22" t="n"/>
      <c r="O365" s="21" t="n"/>
      <c r="R365" s="21" t="n"/>
      <c r="S365" s="21" t="n"/>
      <c r="T365" s="21" t="n"/>
      <c r="U365" s="21" t="n"/>
    </row>
    <row r="366" ht="15.75" customHeight="1" s="237">
      <c r="A366" s="21" t="n"/>
      <c r="H366" s="21" t="n"/>
      <c r="I366" s="22" t="n"/>
      <c r="K366" s="22" t="n"/>
      <c r="O366" s="21" t="n"/>
      <c r="R366" s="21" t="n"/>
      <c r="S366" s="21" t="n"/>
      <c r="T366" s="21" t="n"/>
      <c r="U366" s="21" t="n"/>
    </row>
    <row r="367" ht="15.75" customHeight="1" s="237">
      <c r="A367" s="21" t="n"/>
      <c r="H367" s="21" t="n"/>
      <c r="I367" s="22" t="n"/>
      <c r="K367" s="22" t="n"/>
      <c r="O367" s="21" t="n"/>
      <c r="R367" s="21" t="n"/>
      <c r="S367" s="21" t="n"/>
      <c r="T367" s="21" t="n"/>
      <c r="U367" s="21" t="n"/>
    </row>
    <row r="368" ht="15.75" customHeight="1" s="237">
      <c r="A368" s="21" t="n"/>
      <c r="H368" s="21" t="n"/>
      <c r="I368" s="22" t="n"/>
      <c r="K368" s="22" t="n"/>
      <c r="O368" s="21" t="n"/>
      <c r="R368" s="21" t="n"/>
      <c r="S368" s="21" t="n"/>
      <c r="T368" s="21" t="n"/>
      <c r="U368" s="21" t="n"/>
    </row>
    <row r="369" ht="15.75" customHeight="1" s="237">
      <c r="A369" s="21" t="n"/>
      <c r="H369" s="21" t="n"/>
      <c r="I369" s="22" t="n"/>
      <c r="K369" s="22" t="n"/>
      <c r="O369" s="21" t="n"/>
      <c r="R369" s="21" t="n"/>
      <c r="S369" s="21" t="n"/>
      <c r="T369" s="21" t="n"/>
      <c r="U369" s="21" t="n"/>
    </row>
    <row r="370" ht="15.75" customHeight="1" s="237">
      <c r="A370" s="21" t="n"/>
      <c r="H370" s="21" t="n"/>
      <c r="I370" s="22" t="n"/>
      <c r="K370" s="22" t="n"/>
      <c r="O370" s="21" t="n"/>
      <c r="R370" s="21" t="n"/>
      <c r="S370" s="21" t="n"/>
      <c r="T370" s="21" t="n"/>
      <c r="U370" s="21" t="n"/>
    </row>
    <row r="371" ht="15.75" customHeight="1" s="237">
      <c r="A371" s="21" t="n"/>
      <c r="H371" s="21" t="n"/>
      <c r="I371" s="22" t="n"/>
      <c r="K371" s="22" t="n"/>
      <c r="O371" s="21" t="n"/>
      <c r="R371" s="21" t="n"/>
      <c r="S371" s="21" t="n"/>
      <c r="T371" s="21" t="n"/>
      <c r="U371" s="21" t="n"/>
    </row>
    <row r="372" ht="15.75" customHeight="1" s="237">
      <c r="A372" s="21" t="n"/>
      <c r="H372" s="21" t="n"/>
      <c r="I372" s="22" t="n"/>
      <c r="K372" s="22" t="n"/>
      <c r="O372" s="21" t="n"/>
      <c r="R372" s="21" t="n"/>
      <c r="S372" s="21" t="n"/>
      <c r="T372" s="21" t="n"/>
      <c r="U372" s="21" t="n"/>
    </row>
    <row r="373" ht="15.75" customHeight="1" s="237">
      <c r="A373" s="21" t="n"/>
      <c r="H373" s="21" t="n"/>
      <c r="I373" s="22" t="n"/>
      <c r="K373" s="22" t="n"/>
      <c r="O373" s="21" t="n"/>
      <c r="R373" s="21" t="n"/>
      <c r="S373" s="21" t="n"/>
      <c r="T373" s="21" t="n"/>
      <c r="U373" s="21" t="n"/>
    </row>
    <row r="374" ht="15.75" customHeight="1" s="237">
      <c r="A374" s="21" t="n"/>
      <c r="H374" s="21" t="n"/>
      <c r="I374" s="22" t="n"/>
      <c r="K374" s="22" t="n"/>
      <c r="O374" s="21" t="n"/>
      <c r="R374" s="21" t="n"/>
      <c r="S374" s="21" t="n"/>
      <c r="T374" s="21" t="n"/>
      <c r="U374" s="21" t="n"/>
    </row>
    <row r="375" ht="15.75" customHeight="1" s="237">
      <c r="A375" s="21" t="n"/>
      <c r="H375" s="21" t="n"/>
      <c r="I375" s="22" t="n"/>
      <c r="K375" s="22" t="n"/>
      <c r="O375" s="21" t="n"/>
      <c r="R375" s="21" t="n"/>
      <c r="S375" s="21" t="n"/>
      <c r="T375" s="21" t="n"/>
      <c r="U375" s="21" t="n"/>
    </row>
    <row r="376" ht="15.75" customHeight="1" s="237">
      <c r="A376" s="21" t="n"/>
      <c r="H376" s="21" t="n"/>
      <c r="I376" s="22" t="n"/>
      <c r="K376" s="22" t="n"/>
      <c r="O376" s="21" t="n"/>
      <c r="R376" s="21" t="n"/>
      <c r="S376" s="21" t="n"/>
      <c r="T376" s="21" t="n"/>
      <c r="U376" s="21" t="n"/>
    </row>
    <row r="377" ht="15.75" customHeight="1" s="237">
      <c r="A377" s="21" t="n"/>
      <c r="H377" s="21" t="n"/>
      <c r="I377" s="22" t="n"/>
      <c r="K377" s="22" t="n"/>
      <c r="O377" s="21" t="n"/>
      <c r="R377" s="21" t="n"/>
      <c r="S377" s="21" t="n"/>
      <c r="T377" s="21" t="n"/>
      <c r="U377" s="21" t="n"/>
    </row>
    <row r="378" ht="15.75" customHeight="1" s="237">
      <c r="A378" s="21" t="n"/>
      <c r="H378" s="21" t="n"/>
      <c r="I378" s="22" t="n"/>
      <c r="K378" s="22" t="n"/>
      <c r="O378" s="21" t="n"/>
      <c r="R378" s="21" t="n"/>
      <c r="S378" s="21" t="n"/>
      <c r="T378" s="21" t="n"/>
      <c r="U378" s="21" t="n"/>
    </row>
    <row r="379" ht="15.75" customHeight="1" s="237">
      <c r="A379" s="21" t="n"/>
      <c r="H379" s="21" t="n"/>
      <c r="I379" s="22" t="n"/>
      <c r="K379" s="22" t="n"/>
      <c r="O379" s="21" t="n"/>
      <c r="R379" s="21" t="n"/>
      <c r="S379" s="21" t="n"/>
      <c r="T379" s="21" t="n"/>
      <c r="U379" s="21" t="n"/>
    </row>
    <row r="380" ht="15.75" customHeight="1" s="237">
      <c r="A380" s="21" t="n"/>
      <c r="H380" s="21" t="n"/>
      <c r="I380" s="22" t="n"/>
      <c r="K380" s="22" t="n"/>
      <c r="O380" s="21" t="n"/>
      <c r="R380" s="21" t="n"/>
      <c r="S380" s="21" t="n"/>
      <c r="T380" s="21" t="n"/>
      <c r="U380" s="21" t="n"/>
    </row>
    <row r="381" ht="15.75" customHeight="1" s="237">
      <c r="A381" s="21" t="n"/>
      <c r="H381" s="21" t="n"/>
      <c r="I381" s="22" t="n"/>
      <c r="K381" s="22" t="n"/>
      <c r="O381" s="21" t="n"/>
      <c r="R381" s="21" t="n"/>
      <c r="S381" s="21" t="n"/>
      <c r="T381" s="21" t="n"/>
      <c r="U381" s="21" t="n"/>
    </row>
    <row r="382" ht="15.75" customHeight="1" s="237">
      <c r="A382" s="21" t="n"/>
      <c r="H382" s="21" t="n"/>
      <c r="I382" s="22" t="n"/>
      <c r="K382" s="22" t="n"/>
      <c r="O382" s="21" t="n"/>
      <c r="R382" s="21" t="n"/>
      <c r="S382" s="21" t="n"/>
      <c r="T382" s="21" t="n"/>
      <c r="U382" s="21" t="n"/>
    </row>
    <row r="383" ht="15.75" customHeight="1" s="237">
      <c r="A383" s="21" t="n"/>
      <c r="H383" s="21" t="n"/>
      <c r="I383" s="22" t="n"/>
      <c r="K383" s="22" t="n"/>
      <c r="O383" s="21" t="n"/>
      <c r="R383" s="21" t="n"/>
      <c r="S383" s="21" t="n"/>
      <c r="T383" s="21" t="n"/>
      <c r="U383" s="21" t="n"/>
    </row>
    <row r="384" ht="15.75" customHeight="1" s="237">
      <c r="A384" s="21" t="n"/>
      <c r="H384" s="21" t="n"/>
      <c r="I384" s="22" t="n"/>
      <c r="K384" s="22" t="n"/>
      <c r="O384" s="21" t="n"/>
      <c r="R384" s="21" t="n"/>
      <c r="S384" s="21" t="n"/>
      <c r="T384" s="21" t="n"/>
      <c r="U384" s="21" t="n"/>
    </row>
    <row r="385" ht="15.75" customHeight="1" s="237">
      <c r="A385" s="21" t="n"/>
      <c r="H385" s="21" t="n"/>
      <c r="I385" s="22" t="n"/>
      <c r="K385" s="22" t="n"/>
      <c r="O385" s="21" t="n"/>
      <c r="R385" s="21" t="n"/>
      <c r="S385" s="21" t="n"/>
      <c r="T385" s="21" t="n"/>
      <c r="U385" s="21" t="n"/>
    </row>
    <row r="386" ht="15.75" customHeight="1" s="237">
      <c r="A386" s="21" t="n"/>
      <c r="H386" s="21" t="n"/>
      <c r="I386" s="22" t="n"/>
      <c r="K386" s="22" t="n"/>
      <c r="O386" s="21" t="n"/>
      <c r="R386" s="21" t="n"/>
      <c r="S386" s="21" t="n"/>
      <c r="T386" s="21" t="n"/>
      <c r="U386" s="21" t="n"/>
    </row>
    <row r="387" ht="15.75" customHeight="1" s="237">
      <c r="A387" s="21" t="n"/>
      <c r="H387" s="21" t="n"/>
      <c r="I387" s="22" t="n"/>
      <c r="K387" s="22" t="n"/>
      <c r="O387" s="21" t="n"/>
      <c r="R387" s="21" t="n"/>
      <c r="S387" s="21" t="n"/>
      <c r="T387" s="21" t="n"/>
      <c r="U387" s="21" t="n"/>
    </row>
    <row r="388" ht="15.75" customHeight="1" s="237">
      <c r="A388" s="21" t="n"/>
      <c r="H388" s="21" t="n"/>
      <c r="I388" s="22" t="n"/>
      <c r="K388" s="22" t="n"/>
      <c r="O388" s="21" t="n"/>
      <c r="R388" s="21" t="n"/>
      <c r="S388" s="21" t="n"/>
      <c r="T388" s="21" t="n"/>
      <c r="U388" s="21" t="n"/>
    </row>
    <row r="389" ht="15.75" customHeight="1" s="237">
      <c r="A389" s="21" t="n"/>
      <c r="H389" s="21" t="n"/>
      <c r="I389" s="22" t="n"/>
      <c r="K389" s="22" t="n"/>
      <c r="O389" s="21" t="n"/>
      <c r="R389" s="21" t="n"/>
      <c r="S389" s="21" t="n"/>
      <c r="T389" s="21" t="n"/>
      <c r="U389" s="21" t="n"/>
    </row>
    <row r="390" ht="15.75" customHeight="1" s="237">
      <c r="A390" s="21" t="n"/>
      <c r="H390" s="21" t="n"/>
      <c r="I390" s="22" t="n"/>
      <c r="K390" s="22" t="n"/>
      <c r="O390" s="21" t="n"/>
      <c r="R390" s="21" t="n"/>
      <c r="S390" s="21" t="n"/>
      <c r="T390" s="21" t="n"/>
      <c r="U390" s="21" t="n"/>
    </row>
    <row r="391" ht="15.75" customHeight="1" s="237">
      <c r="A391" s="21" t="n"/>
      <c r="H391" s="21" t="n"/>
      <c r="I391" s="22" t="n"/>
      <c r="K391" s="22" t="n"/>
      <c r="O391" s="21" t="n"/>
      <c r="R391" s="21" t="n"/>
      <c r="S391" s="21" t="n"/>
      <c r="T391" s="21" t="n"/>
      <c r="U391" s="21" t="n"/>
    </row>
    <row r="392" ht="15.75" customHeight="1" s="237">
      <c r="A392" s="21" t="n"/>
      <c r="H392" s="21" t="n"/>
      <c r="I392" s="22" t="n"/>
      <c r="K392" s="22" t="n"/>
      <c r="O392" s="21" t="n"/>
      <c r="R392" s="21" t="n"/>
      <c r="S392" s="21" t="n"/>
      <c r="T392" s="21" t="n"/>
      <c r="U392" s="21" t="n"/>
    </row>
    <row r="393" ht="15.75" customHeight="1" s="237">
      <c r="A393" s="21" t="n"/>
      <c r="H393" s="21" t="n"/>
      <c r="I393" s="22" t="n"/>
      <c r="K393" s="22" t="n"/>
      <c r="O393" s="21" t="n"/>
      <c r="R393" s="21" t="n"/>
      <c r="S393" s="21" t="n"/>
      <c r="T393" s="21" t="n"/>
      <c r="U393" s="21" t="n"/>
    </row>
    <row r="394" ht="15.75" customHeight="1" s="237">
      <c r="A394" s="21" t="n"/>
      <c r="H394" s="21" t="n"/>
      <c r="I394" s="22" t="n"/>
      <c r="K394" s="22" t="n"/>
      <c r="O394" s="21" t="n"/>
      <c r="R394" s="21" t="n"/>
      <c r="S394" s="21" t="n"/>
      <c r="T394" s="21" t="n"/>
      <c r="U394" s="21" t="n"/>
    </row>
    <row r="395" ht="15.75" customHeight="1" s="237">
      <c r="A395" s="21" t="n"/>
      <c r="H395" s="21" t="n"/>
      <c r="I395" s="22" t="n"/>
      <c r="K395" s="22" t="n"/>
      <c r="O395" s="21" t="n"/>
      <c r="R395" s="21" t="n"/>
      <c r="S395" s="21" t="n"/>
      <c r="T395" s="21" t="n"/>
      <c r="U395" s="21" t="n"/>
    </row>
    <row r="396" ht="15.75" customHeight="1" s="237">
      <c r="A396" s="21" t="n"/>
      <c r="H396" s="21" t="n"/>
      <c r="I396" s="22" t="n"/>
      <c r="K396" s="22" t="n"/>
      <c r="O396" s="21" t="n"/>
      <c r="R396" s="21" t="n"/>
      <c r="S396" s="21" t="n"/>
      <c r="T396" s="21" t="n"/>
      <c r="U396" s="21" t="n"/>
    </row>
    <row r="397" ht="15.75" customHeight="1" s="237">
      <c r="A397" s="21" t="n"/>
      <c r="H397" s="21" t="n"/>
      <c r="I397" s="22" t="n"/>
      <c r="K397" s="22" t="n"/>
      <c r="O397" s="21" t="n"/>
      <c r="R397" s="21" t="n"/>
      <c r="S397" s="21" t="n"/>
      <c r="T397" s="21" t="n"/>
      <c r="U397" s="21" t="n"/>
    </row>
    <row r="398" ht="15.75" customHeight="1" s="237">
      <c r="A398" s="21" t="n"/>
      <c r="H398" s="21" t="n"/>
      <c r="I398" s="22" t="n"/>
      <c r="K398" s="22" t="n"/>
      <c r="O398" s="21" t="n"/>
      <c r="R398" s="21" t="n"/>
      <c r="S398" s="21" t="n"/>
      <c r="T398" s="21" t="n"/>
      <c r="U398" s="21" t="n"/>
    </row>
    <row r="399" ht="15.75" customHeight="1" s="237">
      <c r="A399" s="21" t="n"/>
      <c r="H399" s="21" t="n"/>
      <c r="I399" s="22" t="n"/>
      <c r="K399" s="22" t="n"/>
      <c r="O399" s="21" t="n"/>
      <c r="R399" s="21" t="n"/>
      <c r="S399" s="21" t="n"/>
      <c r="T399" s="21" t="n"/>
      <c r="U399" s="21" t="n"/>
    </row>
    <row r="400" ht="15.75" customHeight="1" s="237">
      <c r="A400" s="21" t="n"/>
      <c r="H400" s="21" t="n"/>
      <c r="I400" s="22" t="n"/>
      <c r="K400" s="22" t="n"/>
      <c r="O400" s="21" t="n"/>
      <c r="R400" s="21" t="n"/>
      <c r="S400" s="21" t="n"/>
      <c r="T400" s="21" t="n"/>
      <c r="U400" s="21" t="n"/>
    </row>
    <row r="401" ht="15.75" customHeight="1" s="237">
      <c r="A401" s="21" t="n"/>
      <c r="H401" s="21" t="n"/>
      <c r="I401" s="22" t="n"/>
      <c r="K401" s="22" t="n"/>
      <c r="O401" s="21" t="n"/>
      <c r="R401" s="21" t="n"/>
      <c r="S401" s="21" t="n"/>
      <c r="T401" s="21" t="n"/>
      <c r="U401" s="21" t="n"/>
    </row>
    <row r="402" ht="15.75" customHeight="1" s="237">
      <c r="A402" s="21" t="n"/>
      <c r="H402" s="21" t="n"/>
      <c r="I402" s="22" t="n"/>
      <c r="K402" s="22" t="n"/>
      <c r="O402" s="21" t="n"/>
      <c r="R402" s="21" t="n"/>
      <c r="S402" s="21" t="n"/>
      <c r="T402" s="21" t="n"/>
      <c r="U402" s="21" t="n"/>
    </row>
    <row r="403" ht="15.75" customHeight="1" s="237">
      <c r="A403" s="21" t="n"/>
      <c r="H403" s="21" t="n"/>
      <c r="I403" s="22" t="n"/>
      <c r="K403" s="22" t="n"/>
      <c r="O403" s="21" t="n"/>
      <c r="R403" s="21" t="n"/>
      <c r="S403" s="21" t="n"/>
      <c r="T403" s="21" t="n"/>
      <c r="U403" s="21" t="n"/>
    </row>
    <row r="404" ht="15.75" customHeight="1" s="237">
      <c r="A404" s="21" t="n"/>
      <c r="H404" s="21" t="n"/>
      <c r="I404" s="22" t="n"/>
      <c r="K404" s="22" t="n"/>
      <c r="O404" s="21" t="n"/>
      <c r="R404" s="21" t="n"/>
      <c r="S404" s="21" t="n"/>
      <c r="T404" s="21" t="n"/>
      <c r="U404" s="21" t="n"/>
    </row>
    <row r="405" ht="15.75" customHeight="1" s="237">
      <c r="A405" s="21" t="n"/>
      <c r="H405" s="21" t="n"/>
      <c r="I405" s="22" t="n"/>
      <c r="K405" s="22" t="n"/>
      <c r="O405" s="21" t="n"/>
      <c r="R405" s="21" t="n"/>
      <c r="S405" s="21" t="n"/>
      <c r="T405" s="21" t="n"/>
      <c r="U405" s="21" t="n"/>
    </row>
    <row r="406" ht="15.75" customHeight="1" s="237">
      <c r="A406" s="21" t="n"/>
      <c r="H406" s="21" t="n"/>
      <c r="I406" s="22" t="n"/>
      <c r="K406" s="22" t="n"/>
      <c r="O406" s="21" t="n"/>
      <c r="R406" s="21" t="n"/>
      <c r="S406" s="21" t="n"/>
      <c r="T406" s="21" t="n"/>
      <c r="U406" s="21" t="n"/>
    </row>
    <row r="407" ht="15.75" customHeight="1" s="237">
      <c r="A407" s="21" t="n"/>
      <c r="H407" s="21" t="n"/>
      <c r="I407" s="22" t="n"/>
      <c r="K407" s="22" t="n"/>
      <c r="O407" s="21" t="n"/>
      <c r="R407" s="21" t="n"/>
      <c r="S407" s="21" t="n"/>
      <c r="T407" s="21" t="n"/>
      <c r="U407" s="21" t="n"/>
    </row>
    <row r="408" ht="15.75" customHeight="1" s="237">
      <c r="A408" s="21" t="n"/>
      <c r="H408" s="21" t="n"/>
      <c r="I408" s="22" t="n"/>
      <c r="K408" s="22" t="n"/>
      <c r="O408" s="21" t="n"/>
      <c r="R408" s="21" t="n"/>
      <c r="S408" s="21" t="n"/>
      <c r="T408" s="21" t="n"/>
      <c r="U408" s="21" t="n"/>
    </row>
    <row r="409" ht="15.75" customHeight="1" s="237">
      <c r="A409" s="21" t="n"/>
      <c r="H409" s="21" t="n"/>
      <c r="I409" s="22" t="n"/>
      <c r="K409" s="22" t="n"/>
      <c r="O409" s="21" t="n"/>
      <c r="R409" s="21" t="n"/>
      <c r="S409" s="21" t="n"/>
      <c r="T409" s="21" t="n"/>
      <c r="U409" s="21" t="n"/>
    </row>
    <row r="410" ht="15.75" customHeight="1" s="237">
      <c r="A410" s="21" t="n"/>
      <c r="H410" s="21" t="n"/>
      <c r="I410" s="22" t="n"/>
      <c r="K410" s="22" t="n"/>
      <c r="O410" s="21" t="n"/>
      <c r="R410" s="21" t="n"/>
      <c r="S410" s="21" t="n"/>
      <c r="T410" s="21" t="n"/>
      <c r="U410" s="21" t="n"/>
    </row>
    <row r="411" ht="15.75" customHeight="1" s="237">
      <c r="A411" s="21" t="n"/>
      <c r="H411" s="21" t="n"/>
      <c r="I411" s="22" t="n"/>
      <c r="K411" s="22" t="n"/>
      <c r="O411" s="21" t="n"/>
      <c r="R411" s="21" t="n"/>
      <c r="S411" s="21" t="n"/>
      <c r="T411" s="21" t="n"/>
      <c r="U411" s="21" t="n"/>
    </row>
    <row r="412" ht="15.75" customHeight="1" s="237">
      <c r="A412" s="21" t="n"/>
      <c r="H412" s="21" t="n"/>
      <c r="I412" s="22" t="n"/>
      <c r="K412" s="22" t="n"/>
      <c r="O412" s="21" t="n"/>
      <c r="R412" s="21" t="n"/>
      <c r="S412" s="21" t="n"/>
      <c r="T412" s="21" t="n"/>
      <c r="U412" s="21" t="n"/>
    </row>
    <row r="413" ht="15.75" customHeight="1" s="237">
      <c r="A413" s="21" t="n"/>
      <c r="H413" s="21" t="n"/>
      <c r="I413" s="22" t="n"/>
      <c r="K413" s="22" t="n"/>
      <c r="O413" s="21" t="n"/>
      <c r="R413" s="21" t="n"/>
      <c r="S413" s="21" t="n"/>
      <c r="T413" s="21" t="n"/>
      <c r="U413" s="21" t="n"/>
    </row>
    <row r="414" ht="15.75" customHeight="1" s="237">
      <c r="A414" s="21" t="n"/>
      <c r="H414" s="21" t="n"/>
      <c r="I414" s="22" t="n"/>
      <c r="K414" s="22" t="n"/>
      <c r="O414" s="21" t="n"/>
      <c r="R414" s="21" t="n"/>
      <c r="S414" s="21" t="n"/>
      <c r="T414" s="21" t="n"/>
      <c r="U414" s="21" t="n"/>
    </row>
    <row r="415" ht="15.75" customHeight="1" s="237">
      <c r="A415" s="21" t="n"/>
      <c r="H415" s="21" t="n"/>
      <c r="I415" s="22" t="n"/>
      <c r="K415" s="22" t="n"/>
      <c r="O415" s="21" t="n"/>
      <c r="R415" s="21" t="n"/>
      <c r="S415" s="21" t="n"/>
      <c r="T415" s="21" t="n"/>
      <c r="U415" s="21" t="n"/>
    </row>
    <row r="416" ht="15.75" customHeight="1" s="237">
      <c r="A416" s="21" t="n"/>
      <c r="H416" s="21" t="n"/>
      <c r="I416" s="22" t="n"/>
      <c r="K416" s="22" t="n"/>
      <c r="O416" s="21" t="n"/>
      <c r="R416" s="21" t="n"/>
      <c r="S416" s="21" t="n"/>
      <c r="T416" s="21" t="n"/>
      <c r="U416" s="21" t="n"/>
    </row>
    <row r="417" ht="15.75" customHeight="1" s="237">
      <c r="A417" s="21" t="n"/>
      <c r="H417" s="21" t="n"/>
      <c r="I417" s="22" t="n"/>
      <c r="K417" s="22" t="n"/>
      <c r="O417" s="21" t="n"/>
      <c r="R417" s="21" t="n"/>
      <c r="S417" s="21" t="n"/>
      <c r="T417" s="21" t="n"/>
      <c r="U417" s="21" t="n"/>
    </row>
    <row r="418" ht="15.75" customHeight="1" s="237">
      <c r="A418" s="21" t="n"/>
      <c r="H418" s="21" t="n"/>
      <c r="I418" s="22" t="n"/>
      <c r="K418" s="22" t="n"/>
      <c r="O418" s="21" t="n"/>
      <c r="R418" s="21" t="n"/>
      <c r="S418" s="21" t="n"/>
      <c r="T418" s="21" t="n"/>
      <c r="U418" s="21" t="n"/>
    </row>
    <row r="419" ht="15.75" customHeight="1" s="237">
      <c r="A419" s="21" t="n"/>
      <c r="H419" s="21" t="n"/>
      <c r="I419" s="22" t="n"/>
      <c r="K419" s="22" t="n"/>
      <c r="O419" s="21" t="n"/>
      <c r="R419" s="21" t="n"/>
      <c r="S419" s="21" t="n"/>
      <c r="T419" s="21" t="n"/>
      <c r="U419" s="21" t="n"/>
    </row>
    <row r="420" ht="15.75" customHeight="1" s="237">
      <c r="A420" s="21" t="n"/>
      <c r="H420" s="21" t="n"/>
      <c r="I420" s="22" t="n"/>
      <c r="K420" s="22" t="n"/>
      <c r="O420" s="21" t="n"/>
      <c r="R420" s="21" t="n"/>
      <c r="S420" s="21" t="n"/>
      <c r="T420" s="21" t="n"/>
      <c r="U420" s="21" t="n"/>
    </row>
    <row r="421" ht="15.75" customHeight="1" s="237">
      <c r="A421" s="21" t="n"/>
      <c r="H421" s="21" t="n"/>
      <c r="I421" s="22" t="n"/>
      <c r="K421" s="22" t="n"/>
      <c r="O421" s="21" t="n"/>
      <c r="R421" s="21" t="n"/>
      <c r="S421" s="21" t="n"/>
      <c r="T421" s="21" t="n"/>
      <c r="U421" s="21" t="n"/>
    </row>
    <row r="422" ht="15.75" customHeight="1" s="237">
      <c r="A422" s="21" t="n"/>
      <c r="H422" s="21" t="n"/>
      <c r="I422" s="22" t="n"/>
      <c r="K422" s="22" t="n"/>
      <c r="O422" s="21" t="n"/>
      <c r="R422" s="21" t="n"/>
      <c r="S422" s="21" t="n"/>
      <c r="T422" s="21" t="n"/>
      <c r="U422" s="21" t="n"/>
    </row>
    <row r="423" ht="15.75" customHeight="1" s="237">
      <c r="A423" s="21" t="n"/>
      <c r="H423" s="21" t="n"/>
      <c r="I423" s="22" t="n"/>
      <c r="K423" s="22" t="n"/>
      <c r="O423" s="21" t="n"/>
      <c r="R423" s="21" t="n"/>
      <c r="S423" s="21" t="n"/>
      <c r="T423" s="21" t="n"/>
      <c r="U423" s="21" t="n"/>
    </row>
    <row r="424" ht="15.75" customHeight="1" s="237">
      <c r="A424" s="21" t="n"/>
      <c r="H424" s="21" t="n"/>
      <c r="I424" s="22" t="n"/>
      <c r="K424" s="22" t="n"/>
      <c r="O424" s="21" t="n"/>
      <c r="R424" s="21" t="n"/>
      <c r="S424" s="21" t="n"/>
      <c r="T424" s="21" t="n"/>
      <c r="U424" s="21" t="n"/>
    </row>
    <row r="425" ht="15.75" customHeight="1" s="237">
      <c r="A425" s="21" t="n"/>
      <c r="H425" s="21" t="n"/>
      <c r="I425" s="22" t="n"/>
      <c r="K425" s="22" t="n"/>
      <c r="O425" s="21" t="n"/>
      <c r="R425" s="21" t="n"/>
      <c r="S425" s="21" t="n"/>
      <c r="T425" s="21" t="n"/>
      <c r="U425" s="21" t="n"/>
    </row>
    <row r="426" ht="15.75" customHeight="1" s="237">
      <c r="A426" s="21" t="n"/>
      <c r="H426" s="21" t="n"/>
      <c r="I426" s="22" t="n"/>
      <c r="K426" s="22" t="n"/>
      <c r="O426" s="21" t="n"/>
      <c r="R426" s="21" t="n"/>
      <c r="S426" s="21" t="n"/>
      <c r="T426" s="21" t="n"/>
      <c r="U426" s="21" t="n"/>
    </row>
    <row r="427" ht="15.75" customHeight="1" s="237">
      <c r="A427" s="21" t="n"/>
      <c r="H427" s="21" t="n"/>
      <c r="I427" s="22" t="n"/>
      <c r="K427" s="22" t="n"/>
      <c r="O427" s="21" t="n"/>
      <c r="R427" s="21" t="n"/>
      <c r="S427" s="21" t="n"/>
      <c r="T427" s="21" t="n"/>
      <c r="U427" s="21" t="n"/>
    </row>
    <row r="428" ht="15.75" customHeight="1" s="237">
      <c r="A428" s="21" t="n"/>
      <c r="H428" s="21" t="n"/>
      <c r="I428" s="22" t="n"/>
      <c r="K428" s="22" t="n"/>
      <c r="O428" s="21" t="n"/>
      <c r="R428" s="21" t="n"/>
      <c r="S428" s="21" t="n"/>
      <c r="T428" s="21" t="n"/>
      <c r="U428" s="21" t="n"/>
    </row>
    <row r="429" ht="15.75" customHeight="1" s="237">
      <c r="A429" s="21" t="n"/>
      <c r="H429" s="21" t="n"/>
      <c r="I429" s="22" t="n"/>
      <c r="K429" s="22" t="n"/>
      <c r="O429" s="21" t="n"/>
      <c r="R429" s="21" t="n"/>
      <c r="S429" s="21" t="n"/>
      <c r="T429" s="21" t="n"/>
      <c r="U429" s="21" t="n"/>
    </row>
    <row r="430" ht="15.75" customHeight="1" s="237">
      <c r="A430" s="21" t="n"/>
      <c r="H430" s="21" t="n"/>
      <c r="I430" s="22" t="n"/>
      <c r="K430" s="22" t="n"/>
      <c r="O430" s="21" t="n"/>
      <c r="R430" s="21" t="n"/>
      <c r="S430" s="21" t="n"/>
      <c r="T430" s="21" t="n"/>
      <c r="U430" s="21" t="n"/>
    </row>
    <row r="431" ht="15.75" customHeight="1" s="237">
      <c r="A431" s="21" t="n"/>
      <c r="H431" s="21" t="n"/>
      <c r="I431" s="22" t="n"/>
      <c r="K431" s="22" t="n"/>
      <c r="O431" s="21" t="n"/>
      <c r="R431" s="21" t="n"/>
      <c r="S431" s="21" t="n"/>
      <c r="T431" s="21" t="n"/>
      <c r="U431" s="21" t="n"/>
    </row>
    <row r="432" ht="15.75" customHeight="1" s="237">
      <c r="A432" s="21" t="n"/>
      <c r="H432" s="21" t="n"/>
      <c r="I432" s="22" t="n"/>
      <c r="K432" s="22" t="n"/>
      <c r="O432" s="21" t="n"/>
      <c r="R432" s="21" t="n"/>
      <c r="S432" s="21" t="n"/>
      <c r="T432" s="21" t="n"/>
      <c r="U432" s="21" t="n"/>
    </row>
    <row r="433" ht="15.75" customHeight="1" s="237">
      <c r="A433" s="21" t="n"/>
      <c r="H433" s="21" t="n"/>
      <c r="I433" s="22" t="n"/>
      <c r="K433" s="22" t="n"/>
      <c r="O433" s="21" t="n"/>
      <c r="R433" s="21" t="n"/>
      <c r="S433" s="21" t="n"/>
      <c r="T433" s="21" t="n"/>
      <c r="U433" s="21" t="n"/>
    </row>
    <row r="434" ht="15.75" customHeight="1" s="237">
      <c r="A434" s="21" t="n"/>
      <c r="H434" s="21" t="n"/>
      <c r="I434" s="22" t="n"/>
      <c r="K434" s="22" t="n"/>
      <c r="O434" s="21" t="n"/>
      <c r="R434" s="21" t="n"/>
      <c r="S434" s="21" t="n"/>
      <c r="T434" s="21" t="n"/>
      <c r="U434" s="21" t="n"/>
    </row>
    <row r="435" ht="15.75" customHeight="1" s="237">
      <c r="A435" s="21" t="n"/>
      <c r="H435" s="21" t="n"/>
      <c r="I435" s="22" t="n"/>
      <c r="K435" s="22" t="n"/>
      <c r="O435" s="21" t="n"/>
      <c r="R435" s="21" t="n"/>
      <c r="S435" s="21" t="n"/>
      <c r="T435" s="21" t="n"/>
      <c r="U435" s="21" t="n"/>
    </row>
    <row r="436" ht="15.75" customHeight="1" s="237">
      <c r="A436" s="21" t="n"/>
      <c r="H436" s="21" t="n"/>
      <c r="I436" s="22" t="n"/>
      <c r="K436" s="22" t="n"/>
      <c r="O436" s="21" t="n"/>
      <c r="R436" s="21" t="n"/>
      <c r="S436" s="21" t="n"/>
      <c r="T436" s="21" t="n"/>
      <c r="U436" s="21" t="n"/>
    </row>
    <row r="437" ht="15.75" customHeight="1" s="237">
      <c r="A437" s="21" t="n"/>
      <c r="H437" s="21" t="n"/>
      <c r="I437" s="22" t="n"/>
      <c r="K437" s="22" t="n"/>
      <c r="O437" s="21" t="n"/>
      <c r="R437" s="21" t="n"/>
      <c r="S437" s="21" t="n"/>
      <c r="T437" s="21" t="n"/>
      <c r="U437" s="21" t="n"/>
    </row>
    <row r="438" ht="15.75" customHeight="1" s="237">
      <c r="A438" s="21" t="n"/>
      <c r="H438" s="21" t="n"/>
      <c r="I438" s="22" t="n"/>
      <c r="K438" s="22" t="n"/>
      <c r="O438" s="21" t="n"/>
      <c r="R438" s="21" t="n"/>
      <c r="S438" s="21" t="n"/>
      <c r="T438" s="21" t="n"/>
      <c r="U438" s="21" t="n"/>
    </row>
    <row r="439" ht="15.75" customHeight="1" s="237">
      <c r="A439" s="21" t="n"/>
      <c r="H439" s="21" t="n"/>
      <c r="I439" s="22" t="n"/>
      <c r="K439" s="22" t="n"/>
      <c r="O439" s="21" t="n"/>
      <c r="R439" s="21" t="n"/>
      <c r="S439" s="21" t="n"/>
      <c r="T439" s="21" t="n"/>
      <c r="U439" s="21" t="n"/>
    </row>
    <row r="440" ht="15.75" customHeight="1" s="237">
      <c r="A440" s="21" t="n"/>
      <c r="H440" s="21" t="n"/>
      <c r="I440" s="22" t="n"/>
      <c r="K440" s="22" t="n"/>
      <c r="O440" s="21" t="n"/>
      <c r="R440" s="21" t="n"/>
      <c r="S440" s="21" t="n"/>
      <c r="T440" s="21" t="n"/>
      <c r="U440" s="21" t="n"/>
    </row>
    <row r="441" ht="15.75" customHeight="1" s="237">
      <c r="A441" s="21" t="n"/>
      <c r="H441" s="21" t="n"/>
      <c r="I441" s="22" t="n"/>
      <c r="K441" s="22" t="n"/>
      <c r="O441" s="21" t="n"/>
      <c r="R441" s="21" t="n"/>
      <c r="S441" s="21" t="n"/>
      <c r="T441" s="21" t="n"/>
      <c r="U441" s="21" t="n"/>
    </row>
    <row r="442" ht="15.75" customHeight="1" s="237">
      <c r="A442" s="21" t="n"/>
      <c r="H442" s="21" t="n"/>
      <c r="I442" s="22" t="n"/>
      <c r="K442" s="22" t="n"/>
      <c r="O442" s="21" t="n"/>
      <c r="R442" s="21" t="n"/>
      <c r="S442" s="21" t="n"/>
      <c r="T442" s="21" t="n"/>
      <c r="U442" s="21" t="n"/>
    </row>
    <row r="443" ht="15.75" customHeight="1" s="237">
      <c r="A443" s="21" t="n"/>
      <c r="H443" s="21" t="n"/>
      <c r="I443" s="22" t="n"/>
      <c r="K443" s="22" t="n"/>
      <c r="O443" s="21" t="n"/>
      <c r="R443" s="21" t="n"/>
      <c r="S443" s="21" t="n"/>
      <c r="T443" s="21" t="n"/>
      <c r="U443" s="21" t="n"/>
    </row>
    <row r="444" ht="15.75" customHeight="1" s="237">
      <c r="A444" s="21" t="n"/>
      <c r="H444" s="21" t="n"/>
      <c r="I444" s="22" t="n"/>
      <c r="K444" s="22" t="n"/>
      <c r="O444" s="21" t="n"/>
      <c r="R444" s="21" t="n"/>
      <c r="S444" s="21" t="n"/>
      <c r="T444" s="21" t="n"/>
      <c r="U444" s="21" t="n"/>
    </row>
    <row r="445" ht="15.75" customHeight="1" s="237">
      <c r="A445" s="21" t="n"/>
      <c r="H445" s="21" t="n"/>
      <c r="I445" s="22" t="n"/>
      <c r="K445" s="22" t="n"/>
      <c r="O445" s="21" t="n"/>
      <c r="R445" s="21" t="n"/>
      <c r="S445" s="21" t="n"/>
      <c r="T445" s="21" t="n"/>
      <c r="U445" s="21" t="n"/>
    </row>
    <row r="446" ht="15.75" customHeight="1" s="237">
      <c r="A446" s="21" t="n"/>
      <c r="H446" s="21" t="n"/>
      <c r="I446" s="22" t="n"/>
      <c r="K446" s="22" t="n"/>
      <c r="O446" s="21" t="n"/>
      <c r="R446" s="21" t="n"/>
      <c r="S446" s="21" t="n"/>
      <c r="T446" s="21" t="n"/>
      <c r="U446" s="21" t="n"/>
    </row>
    <row r="447" ht="15.75" customHeight="1" s="237">
      <c r="A447" s="21" t="n"/>
      <c r="H447" s="21" t="n"/>
      <c r="I447" s="22" t="n"/>
      <c r="K447" s="22" t="n"/>
      <c r="O447" s="21" t="n"/>
      <c r="R447" s="21" t="n"/>
      <c r="S447" s="21" t="n"/>
      <c r="T447" s="21" t="n"/>
      <c r="U447" s="21" t="n"/>
    </row>
    <row r="448" ht="15.75" customHeight="1" s="237">
      <c r="A448" s="21" t="n"/>
      <c r="H448" s="21" t="n"/>
      <c r="I448" s="22" t="n"/>
      <c r="K448" s="22" t="n"/>
      <c r="O448" s="21" t="n"/>
      <c r="R448" s="21" t="n"/>
      <c r="S448" s="21" t="n"/>
      <c r="T448" s="21" t="n"/>
      <c r="U448" s="21" t="n"/>
    </row>
    <row r="449" ht="15.75" customHeight="1" s="237">
      <c r="A449" s="21" t="n"/>
      <c r="H449" s="21" t="n"/>
      <c r="I449" s="22" t="n"/>
      <c r="K449" s="22" t="n"/>
      <c r="O449" s="21" t="n"/>
      <c r="R449" s="21" t="n"/>
      <c r="S449" s="21" t="n"/>
      <c r="T449" s="21" t="n"/>
      <c r="U449" s="21" t="n"/>
    </row>
    <row r="450" ht="15.75" customHeight="1" s="237">
      <c r="A450" s="21" t="n"/>
      <c r="H450" s="21" t="n"/>
      <c r="I450" s="22" t="n"/>
      <c r="K450" s="22" t="n"/>
      <c r="O450" s="21" t="n"/>
      <c r="R450" s="21" t="n"/>
      <c r="S450" s="21" t="n"/>
      <c r="T450" s="21" t="n"/>
      <c r="U450" s="21" t="n"/>
    </row>
    <row r="451" ht="15.75" customHeight="1" s="237">
      <c r="A451" s="21" t="n"/>
      <c r="H451" s="21" t="n"/>
      <c r="I451" s="22" t="n"/>
      <c r="K451" s="22" t="n"/>
      <c r="O451" s="21" t="n"/>
      <c r="R451" s="21" t="n"/>
      <c r="S451" s="21" t="n"/>
      <c r="T451" s="21" t="n"/>
      <c r="U451" s="21" t="n"/>
    </row>
    <row r="452" ht="15.75" customHeight="1" s="237">
      <c r="A452" s="21" t="n"/>
      <c r="H452" s="21" t="n"/>
      <c r="I452" s="22" t="n"/>
      <c r="K452" s="22" t="n"/>
      <c r="O452" s="21" t="n"/>
      <c r="R452" s="21" t="n"/>
      <c r="S452" s="21" t="n"/>
      <c r="T452" s="21" t="n"/>
      <c r="U452" s="21" t="n"/>
    </row>
    <row r="453" ht="15.75" customHeight="1" s="237">
      <c r="A453" s="21" t="n"/>
      <c r="H453" s="21" t="n"/>
      <c r="I453" s="22" t="n"/>
      <c r="K453" s="22" t="n"/>
      <c r="O453" s="21" t="n"/>
      <c r="R453" s="21" t="n"/>
      <c r="S453" s="21" t="n"/>
      <c r="T453" s="21" t="n"/>
      <c r="U453" s="21" t="n"/>
    </row>
    <row r="454" ht="15.75" customHeight="1" s="237">
      <c r="A454" s="21" t="n"/>
      <c r="H454" s="21" t="n"/>
      <c r="I454" s="22" t="n"/>
      <c r="K454" s="22" t="n"/>
      <c r="O454" s="21" t="n"/>
      <c r="R454" s="21" t="n"/>
      <c r="S454" s="21" t="n"/>
      <c r="T454" s="21" t="n"/>
      <c r="U454" s="21" t="n"/>
    </row>
    <row r="455" ht="15.75" customHeight="1" s="237">
      <c r="A455" s="21" t="n"/>
      <c r="H455" s="21" t="n"/>
      <c r="I455" s="22" t="n"/>
      <c r="K455" s="22" t="n"/>
      <c r="O455" s="21" t="n"/>
      <c r="R455" s="21" t="n"/>
      <c r="S455" s="21" t="n"/>
      <c r="T455" s="21" t="n"/>
      <c r="U455" s="21" t="n"/>
    </row>
    <row r="456" ht="15.75" customHeight="1" s="237">
      <c r="A456" s="21" t="n"/>
      <c r="H456" s="21" t="n"/>
      <c r="I456" s="22" t="n"/>
      <c r="K456" s="22" t="n"/>
      <c r="O456" s="21" t="n"/>
      <c r="R456" s="21" t="n"/>
      <c r="S456" s="21" t="n"/>
      <c r="T456" s="21" t="n"/>
      <c r="U456" s="21" t="n"/>
    </row>
    <row r="457" ht="15.75" customHeight="1" s="237">
      <c r="A457" s="21" t="n"/>
      <c r="H457" s="21" t="n"/>
      <c r="I457" s="22" t="n"/>
      <c r="K457" s="22" t="n"/>
      <c r="O457" s="21" t="n"/>
      <c r="R457" s="21" t="n"/>
      <c r="S457" s="21" t="n"/>
      <c r="T457" s="21" t="n"/>
      <c r="U457" s="21" t="n"/>
    </row>
    <row r="458" ht="15.75" customHeight="1" s="237">
      <c r="A458" s="21" t="n"/>
      <c r="H458" s="21" t="n"/>
      <c r="I458" s="22" t="n"/>
      <c r="K458" s="22" t="n"/>
      <c r="O458" s="21" t="n"/>
      <c r="R458" s="21" t="n"/>
      <c r="S458" s="21" t="n"/>
      <c r="T458" s="21" t="n"/>
      <c r="U458" s="21" t="n"/>
    </row>
    <row r="459" ht="15.75" customHeight="1" s="237">
      <c r="A459" s="21" t="n"/>
      <c r="H459" s="21" t="n"/>
      <c r="I459" s="22" t="n"/>
      <c r="K459" s="22" t="n"/>
      <c r="O459" s="21" t="n"/>
      <c r="R459" s="21" t="n"/>
      <c r="S459" s="21" t="n"/>
      <c r="T459" s="21" t="n"/>
      <c r="U459" s="21" t="n"/>
    </row>
    <row r="460" ht="15.75" customHeight="1" s="237">
      <c r="A460" s="21" t="n"/>
      <c r="H460" s="21" t="n"/>
      <c r="I460" s="22" t="n"/>
      <c r="K460" s="22" t="n"/>
      <c r="O460" s="21" t="n"/>
      <c r="R460" s="21" t="n"/>
      <c r="S460" s="21" t="n"/>
      <c r="T460" s="21" t="n"/>
      <c r="U460" s="21" t="n"/>
    </row>
    <row r="461" ht="15.75" customHeight="1" s="237">
      <c r="A461" s="21" t="n"/>
      <c r="H461" s="21" t="n"/>
      <c r="I461" s="22" t="n"/>
      <c r="K461" s="22" t="n"/>
      <c r="O461" s="21" t="n"/>
      <c r="R461" s="21" t="n"/>
      <c r="S461" s="21" t="n"/>
      <c r="T461" s="21" t="n"/>
      <c r="U461" s="21" t="n"/>
    </row>
    <row r="462" ht="15.75" customHeight="1" s="237">
      <c r="A462" s="21" t="n"/>
      <c r="H462" s="21" t="n"/>
      <c r="I462" s="22" t="n"/>
      <c r="K462" s="22" t="n"/>
      <c r="O462" s="21" t="n"/>
      <c r="R462" s="21" t="n"/>
      <c r="S462" s="21" t="n"/>
      <c r="T462" s="21" t="n"/>
      <c r="U462" s="21" t="n"/>
    </row>
    <row r="463" ht="15.75" customHeight="1" s="237">
      <c r="A463" s="21" t="n"/>
      <c r="H463" s="21" t="n"/>
      <c r="I463" s="22" t="n"/>
      <c r="K463" s="22" t="n"/>
      <c r="O463" s="21" t="n"/>
      <c r="R463" s="21" t="n"/>
      <c r="S463" s="21" t="n"/>
      <c r="T463" s="21" t="n"/>
      <c r="U463" s="21" t="n"/>
    </row>
    <row r="464" ht="15.75" customHeight="1" s="237">
      <c r="A464" s="21" t="n"/>
      <c r="H464" s="21" t="n"/>
      <c r="I464" s="22" t="n"/>
      <c r="K464" s="22" t="n"/>
      <c r="O464" s="21" t="n"/>
      <c r="R464" s="21" t="n"/>
      <c r="S464" s="21" t="n"/>
      <c r="T464" s="21" t="n"/>
      <c r="U464" s="21" t="n"/>
    </row>
    <row r="465" ht="15.75" customHeight="1" s="237">
      <c r="A465" s="21" t="n"/>
      <c r="H465" s="21" t="n"/>
      <c r="I465" s="22" t="n"/>
      <c r="K465" s="22" t="n"/>
      <c r="O465" s="21" t="n"/>
      <c r="R465" s="21" t="n"/>
      <c r="S465" s="21" t="n"/>
      <c r="T465" s="21" t="n"/>
      <c r="U465" s="21" t="n"/>
    </row>
    <row r="466" ht="15.75" customHeight="1" s="237">
      <c r="A466" s="21" t="n"/>
      <c r="H466" s="21" t="n"/>
      <c r="I466" s="22" t="n"/>
      <c r="K466" s="22" t="n"/>
      <c r="O466" s="21" t="n"/>
      <c r="R466" s="21" t="n"/>
      <c r="S466" s="21" t="n"/>
      <c r="T466" s="21" t="n"/>
      <c r="U466" s="21" t="n"/>
    </row>
    <row r="467" ht="15.75" customHeight="1" s="237">
      <c r="A467" s="21" t="n"/>
      <c r="H467" s="21" t="n"/>
      <c r="I467" s="22" t="n"/>
      <c r="K467" s="22" t="n"/>
      <c r="O467" s="21" t="n"/>
      <c r="R467" s="21" t="n"/>
      <c r="S467" s="21" t="n"/>
      <c r="T467" s="21" t="n"/>
      <c r="U467" s="21" t="n"/>
    </row>
    <row r="468" ht="15.75" customHeight="1" s="237">
      <c r="A468" s="21" t="n"/>
      <c r="H468" s="21" t="n"/>
      <c r="I468" s="22" t="n"/>
      <c r="K468" s="22" t="n"/>
      <c r="O468" s="21" t="n"/>
      <c r="R468" s="21" t="n"/>
      <c r="S468" s="21" t="n"/>
      <c r="T468" s="21" t="n"/>
      <c r="U468" s="21" t="n"/>
    </row>
    <row r="469" ht="15.75" customHeight="1" s="237">
      <c r="A469" s="21" t="n"/>
      <c r="H469" s="21" t="n"/>
      <c r="I469" s="22" t="n"/>
      <c r="K469" s="22" t="n"/>
      <c r="O469" s="21" t="n"/>
      <c r="R469" s="21" t="n"/>
      <c r="S469" s="21" t="n"/>
      <c r="T469" s="21" t="n"/>
      <c r="U469" s="21" t="n"/>
    </row>
    <row r="470" ht="15.75" customHeight="1" s="237">
      <c r="A470" s="21" t="n"/>
      <c r="H470" s="21" t="n"/>
      <c r="I470" s="22" t="n"/>
      <c r="K470" s="22" t="n"/>
      <c r="O470" s="21" t="n"/>
      <c r="R470" s="21" t="n"/>
      <c r="S470" s="21" t="n"/>
      <c r="T470" s="21" t="n"/>
      <c r="U470" s="21" t="n"/>
    </row>
    <row r="471" ht="15.75" customHeight="1" s="237">
      <c r="A471" s="21" t="n"/>
      <c r="H471" s="21" t="n"/>
      <c r="I471" s="22" t="n"/>
      <c r="K471" s="22" t="n"/>
      <c r="O471" s="21" t="n"/>
      <c r="R471" s="21" t="n"/>
      <c r="S471" s="21" t="n"/>
      <c r="T471" s="21" t="n"/>
      <c r="U471" s="21" t="n"/>
    </row>
    <row r="472" ht="15.75" customHeight="1" s="237">
      <c r="A472" s="21" t="n"/>
      <c r="H472" s="21" t="n"/>
      <c r="I472" s="22" t="n"/>
      <c r="K472" s="22" t="n"/>
      <c r="O472" s="21" t="n"/>
      <c r="R472" s="21" t="n"/>
      <c r="S472" s="21" t="n"/>
      <c r="T472" s="21" t="n"/>
      <c r="U472" s="21" t="n"/>
    </row>
    <row r="473" ht="15.75" customHeight="1" s="237">
      <c r="A473" s="21" t="n"/>
      <c r="H473" s="21" t="n"/>
      <c r="I473" s="22" t="n"/>
      <c r="K473" s="22" t="n"/>
      <c r="O473" s="21" t="n"/>
      <c r="R473" s="21" t="n"/>
      <c r="S473" s="21" t="n"/>
      <c r="T473" s="21" t="n"/>
      <c r="U473" s="21" t="n"/>
    </row>
    <row r="474" ht="15.75" customHeight="1" s="237">
      <c r="A474" s="21" t="n"/>
      <c r="H474" s="21" t="n"/>
      <c r="I474" s="22" t="n"/>
      <c r="K474" s="22" t="n"/>
      <c r="O474" s="21" t="n"/>
      <c r="R474" s="21" t="n"/>
      <c r="S474" s="21" t="n"/>
      <c r="T474" s="21" t="n"/>
      <c r="U474" s="21" t="n"/>
    </row>
    <row r="475" ht="15.75" customHeight="1" s="237">
      <c r="A475" s="21" t="n"/>
      <c r="H475" s="21" t="n"/>
      <c r="I475" s="22" t="n"/>
      <c r="K475" s="22" t="n"/>
      <c r="O475" s="21" t="n"/>
      <c r="R475" s="21" t="n"/>
      <c r="S475" s="21" t="n"/>
      <c r="T475" s="21" t="n"/>
      <c r="U475" s="21" t="n"/>
    </row>
    <row r="476" ht="15.75" customHeight="1" s="237">
      <c r="A476" s="21" t="n"/>
      <c r="H476" s="21" t="n"/>
      <c r="I476" s="22" t="n"/>
      <c r="K476" s="22" t="n"/>
      <c r="O476" s="21" t="n"/>
      <c r="R476" s="21" t="n"/>
      <c r="S476" s="21" t="n"/>
      <c r="T476" s="21" t="n"/>
      <c r="U476" s="21" t="n"/>
    </row>
    <row r="477" ht="15.75" customHeight="1" s="237">
      <c r="A477" s="21" t="n"/>
      <c r="H477" s="21" t="n"/>
      <c r="I477" s="22" t="n"/>
      <c r="K477" s="22" t="n"/>
      <c r="O477" s="21" t="n"/>
      <c r="R477" s="21" t="n"/>
      <c r="S477" s="21" t="n"/>
      <c r="T477" s="21" t="n"/>
      <c r="U477" s="21" t="n"/>
    </row>
    <row r="478" ht="15.75" customHeight="1" s="237">
      <c r="A478" s="21" t="n"/>
      <c r="H478" s="21" t="n"/>
      <c r="I478" s="22" t="n"/>
      <c r="K478" s="22" t="n"/>
      <c r="O478" s="21" t="n"/>
      <c r="R478" s="21" t="n"/>
      <c r="S478" s="21" t="n"/>
      <c r="T478" s="21" t="n"/>
      <c r="U478" s="21" t="n"/>
    </row>
    <row r="479" ht="15.75" customHeight="1" s="237">
      <c r="A479" s="21" t="n"/>
      <c r="H479" s="21" t="n"/>
      <c r="I479" s="22" t="n"/>
      <c r="K479" s="22" t="n"/>
      <c r="O479" s="21" t="n"/>
      <c r="R479" s="21" t="n"/>
      <c r="S479" s="21" t="n"/>
      <c r="T479" s="21" t="n"/>
      <c r="U479" s="21" t="n"/>
    </row>
    <row r="480" ht="15.75" customHeight="1" s="237">
      <c r="A480" s="21" t="n"/>
      <c r="H480" s="21" t="n"/>
      <c r="I480" s="22" t="n"/>
      <c r="K480" s="22" t="n"/>
      <c r="O480" s="21" t="n"/>
      <c r="R480" s="21" t="n"/>
      <c r="S480" s="21" t="n"/>
      <c r="T480" s="21" t="n"/>
      <c r="U480" s="21" t="n"/>
    </row>
    <row r="481" ht="15.75" customHeight="1" s="237">
      <c r="A481" s="21" t="n"/>
      <c r="H481" s="21" t="n"/>
      <c r="I481" s="22" t="n"/>
      <c r="K481" s="22" t="n"/>
      <c r="O481" s="21" t="n"/>
      <c r="R481" s="21" t="n"/>
      <c r="S481" s="21" t="n"/>
      <c r="T481" s="21" t="n"/>
      <c r="U481" s="21" t="n"/>
    </row>
    <row r="482" ht="15.75" customHeight="1" s="237">
      <c r="A482" s="21" t="n"/>
      <c r="H482" s="21" t="n"/>
      <c r="I482" s="22" t="n"/>
      <c r="K482" s="22" t="n"/>
      <c r="O482" s="21" t="n"/>
      <c r="R482" s="21" t="n"/>
      <c r="S482" s="21" t="n"/>
      <c r="T482" s="21" t="n"/>
      <c r="U482" s="21" t="n"/>
    </row>
    <row r="483" ht="15.75" customHeight="1" s="237">
      <c r="A483" s="21" t="n"/>
      <c r="H483" s="21" t="n"/>
      <c r="I483" s="22" t="n"/>
      <c r="K483" s="22" t="n"/>
      <c r="O483" s="21" t="n"/>
      <c r="R483" s="21" t="n"/>
      <c r="S483" s="21" t="n"/>
      <c r="T483" s="21" t="n"/>
      <c r="U483" s="21" t="n"/>
    </row>
    <row r="484" ht="15.75" customHeight="1" s="237">
      <c r="A484" s="21" t="n"/>
      <c r="H484" s="21" t="n"/>
      <c r="I484" s="22" t="n"/>
      <c r="K484" s="22" t="n"/>
      <c r="O484" s="21" t="n"/>
      <c r="R484" s="21" t="n"/>
      <c r="S484" s="21" t="n"/>
      <c r="T484" s="21" t="n"/>
      <c r="U484" s="21" t="n"/>
    </row>
    <row r="485" ht="15.75" customHeight="1" s="237">
      <c r="A485" s="21" t="n"/>
      <c r="H485" s="21" t="n"/>
      <c r="I485" s="22" t="n"/>
      <c r="K485" s="22" t="n"/>
      <c r="O485" s="21" t="n"/>
      <c r="R485" s="21" t="n"/>
      <c r="S485" s="21" t="n"/>
      <c r="T485" s="21" t="n"/>
      <c r="U485" s="21" t="n"/>
    </row>
    <row r="486" ht="15.75" customHeight="1" s="237">
      <c r="A486" s="21" t="n"/>
      <c r="H486" s="21" t="n"/>
      <c r="I486" s="22" t="n"/>
      <c r="K486" s="22" t="n"/>
      <c r="O486" s="21" t="n"/>
      <c r="R486" s="21" t="n"/>
      <c r="S486" s="21" t="n"/>
      <c r="T486" s="21" t="n"/>
      <c r="U486" s="21" t="n"/>
    </row>
    <row r="487" ht="15.75" customHeight="1" s="237">
      <c r="A487" s="21" t="n"/>
      <c r="H487" s="21" t="n"/>
      <c r="I487" s="22" t="n"/>
      <c r="K487" s="22" t="n"/>
      <c r="O487" s="21" t="n"/>
      <c r="R487" s="21" t="n"/>
      <c r="S487" s="21" t="n"/>
      <c r="T487" s="21" t="n"/>
      <c r="U487" s="21" t="n"/>
    </row>
    <row r="488" ht="15.75" customHeight="1" s="237">
      <c r="A488" s="21" t="n"/>
      <c r="H488" s="21" t="n"/>
      <c r="I488" s="22" t="n"/>
      <c r="K488" s="22" t="n"/>
      <c r="O488" s="21" t="n"/>
      <c r="R488" s="21" t="n"/>
      <c r="S488" s="21" t="n"/>
      <c r="T488" s="21" t="n"/>
      <c r="U488" s="21" t="n"/>
    </row>
    <row r="489" ht="15.75" customHeight="1" s="237">
      <c r="A489" s="21" t="n"/>
      <c r="H489" s="21" t="n"/>
      <c r="I489" s="22" t="n"/>
      <c r="K489" s="22" t="n"/>
      <c r="O489" s="21" t="n"/>
      <c r="R489" s="21" t="n"/>
      <c r="S489" s="21" t="n"/>
      <c r="T489" s="21" t="n"/>
      <c r="U489" s="21" t="n"/>
    </row>
    <row r="490" ht="15.75" customHeight="1" s="237">
      <c r="A490" s="21" t="n"/>
      <c r="H490" s="21" t="n"/>
      <c r="I490" s="22" t="n"/>
      <c r="K490" s="22" t="n"/>
      <c r="O490" s="21" t="n"/>
      <c r="R490" s="21" t="n"/>
      <c r="S490" s="21" t="n"/>
      <c r="T490" s="21" t="n"/>
      <c r="U490" s="21" t="n"/>
    </row>
    <row r="491" ht="15.75" customHeight="1" s="237">
      <c r="A491" s="21" t="n"/>
      <c r="H491" s="21" t="n"/>
      <c r="I491" s="22" t="n"/>
      <c r="K491" s="22" t="n"/>
      <c r="O491" s="21" t="n"/>
      <c r="R491" s="21" t="n"/>
      <c r="S491" s="21" t="n"/>
      <c r="T491" s="21" t="n"/>
      <c r="U491" s="21" t="n"/>
    </row>
    <row r="492" ht="15.75" customHeight="1" s="237">
      <c r="A492" s="21" t="n"/>
      <c r="H492" s="21" t="n"/>
      <c r="I492" s="22" t="n"/>
      <c r="K492" s="22" t="n"/>
      <c r="O492" s="21" t="n"/>
      <c r="R492" s="21" t="n"/>
      <c r="S492" s="21" t="n"/>
      <c r="T492" s="21" t="n"/>
      <c r="U492" s="21" t="n"/>
    </row>
    <row r="493" ht="15.75" customHeight="1" s="237">
      <c r="A493" s="21" t="n"/>
      <c r="H493" s="21" t="n"/>
      <c r="I493" s="22" t="n"/>
      <c r="K493" s="22" t="n"/>
      <c r="O493" s="21" t="n"/>
      <c r="R493" s="21" t="n"/>
      <c r="S493" s="21" t="n"/>
      <c r="T493" s="21" t="n"/>
      <c r="U493" s="21" t="n"/>
    </row>
    <row r="494" ht="15.75" customHeight="1" s="237">
      <c r="A494" s="21" t="n"/>
      <c r="H494" s="21" t="n"/>
      <c r="I494" s="22" t="n"/>
      <c r="K494" s="22" t="n"/>
      <c r="O494" s="21" t="n"/>
      <c r="R494" s="21" t="n"/>
      <c r="S494" s="21" t="n"/>
      <c r="T494" s="21" t="n"/>
      <c r="U494" s="21" t="n"/>
    </row>
    <row r="495" ht="15.75" customHeight="1" s="237">
      <c r="A495" s="21" t="n"/>
      <c r="H495" s="21" t="n"/>
      <c r="I495" s="22" t="n"/>
      <c r="K495" s="22" t="n"/>
      <c r="O495" s="21" t="n"/>
      <c r="R495" s="21" t="n"/>
      <c r="S495" s="21" t="n"/>
      <c r="T495" s="21" t="n"/>
      <c r="U495" s="21" t="n"/>
    </row>
    <row r="496" ht="15.75" customHeight="1" s="237">
      <c r="A496" s="21" t="n"/>
      <c r="H496" s="21" t="n"/>
      <c r="I496" s="22" t="n"/>
      <c r="K496" s="22" t="n"/>
      <c r="O496" s="21" t="n"/>
      <c r="R496" s="21" t="n"/>
      <c r="S496" s="21" t="n"/>
      <c r="T496" s="21" t="n"/>
      <c r="U496" s="21" t="n"/>
    </row>
    <row r="497" ht="15.75" customHeight="1" s="237">
      <c r="A497" s="21" t="n"/>
      <c r="H497" s="21" t="n"/>
      <c r="I497" s="22" t="n"/>
      <c r="K497" s="22" t="n"/>
      <c r="O497" s="21" t="n"/>
      <c r="R497" s="21" t="n"/>
      <c r="S497" s="21" t="n"/>
      <c r="T497" s="21" t="n"/>
      <c r="U497" s="21" t="n"/>
    </row>
    <row r="498" ht="15.75" customHeight="1" s="237">
      <c r="A498" s="21" t="n"/>
      <c r="H498" s="21" t="n"/>
      <c r="I498" s="22" t="n"/>
      <c r="K498" s="22" t="n"/>
      <c r="O498" s="21" t="n"/>
      <c r="R498" s="21" t="n"/>
      <c r="S498" s="21" t="n"/>
      <c r="T498" s="21" t="n"/>
      <c r="U498" s="21" t="n"/>
    </row>
    <row r="499" ht="15.75" customHeight="1" s="237">
      <c r="A499" s="21" t="n"/>
      <c r="H499" s="21" t="n"/>
      <c r="I499" s="22" t="n"/>
      <c r="K499" s="22" t="n"/>
      <c r="O499" s="21" t="n"/>
      <c r="R499" s="21" t="n"/>
      <c r="S499" s="21" t="n"/>
      <c r="T499" s="21" t="n"/>
      <c r="U499" s="21" t="n"/>
    </row>
    <row r="500" ht="15.75" customHeight="1" s="237">
      <c r="A500" s="21" t="n"/>
      <c r="H500" s="21" t="n"/>
      <c r="I500" s="22" t="n"/>
      <c r="K500" s="22" t="n"/>
      <c r="O500" s="21" t="n"/>
      <c r="R500" s="21" t="n"/>
      <c r="S500" s="21" t="n"/>
      <c r="T500" s="21" t="n"/>
      <c r="U500" s="21" t="n"/>
    </row>
    <row r="501" ht="15.75" customHeight="1" s="237">
      <c r="A501" s="21" t="n"/>
      <c r="H501" s="21" t="n"/>
      <c r="I501" s="22" t="n"/>
      <c r="K501" s="22" t="n"/>
      <c r="O501" s="21" t="n"/>
      <c r="R501" s="21" t="n"/>
      <c r="S501" s="21" t="n"/>
      <c r="T501" s="21" t="n"/>
      <c r="U501" s="21" t="n"/>
    </row>
    <row r="502" ht="15.75" customHeight="1" s="237">
      <c r="A502" s="21" t="n"/>
      <c r="H502" s="21" t="n"/>
      <c r="I502" s="22" t="n"/>
      <c r="K502" s="22" t="n"/>
      <c r="O502" s="21" t="n"/>
      <c r="R502" s="21" t="n"/>
      <c r="S502" s="21" t="n"/>
      <c r="T502" s="21" t="n"/>
      <c r="U502" s="21" t="n"/>
    </row>
    <row r="503" ht="15.75" customHeight="1" s="237">
      <c r="A503" s="21" t="n"/>
      <c r="H503" s="21" t="n"/>
      <c r="I503" s="22" t="n"/>
      <c r="K503" s="22" t="n"/>
      <c r="O503" s="21" t="n"/>
      <c r="R503" s="21" t="n"/>
      <c r="S503" s="21" t="n"/>
      <c r="T503" s="21" t="n"/>
      <c r="U503" s="21" t="n"/>
    </row>
    <row r="504" ht="15.75" customHeight="1" s="237">
      <c r="A504" s="21" t="n"/>
      <c r="H504" s="21" t="n"/>
      <c r="I504" s="22" t="n"/>
      <c r="K504" s="22" t="n"/>
      <c r="O504" s="21" t="n"/>
      <c r="R504" s="21" t="n"/>
      <c r="S504" s="21" t="n"/>
      <c r="T504" s="21" t="n"/>
      <c r="U504" s="21" t="n"/>
    </row>
    <row r="505" ht="15.75" customHeight="1" s="237">
      <c r="A505" s="21" t="n"/>
      <c r="H505" s="21" t="n"/>
      <c r="I505" s="22" t="n"/>
      <c r="K505" s="22" t="n"/>
      <c r="O505" s="21" t="n"/>
      <c r="R505" s="21" t="n"/>
      <c r="S505" s="21" t="n"/>
      <c r="T505" s="21" t="n"/>
      <c r="U505" s="21" t="n"/>
    </row>
    <row r="506" ht="15.75" customHeight="1" s="237">
      <c r="A506" s="21" t="n"/>
      <c r="H506" s="21" t="n"/>
      <c r="I506" s="22" t="n"/>
      <c r="K506" s="22" t="n"/>
      <c r="O506" s="21" t="n"/>
      <c r="R506" s="21" t="n"/>
      <c r="S506" s="21" t="n"/>
      <c r="T506" s="21" t="n"/>
      <c r="U506" s="21" t="n"/>
    </row>
    <row r="507" ht="15.75" customHeight="1" s="237">
      <c r="A507" s="21" t="n"/>
      <c r="H507" s="21" t="n"/>
      <c r="I507" s="22" t="n"/>
      <c r="K507" s="22" t="n"/>
      <c r="O507" s="21" t="n"/>
      <c r="R507" s="21" t="n"/>
      <c r="S507" s="21" t="n"/>
      <c r="T507" s="21" t="n"/>
      <c r="U507" s="21" t="n"/>
    </row>
    <row r="508" ht="15.75" customHeight="1" s="237">
      <c r="A508" s="21" t="n"/>
      <c r="H508" s="21" t="n"/>
      <c r="I508" s="22" t="n"/>
      <c r="K508" s="22" t="n"/>
      <c r="O508" s="21" t="n"/>
      <c r="R508" s="21" t="n"/>
      <c r="S508" s="21" t="n"/>
      <c r="T508" s="21" t="n"/>
      <c r="U508" s="21" t="n"/>
    </row>
    <row r="509" ht="15.75" customHeight="1" s="237">
      <c r="A509" s="21" t="n"/>
      <c r="H509" s="21" t="n"/>
      <c r="I509" s="22" t="n"/>
      <c r="K509" s="22" t="n"/>
      <c r="O509" s="21" t="n"/>
      <c r="R509" s="21" t="n"/>
      <c r="S509" s="21" t="n"/>
      <c r="T509" s="21" t="n"/>
      <c r="U509" s="21" t="n"/>
    </row>
    <row r="510" ht="15.75" customHeight="1" s="237">
      <c r="A510" s="21" t="n"/>
      <c r="H510" s="21" t="n"/>
      <c r="I510" s="22" t="n"/>
      <c r="K510" s="22" t="n"/>
      <c r="O510" s="21" t="n"/>
      <c r="R510" s="21" t="n"/>
      <c r="S510" s="21" t="n"/>
      <c r="T510" s="21" t="n"/>
      <c r="U510" s="21" t="n"/>
    </row>
    <row r="511" ht="15.75" customHeight="1" s="237">
      <c r="A511" s="21" t="n"/>
      <c r="H511" s="21" t="n"/>
      <c r="I511" s="22" t="n"/>
      <c r="K511" s="22" t="n"/>
      <c r="O511" s="21" t="n"/>
      <c r="R511" s="21" t="n"/>
      <c r="S511" s="21" t="n"/>
      <c r="T511" s="21" t="n"/>
      <c r="U511" s="21" t="n"/>
    </row>
    <row r="512" ht="15.75" customHeight="1" s="237">
      <c r="A512" s="21" t="n"/>
      <c r="H512" s="21" t="n"/>
      <c r="I512" s="22" t="n"/>
      <c r="K512" s="22" t="n"/>
      <c r="O512" s="21" t="n"/>
      <c r="R512" s="21" t="n"/>
      <c r="S512" s="21" t="n"/>
      <c r="T512" s="21" t="n"/>
      <c r="U512" s="21" t="n"/>
    </row>
    <row r="513" ht="15.75" customHeight="1" s="237">
      <c r="A513" s="21" t="n"/>
      <c r="H513" s="21" t="n"/>
      <c r="I513" s="22" t="n"/>
      <c r="K513" s="22" t="n"/>
      <c r="O513" s="21" t="n"/>
      <c r="R513" s="21" t="n"/>
      <c r="S513" s="21" t="n"/>
      <c r="T513" s="21" t="n"/>
      <c r="U513" s="21" t="n"/>
    </row>
    <row r="514" ht="15.75" customHeight="1" s="237">
      <c r="A514" s="21" t="n"/>
      <c r="H514" s="21" t="n"/>
      <c r="I514" s="22" t="n"/>
      <c r="K514" s="22" t="n"/>
      <c r="O514" s="21" t="n"/>
      <c r="R514" s="21" t="n"/>
      <c r="S514" s="21" t="n"/>
      <c r="T514" s="21" t="n"/>
      <c r="U514" s="21" t="n"/>
    </row>
    <row r="515" ht="15.75" customHeight="1" s="237">
      <c r="A515" s="21" t="n"/>
      <c r="H515" s="21" t="n"/>
      <c r="I515" s="22" t="n"/>
      <c r="K515" s="22" t="n"/>
      <c r="O515" s="21" t="n"/>
      <c r="R515" s="21" t="n"/>
      <c r="S515" s="21" t="n"/>
      <c r="T515" s="21" t="n"/>
      <c r="U515" s="21" t="n"/>
    </row>
    <row r="516" ht="15.75" customHeight="1" s="237">
      <c r="A516" s="21" t="n"/>
      <c r="H516" s="21" t="n"/>
      <c r="I516" s="22" t="n"/>
      <c r="K516" s="22" t="n"/>
      <c r="O516" s="21" t="n"/>
      <c r="R516" s="21" t="n"/>
      <c r="S516" s="21" t="n"/>
      <c r="T516" s="21" t="n"/>
      <c r="U516" s="21" t="n"/>
    </row>
    <row r="517" ht="15.75" customHeight="1" s="237">
      <c r="A517" s="21" t="n"/>
      <c r="H517" s="21" t="n"/>
      <c r="I517" s="22" t="n"/>
      <c r="K517" s="22" t="n"/>
      <c r="O517" s="21" t="n"/>
      <c r="R517" s="21" t="n"/>
      <c r="S517" s="21" t="n"/>
      <c r="T517" s="21" t="n"/>
      <c r="U517" s="21" t="n"/>
    </row>
    <row r="518" ht="15.75" customHeight="1" s="237">
      <c r="A518" s="21" t="n"/>
      <c r="H518" s="21" t="n"/>
      <c r="I518" s="22" t="n"/>
      <c r="K518" s="22" t="n"/>
      <c r="O518" s="21" t="n"/>
      <c r="R518" s="21" t="n"/>
      <c r="S518" s="21" t="n"/>
      <c r="T518" s="21" t="n"/>
      <c r="U518" s="21" t="n"/>
    </row>
    <row r="519" ht="15.75" customHeight="1" s="237">
      <c r="A519" s="21" t="n"/>
      <c r="H519" s="21" t="n"/>
      <c r="I519" s="22" t="n"/>
      <c r="K519" s="22" t="n"/>
      <c r="O519" s="21" t="n"/>
      <c r="R519" s="21" t="n"/>
      <c r="S519" s="21" t="n"/>
      <c r="T519" s="21" t="n"/>
      <c r="U519" s="21" t="n"/>
    </row>
    <row r="520" ht="15.75" customHeight="1" s="237">
      <c r="A520" s="21" t="n"/>
      <c r="H520" s="21" t="n"/>
      <c r="I520" s="22" t="n"/>
      <c r="K520" s="22" t="n"/>
      <c r="O520" s="21" t="n"/>
      <c r="R520" s="21" t="n"/>
      <c r="S520" s="21" t="n"/>
      <c r="T520" s="21" t="n"/>
      <c r="U520" s="21" t="n"/>
    </row>
    <row r="521" ht="15.75" customHeight="1" s="237">
      <c r="A521" s="21" t="n"/>
      <c r="H521" s="21" t="n"/>
      <c r="I521" s="22" t="n"/>
      <c r="K521" s="22" t="n"/>
      <c r="O521" s="21" t="n"/>
      <c r="R521" s="21" t="n"/>
      <c r="S521" s="21" t="n"/>
      <c r="T521" s="21" t="n"/>
      <c r="U521" s="21" t="n"/>
    </row>
    <row r="522" ht="15.75" customHeight="1" s="237">
      <c r="A522" s="21" t="n"/>
      <c r="H522" s="21" t="n"/>
      <c r="I522" s="22" t="n"/>
      <c r="K522" s="22" t="n"/>
      <c r="O522" s="21" t="n"/>
      <c r="R522" s="21" t="n"/>
      <c r="S522" s="21" t="n"/>
      <c r="T522" s="21" t="n"/>
      <c r="U522" s="21" t="n"/>
    </row>
    <row r="523" ht="15.75" customHeight="1" s="237">
      <c r="A523" s="21" t="n"/>
      <c r="H523" s="21" t="n"/>
      <c r="I523" s="22" t="n"/>
      <c r="K523" s="22" t="n"/>
      <c r="O523" s="21" t="n"/>
      <c r="R523" s="21" t="n"/>
      <c r="S523" s="21" t="n"/>
      <c r="T523" s="21" t="n"/>
      <c r="U523" s="21" t="n"/>
    </row>
    <row r="524" ht="15.75" customHeight="1" s="237">
      <c r="A524" s="21" t="n"/>
      <c r="H524" s="21" t="n"/>
      <c r="I524" s="22" t="n"/>
      <c r="K524" s="22" t="n"/>
      <c r="O524" s="21" t="n"/>
      <c r="R524" s="21" t="n"/>
      <c r="S524" s="21" t="n"/>
      <c r="T524" s="21" t="n"/>
      <c r="U524" s="21" t="n"/>
    </row>
    <row r="525" ht="15.75" customHeight="1" s="237">
      <c r="A525" s="21" t="n"/>
      <c r="H525" s="21" t="n"/>
      <c r="I525" s="22" t="n"/>
      <c r="K525" s="22" t="n"/>
      <c r="O525" s="21" t="n"/>
      <c r="R525" s="21" t="n"/>
      <c r="S525" s="21" t="n"/>
      <c r="T525" s="21" t="n"/>
      <c r="U525" s="21" t="n"/>
    </row>
    <row r="526" ht="15.75" customHeight="1" s="237">
      <c r="A526" s="21" t="n"/>
      <c r="H526" s="21" t="n"/>
      <c r="I526" s="22" t="n"/>
      <c r="K526" s="22" t="n"/>
      <c r="O526" s="21" t="n"/>
      <c r="R526" s="21" t="n"/>
      <c r="S526" s="21" t="n"/>
      <c r="T526" s="21" t="n"/>
      <c r="U526" s="21" t="n"/>
    </row>
    <row r="527" ht="15.75" customHeight="1" s="237">
      <c r="A527" s="21" t="n"/>
      <c r="H527" s="21" t="n"/>
      <c r="I527" s="22" t="n"/>
      <c r="K527" s="22" t="n"/>
      <c r="O527" s="21" t="n"/>
      <c r="R527" s="21" t="n"/>
      <c r="S527" s="21" t="n"/>
      <c r="T527" s="21" t="n"/>
      <c r="U527" s="21" t="n"/>
    </row>
    <row r="528" ht="15.75" customHeight="1" s="237">
      <c r="A528" s="21" t="n"/>
      <c r="H528" s="21" t="n"/>
      <c r="I528" s="22" t="n"/>
      <c r="K528" s="22" t="n"/>
      <c r="O528" s="21" t="n"/>
      <c r="R528" s="21" t="n"/>
      <c r="S528" s="21" t="n"/>
      <c r="T528" s="21" t="n"/>
      <c r="U528" s="21" t="n"/>
    </row>
    <row r="529" ht="15.75" customHeight="1" s="237">
      <c r="A529" s="21" t="n"/>
      <c r="H529" s="21" t="n"/>
      <c r="I529" s="22" t="n"/>
      <c r="K529" s="22" t="n"/>
      <c r="O529" s="21" t="n"/>
      <c r="R529" s="21" t="n"/>
      <c r="S529" s="21" t="n"/>
      <c r="T529" s="21" t="n"/>
      <c r="U529" s="21" t="n"/>
    </row>
    <row r="530" ht="15.75" customHeight="1" s="237">
      <c r="A530" s="21" t="n"/>
      <c r="H530" s="21" t="n"/>
      <c r="I530" s="22" t="n"/>
      <c r="K530" s="22" t="n"/>
      <c r="O530" s="21" t="n"/>
      <c r="R530" s="21" t="n"/>
      <c r="S530" s="21" t="n"/>
      <c r="T530" s="21" t="n"/>
      <c r="U530" s="21" t="n"/>
    </row>
    <row r="531" ht="15.75" customHeight="1" s="237">
      <c r="A531" s="21" t="n"/>
      <c r="H531" s="21" t="n"/>
      <c r="I531" s="22" t="n"/>
      <c r="K531" s="22" t="n"/>
      <c r="O531" s="21" t="n"/>
      <c r="R531" s="21" t="n"/>
      <c r="S531" s="21" t="n"/>
      <c r="T531" s="21" t="n"/>
      <c r="U531" s="21" t="n"/>
    </row>
    <row r="532" ht="15.75" customHeight="1" s="237">
      <c r="A532" s="21" t="n"/>
      <c r="H532" s="21" t="n"/>
      <c r="I532" s="22" t="n"/>
      <c r="K532" s="22" t="n"/>
      <c r="O532" s="21" t="n"/>
      <c r="R532" s="21" t="n"/>
      <c r="S532" s="21" t="n"/>
      <c r="T532" s="21" t="n"/>
      <c r="U532" s="21" t="n"/>
    </row>
    <row r="533" ht="15.75" customHeight="1" s="237">
      <c r="A533" s="21" t="n"/>
      <c r="H533" s="21" t="n"/>
      <c r="I533" s="22" t="n"/>
      <c r="K533" s="22" t="n"/>
      <c r="O533" s="21" t="n"/>
      <c r="R533" s="21" t="n"/>
      <c r="S533" s="21" t="n"/>
      <c r="T533" s="21" t="n"/>
      <c r="U533" s="21" t="n"/>
    </row>
    <row r="534" ht="15.75" customHeight="1" s="237">
      <c r="A534" s="21" t="n"/>
      <c r="H534" s="21" t="n"/>
      <c r="I534" s="22" t="n"/>
      <c r="K534" s="22" t="n"/>
      <c r="O534" s="21" t="n"/>
      <c r="R534" s="21" t="n"/>
      <c r="S534" s="21" t="n"/>
      <c r="T534" s="21" t="n"/>
      <c r="U534" s="21" t="n"/>
    </row>
    <row r="535" ht="15.75" customHeight="1" s="237">
      <c r="A535" s="21" t="n"/>
      <c r="H535" s="21" t="n"/>
      <c r="I535" s="22" t="n"/>
      <c r="K535" s="22" t="n"/>
      <c r="O535" s="21" t="n"/>
      <c r="R535" s="21" t="n"/>
      <c r="S535" s="21" t="n"/>
      <c r="T535" s="21" t="n"/>
      <c r="U535" s="21" t="n"/>
    </row>
    <row r="536" ht="15.75" customHeight="1" s="237">
      <c r="A536" s="21" t="n"/>
      <c r="H536" s="21" t="n"/>
      <c r="I536" s="22" t="n"/>
      <c r="K536" s="22" t="n"/>
      <c r="O536" s="21" t="n"/>
      <c r="R536" s="21" t="n"/>
      <c r="S536" s="21" t="n"/>
      <c r="T536" s="21" t="n"/>
      <c r="U536" s="21" t="n"/>
    </row>
    <row r="537" ht="15.75" customHeight="1" s="237">
      <c r="A537" s="21" t="n"/>
      <c r="H537" s="21" t="n"/>
      <c r="I537" s="22" t="n"/>
      <c r="K537" s="22" t="n"/>
      <c r="O537" s="21" t="n"/>
      <c r="R537" s="21" t="n"/>
      <c r="S537" s="21" t="n"/>
      <c r="T537" s="21" t="n"/>
      <c r="U537" s="21" t="n"/>
    </row>
    <row r="538" ht="15.75" customHeight="1" s="237">
      <c r="A538" s="21" t="n"/>
      <c r="H538" s="21" t="n"/>
      <c r="I538" s="22" t="n"/>
      <c r="K538" s="22" t="n"/>
      <c r="O538" s="21" t="n"/>
      <c r="R538" s="21" t="n"/>
      <c r="S538" s="21" t="n"/>
      <c r="T538" s="21" t="n"/>
      <c r="U538" s="21" t="n"/>
    </row>
    <row r="539" ht="15.75" customHeight="1" s="237">
      <c r="A539" s="21" t="n"/>
      <c r="H539" s="21" t="n"/>
      <c r="I539" s="22" t="n"/>
      <c r="K539" s="22" t="n"/>
      <c r="O539" s="21" t="n"/>
      <c r="R539" s="21" t="n"/>
      <c r="S539" s="21" t="n"/>
      <c r="T539" s="21" t="n"/>
      <c r="U539" s="21" t="n"/>
    </row>
    <row r="540" ht="15.75" customHeight="1" s="237">
      <c r="A540" s="21" t="n"/>
      <c r="H540" s="21" t="n"/>
      <c r="I540" s="22" t="n"/>
      <c r="K540" s="22" t="n"/>
      <c r="O540" s="21" t="n"/>
      <c r="R540" s="21" t="n"/>
      <c r="S540" s="21" t="n"/>
      <c r="T540" s="21" t="n"/>
      <c r="U540" s="21" t="n"/>
    </row>
    <row r="541" ht="15.75" customHeight="1" s="237">
      <c r="A541" s="21" t="n"/>
      <c r="H541" s="21" t="n"/>
      <c r="I541" s="22" t="n"/>
      <c r="K541" s="22" t="n"/>
      <c r="O541" s="21" t="n"/>
      <c r="R541" s="21" t="n"/>
      <c r="S541" s="21" t="n"/>
      <c r="T541" s="21" t="n"/>
      <c r="U541" s="21" t="n"/>
    </row>
    <row r="542" ht="15.75" customHeight="1" s="237">
      <c r="A542" s="21" t="n"/>
      <c r="H542" s="21" t="n"/>
      <c r="I542" s="22" t="n"/>
      <c r="K542" s="22" t="n"/>
      <c r="O542" s="21" t="n"/>
      <c r="R542" s="21" t="n"/>
      <c r="S542" s="21" t="n"/>
      <c r="T542" s="21" t="n"/>
      <c r="U542" s="21" t="n"/>
    </row>
    <row r="543" ht="15.75" customHeight="1" s="237">
      <c r="A543" s="21" t="n"/>
      <c r="H543" s="21" t="n"/>
      <c r="I543" s="22" t="n"/>
      <c r="K543" s="22" t="n"/>
      <c r="O543" s="21" t="n"/>
      <c r="R543" s="21" t="n"/>
      <c r="S543" s="21" t="n"/>
      <c r="T543" s="21" t="n"/>
      <c r="U543" s="21" t="n"/>
    </row>
    <row r="544" ht="15.75" customHeight="1" s="237">
      <c r="A544" s="21" t="n"/>
      <c r="H544" s="21" t="n"/>
      <c r="I544" s="22" t="n"/>
      <c r="K544" s="22" t="n"/>
      <c r="O544" s="21" t="n"/>
      <c r="R544" s="21" t="n"/>
      <c r="S544" s="21" t="n"/>
      <c r="T544" s="21" t="n"/>
      <c r="U544" s="21" t="n"/>
    </row>
    <row r="545" ht="15.75" customHeight="1" s="237">
      <c r="A545" s="21" t="n"/>
      <c r="H545" s="21" t="n"/>
      <c r="I545" s="22" t="n"/>
      <c r="K545" s="22" t="n"/>
      <c r="O545" s="21" t="n"/>
      <c r="R545" s="21" t="n"/>
      <c r="S545" s="21" t="n"/>
      <c r="T545" s="21" t="n"/>
      <c r="U545" s="21" t="n"/>
    </row>
    <row r="546" ht="15.75" customHeight="1" s="237">
      <c r="A546" s="21" t="n"/>
      <c r="H546" s="21" t="n"/>
      <c r="I546" s="22" t="n"/>
      <c r="K546" s="22" t="n"/>
      <c r="O546" s="21" t="n"/>
      <c r="R546" s="21" t="n"/>
      <c r="S546" s="21" t="n"/>
      <c r="T546" s="21" t="n"/>
      <c r="U546" s="21" t="n"/>
    </row>
    <row r="547" ht="15.75" customHeight="1" s="237">
      <c r="A547" s="21" t="n"/>
      <c r="H547" s="21" t="n"/>
      <c r="I547" s="22" t="n"/>
      <c r="K547" s="22" t="n"/>
      <c r="O547" s="21" t="n"/>
      <c r="R547" s="21" t="n"/>
      <c r="S547" s="21" t="n"/>
      <c r="T547" s="21" t="n"/>
      <c r="U547" s="21" t="n"/>
    </row>
    <row r="548" ht="15.75" customHeight="1" s="237">
      <c r="A548" s="21" t="n"/>
      <c r="H548" s="21" t="n"/>
      <c r="I548" s="22" t="n"/>
      <c r="K548" s="22" t="n"/>
      <c r="O548" s="21" t="n"/>
      <c r="R548" s="21" t="n"/>
      <c r="S548" s="21" t="n"/>
      <c r="T548" s="21" t="n"/>
      <c r="U548" s="21" t="n"/>
    </row>
    <row r="549" ht="15.75" customHeight="1" s="237">
      <c r="A549" s="21" t="n"/>
      <c r="H549" s="21" t="n"/>
      <c r="I549" s="22" t="n"/>
      <c r="K549" s="22" t="n"/>
      <c r="O549" s="21" t="n"/>
      <c r="R549" s="21" t="n"/>
      <c r="S549" s="21" t="n"/>
      <c r="T549" s="21" t="n"/>
      <c r="U549" s="21" t="n"/>
    </row>
    <row r="550" ht="15.75" customHeight="1" s="237">
      <c r="A550" s="21" t="n"/>
      <c r="H550" s="21" t="n"/>
      <c r="I550" s="22" t="n"/>
      <c r="K550" s="22" t="n"/>
      <c r="O550" s="21" t="n"/>
      <c r="R550" s="21" t="n"/>
      <c r="S550" s="21" t="n"/>
      <c r="T550" s="21" t="n"/>
      <c r="U550" s="21" t="n"/>
    </row>
    <row r="551" ht="15.75" customHeight="1" s="237">
      <c r="A551" s="21" t="n"/>
      <c r="H551" s="21" t="n"/>
      <c r="I551" s="22" t="n"/>
      <c r="K551" s="22" t="n"/>
      <c r="O551" s="21" t="n"/>
      <c r="R551" s="21" t="n"/>
      <c r="S551" s="21" t="n"/>
      <c r="T551" s="21" t="n"/>
      <c r="U551" s="21" t="n"/>
    </row>
    <row r="552" ht="15.75" customHeight="1" s="237">
      <c r="A552" s="21" t="n"/>
      <c r="H552" s="21" t="n"/>
      <c r="I552" s="22" t="n"/>
      <c r="K552" s="22" t="n"/>
      <c r="O552" s="21" t="n"/>
      <c r="R552" s="21" t="n"/>
      <c r="S552" s="21" t="n"/>
      <c r="T552" s="21" t="n"/>
      <c r="U552" s="21" t="n"/>
    </row>
    <row r="553" ht="15.75" customHeight="1" s="237">
      <c r="A553" s="21" t="n"/>
      <c r="H553" s="21" t="n"/>
      <c r="I553" s="22" t="n"/>
      <c r="K553" s="22" t="n"/>
      <c r="O553" s="21" t="n"/>
      <c r="R553" s="21" t="n"/>
      <c r="S553" s="21" t="n"/>
      <c r="T553" s="21" t="n"/>
      <c r="U553" s="21" t="n"/>
    </row>
    <row r="554" ht="15.75" customHeight="1" s="237">
      <c r="A554" s="21" t="n"/>
      <c r="H554" s="21" t="n"/>
      <c r="I554" s="22" t="n"/>
      <c r="K554" s="22" t="n"/>
      <c r="O554" s="21" t="n"/>
      <c r="R554" s="21" t="n"/>
      <c r="S554" s="21" t="n"/>
      <c r="T554" s="21" t="n"/>
      <c r="U554" s="21" t="n"/>
    </row>
    <row r="555" ht="15.75" customHeight="1" s="237">
      <c r="A555" s="21" t="n"/>
      <c r="H555" s="21" t="n"/>
      <c r="I555" s="22" t="n"/>
      <c r="K555" s="22" t="n"/>
      <c r="O555" s="21" t="n"/>
      <c r="R555" s="21" t="n"/>
      <c r="S555" s="21" t="n"/>
      <c r="T555" s="21" t="n"/>
      <c r="U555" s="21" t="n"/>
    </row>
    <row r="556" ht="15.75" customHeight="1" s="237">
      <c r="A556" s="21" t="n"/>
      <c r="H556" s="21" t="n"/>
      <c r="I556" s="22" t="n"/>
      <c r="K556" s="22" t="n"/>
      <c r="O556" s="21" t="n"/>
      <c r="R556" s="21" t="n"/>
      <c r="S556" s="21" t="n"/>
      <c r="T556" s="21" t="n"/>
      <c r="U556" s="21" t="n"/>
    </row>
    <row r="557" ht="15.75" customHeight="1" s="237">
      <c r="A557" s="21" t="n"/>
      <c r="H557" s="21" t="n"/>
      <c r="I557" s="22" t="n"/>
      <c r="K557" s="22" t="n"/>
      <c r="O557" s="21" t="n"/>
      <c r="R557" s="21" t="n"/>
      <c r="S557" s="21" t="n"/>
      <c r="T557" s="21" t="n"/>
      <c r="U557" s="21" t="n"/>
    </row>
    <row r="558" ht="15.75" customHeight="1" s="237">
      <c r="A558" s="21" t="n"/>
      <c r="H558" s="21" t="n"/>
      <c r="I558" s="22" t="n"/>
      <c r="K558" s="22" t="n"/>
      <c r="O558" s="21" t="n"/>
      <c r="R558" s="21" t="n"/>
      <c r="S558" s="21" t="n"/>
      <c r="T558" s="21" t="n"/>
      <c r="U558" s="21" t="n"/>
    </row>
    <row r="559" ht="15.75" customHeight="1" s="237">
      <c r="A559" s="21" t="n"/>
      <c r="H559" s="21" t="n"/>
      <c r="I559" s="22" t="n"/>
      <c r="K559" s="22" t="n"/>
      <c r="O559" s="21" t="n"/>
      <c r="R559" s="21" t="n"/>
      <c r="S559" s="21" t="n"/>
      <c r="T559" s="21" t="n"/>
      <c r="U559" s="21" t="n"/>
    </row>
    <row r="560" ht="15.75" customHeight="1" s="237">
      <c r="A560" s="21" t="n"/>
      <c r="H560" s="21" t="n"/>
      <c r="I560" s="22" t="n"/>
      <c r="K560" s="22" t="n"/>
      <c r="O560" s="21" t="n"/>
      <c r="R560" s="21" t="n"/>
      <c r="S560" s="21" t="n"/>
      <c r="T560" s="21" t="n"/>
      <c r="U560" s="21" t="n"/>
    </row>
    <row r="561" ht="15.75" customHeight="1" s="237">
      <c r="A561" s="21" t="n"/>
      <c r="H561" s="21" t="n"/>
      <c r="I561" s="22" t="n"/>
      <c r="K561" s="22" t="n"/>
      <c r="O561" s="21" t="n"/>
      <c r="R561" s="21" t="n"/>
      <c r="S561" s="21" t="n"/>
      <c r="T561" s="21" t="n"/>
      <c r="U561" s="21" t="n"/>
    </row>
    <row r="562" ht="15.75" customHeight="1" s="237">
      <c r="A562" s="21" t="n"/>
      <c r="H562" s="21" t="n"/>
      <c r="I562" s="22" t="n"/>
      <c r="K562" s="22" t="n"/>
      <c r="O562" s="21" t="n"/>
      <c r="R562" s="21" t="n"/>
      <c r="S562" s="21" t="n"/>
      <c r="T562" s="21" t="n"/>
      <c r="U562" s="21" t="n"/>
    </row>
    <row r="563" ht="15.75" customHeight="1" s="237">
      <c r="A563" s="21" t="n"/>
      <c r="H563" s="21" t="n"/>
      <c r="I563" s="22" t="n"/>
      <c r="K563" s="22" t="n"/>
      <c r="O563" s="21" t="n"/>
      <c r="R563" s="21" t="n"/>
      <c r="S563" s="21" t="n"/>
      <c r="T563" s="21" t="n"/>
      <c r="U563" s="21" t="n"/>
    </row>
    <row r="564" ht="15.75" customHeight="1" s="237">
      <c r="A564" s="21" t="n"/>
      <c r="H564" s="21" t="n"/>
      <c r="I564" s="22" t="n"/>
      <c r="K564" s="22" t="n"/>
      <c r="O564" s="21" t="n"/>
      <c r="R564" s="21" t="n"/>
      <c r="S564" s="21" t="n"/>
      <c r="T564" s="21" t="n"/>
      <c r="U564" s="21" t="n"/>
    </row>
    <row r="565" ht="15.75" customHeight="1" s="237">
      <c r="A565" s="21" t="n"/>
      <c r="H565" s="21" t="n"/>
      <c r="I565" s="22" t="n"/>
      <c r="K565" s="22" t="n"/>
      <c r="O565" s="21" t="n"/>
      <c r="R565" s="21" t="n"/>
      <c r="S565" s="21" t="n"/>
      <c r="T565" s="21" t="n"/>
      <c r="U565" s="21" t="n"/>
    </row>
    <row r="566" ht="15.75" customHeight="1" s="237">
      <c r="A566" s="21" t="n"/>
      <c r="H566" s="21" t="n"/>
      <c r="I566" s="22" t="n"/>
      <c r="K566" s="22" t="n"/>
      <c r="O566" s="21" t="n"/>
      <c r="R566" s="21" t="n"/>
      <c r="S566" s="21" t="n"/>
      <c r="T566" s="21" t="n"/>
      <c r="U566" s="21" t="n"/>
    </row>
    <row r="567" ht="15.75" customHeight="1" s="237">
      <c r="A567" s="21" t="n"/>
      <c r="H567" s="21" t="n"/>
      <c r="I567" s="22" t="n"/>
      <c r="K567" s="22" t="n"/>
      <c r="O567" s="21" t="n"/>
      <c r="R567" s="21" t="n"/>
      <c r="S567" s="21" t="n"/>
      <c r="T567" s="21" t="n"/>
      <c r="U567" s="21" t="n"/>
    </row>
    <row r="568" ht="15.75" customHeight="1" s="237">
      <c r="A568" s="21" t="n"/>
      <c r="H568" s="21" t="n"/>
      <c r="I568" s="22" t="n"/>
      <c r="K568" s="22" t="n"/>
      <c r="O568" s="21" t="n"/>
      <c r="R568" s="21" t="n"/>
      <c r="S568" s="21" t="n"/>
      <c r="T568" s="21" t="n"/>
      <c r="U568" s="21" t="n"/>
    </row>
    <row r="569" ht="15.75" customHeight="1" s="237">
      <c r="A569" s="21" t="n"/>
      <c r="H569" s="21" t="n"/>
      <c r="I569" s="22" t="n"/>
      <c r="K569" s="22" t="n"/>
      <c r="O569" s="21" t="n"/>
      <c r="R569" s="21" t="n"/>
      <c r="S569" s="21" t="n"/>
      <c r="T569" s="21" t="n"/>
      <c r="U569" s="21" t="n"/>
    </row>
    <row r="570" ht="15.75" customHeight="1" s="237">
      <c r="A570" s="21" t="n"/>
      <c r="H570" s="21" t="n"/>
      <c r="I570" s="22" t="n"/>
      <c r="K570" s="22" t="n"/>
      <c r="O570" s="21" t="n"/>
      <c r="R570" s="21" t="n"/>
      <c r="S570" s="21" t="n"/>
      <c r="T570" s="21" t="n"/>
      <c r="U570" s="21" t="n"/>
    </row>
    <row r="571" ht="15.75" customHeight="1" s="237">
      <c r="A571" s="21" t="n"/>
      <c r="H571" s="21" t="n"/>
      <c r="I571" s="22" t="n"/>
      <c r="K571" s="22" t="n"/>
      <c r="O571" s="21" t="n"/>
      <c r="R571" s="21" t="n"/>
      <c r="S571" s="21" t="n"/>
      <c r="T571" s="21" t="n"/>
      <c r="U571" s="21" t="n"/>
    </row>
    <row r="572" ht="15.75" customHeight="1" s="237">
      <c r="A572" s="21" t="n"/>
      <c r="H572" s="21" t="n"/>
      <c r="I572" s="22" t="n"/>
      <c r="K572" s="22" t="n"/>
      <c r="O572" s="21" t="n"/>
      <c r="R572" s="21" t="n"/>
      <c r="S572" s="21" t="n"/>
      <c r="T572" s="21" t="n"/>
      <c r="U572" s="21" t="n"/>
    </row>
    <row r="573" ht="15.75" customHeight="1" s="237">
      <c r="A573" s="21" t="n"/>
      <c r="H573" s="21" t="n"/>
      <c r="I573" s="22" t="n"/>
      <c r="K573" s="22" t="n"/>
      <c r="O573" s="21" t="n"/>
      <c r="R573" s="21" t="n"/>
      <c r="S573" s="21" t="n"/>
      <c r="T573" s="21" t="n"/>
      <c r="U573" s="21" t="n"/>
    </row>
    <row r="574" ht="15.75" customHeight="1" s="237">
      <c r="A574" s="21" t="n"/>
      <c r="H574" s="21" t="n"/>
      <c r="I574" s="22" t="n"/>
      <c r="K574" s="22" t="n"/>
      <c r="O574" s="21" t="n"/>
      <c r="R574" s="21" t="n"/>
      <c r="S574" s="21" t="n"/>
      <c r="T574" s="21" t="n"/>
      <c r="U574" s="21" t="n"/>
    </row>
    <row r="575" ht="15.75" customHeight="1" s="237">
      <c r="A575" s="21" t="n"/>
      <c r="H575" s="21" t="n"/>
      <c r="I575" s="22" t="n"/>
      <c r="K575" s="22" t="n"/>
      <c r="O575" s="21" t="n"/>
      <c r="R575" s="21" t="n"/>
      <c r="S575" s="21" t="n"/>
      <c r="T575" s="21" t="n"/>
      <c r="U575" s="21" t="n"/>
    </row>
    <row r="576" ht="15.75" customHeight="1" s="237">
      <c r="A576" s="21" t="n"/>
      <c r="H576" s="21" t="n"/>
      <c r="I576" s="22" t="n"/>
      <c r="K576" s="22" t="n"/>
      <c r="O576" s="21" t="n"/>
      <c r="R576" s="21" t="n"/>
      <c r="S576" s="21" t="n"/>
      <c r="T576" s="21" t="n"/>
      <c r="U576" s="21" t="n"/>
    </row>
    <row r="577" ht="15.75" customHeight="1" s="237">
      <c r="A577" s="21" t="n"/>
      <c r="H577" s="21" t="n"/>
      <c r="I577" s="22" t="n"/>
      <c r="K577" s="22" t="n"/>
      <c r="O577" s="21" t="n"/>
      <c r="R577" s="21" t="n"/>
      <c r="S577" s="21" t="n"/>
      <c r="T577" s="21" t="n"/>
      <c r="U577" s="21" t="n"/>
    </row>
    <row r="578" ht="15.75" customHeight="1" s="237">
      <c r="A578" s="21" t="n"/>
      <c r="H578" s="21" t="n"/>
      <c r="I578" s="22" t="n"/>
      <c r="K578" s="22" t="n"/>
      <c r="O578" s="21" t="n"/>
      <c r="R578" s="21" t="n"/>
      <c r="S578" s="21" t="n"/>
      <c r="T578" s="21" t="n"/>
      <c r="U578" s="21" t="n"/>
    </row>
    <row r="579" ht="15.75" customHeight="1" s="237">
      <c r="A579" s="21" t="n"/>
      <c r="H579" s="21" t="n"/>
      <c r="I579" s="22" t="n"/>
      <c r="K579" s="22" t="n"/>
      <c r="O579" s="21" t="n"/>
      <c r="R579" s="21" t="n"/>
      <c r="S579" s="21" t="n"/>
      <c r="T579" s="21" t="n"/>
      <c r="U579" s="21" t="n"/>
    </row>
    <row r="580" ht="15.75" customHeight="1" s="237">
      <c r="A580" s="21" t="n"/>
      <c r="H580" s="21" t="n"/>
      <c r="I580" s="22" t="n"/>
      <c r="K580" s="22" t="n"/>
      <c r="O580" s="21" t="n"/>
      <c r="R580" s="21" t="n"/>
      <c r="S580" s="21" t="n"/>
      <c r="T580" s="21" t="n"/>
      <c r="U580" s="21" t="n"/>
    </row>
    <row r="581" ht="15.75" customHeight="1" s="237">
      <c r="A581" s="21" t="n"/>
      <c r="H581" s="21" t="n"/>
      <c r="I581" s="22" t="n"/>
      <c r="K581" s="22" t="n"/>
      <c r="O581" s="21" t="n"/>
      <c r="R581" s="21" t="n"/>
      <c r="S581" s="21" t="n"/>
      <c r="T581" s="21" t="n"/>
      <c r="U581" s="21" t="n"/>
    </row>
    <row r="582" ht="15.75" customHeight="1" s="237">
      <c r="A582" s="21" t="n"/>
      <c r="H582" s="21" t="n"/>
      <c r="I582" s="22" t="n"/>
      <c r="K582" s="22" t="n"/>
      <c r="O582" s="21" t="n"/>
      <c r="R582" s="21" t="n"/>
      <c r="S582" s="21" t="n"/>
      <c r="T582" s="21" t="n"/>
      <c r="U582" s="21" t="n"/>
    </row>
    <row r="583" ht="15.75" customHeight="1" s="237">
      <c r="A583" s="21" t="n"/>
      <c r="H583" s="21" t="n"/>
      <c r="I583" s="22" t="n"/>
      <c r="K583" s="22" t="n"/>
      <c r="O583" s="21" t="n"/>
      <c r="R583" s="21" t="n"/>
      <c r="S583" s="21" t="n"/>
      <c r="T583" s="21" t="n"/>
      <c r="U583" s="21" t="n"/>
    </row>
    <row r="584" ht="15.75" customHeight="1" s="237">
      <c r="A584" s="21" t="n"/>
      <c r="H584" s="21" t="n"/>
      <c r="I584" s="22" t="n"/>
      <c r="K584" s="22" t="n"/>
      <c r="O584" s="21" t="n"/>
      <c r="R584" s="21" t="n"/>
      <c r="S584" s="21" t="n"/>
      <c r="T584" s="21" t="n"/>
      <c r="U584" s="21" t="n"/>
    </row>
    <row r="585" ht="15.75" customHeight="1" s="237">
      <c r="A585" s="21" t="n"/>
      <c r="H585" s="21" t="n"/>
      <c r="I585" s="22" t="n"/>
      <c r="K585" s="22" t="n"/>
      <c r="O585" s="21" t="n"/>
      <c r="R585" s="21" t="n"/>
      <c r="S585" s="21" t="n"/>
      <c r="T585" s="21" t="n"/>
      <c r="U585" s="21" t="n"/>
    </row>
    <row r="586" ht="15.75" customHeight="1" s="237">
      <c r="A586" s="21" t="n"/>
      <c r="H586" s="21" t="n"/>
      <c r="I586" s="22" t="n"/>
      <c r="K586" s="22" t="n"/>
      <c r="O586" s="21" t="n"/>
      <c r="R586" s="21" t="n"/>
      <c r="S586" s="21" t="n"/>
      <c r="T586" s="21" t="n"/>
      <c r="U586" s="21" t="n"/>
    </row>
    <row r="587" ht="15.75" customHeight="1" s="237">
      <c r="A587" s="21" t="n"/>
      <c r="H587" s="21" t="n"/>
      <c r="I587" s="22" t="n"/>
      <c r="K587" s="22" t="n"/>
      <c r="O587" s="21" t="n"/>
      <c r="R587" s="21" t="n"/>
      <c r="S587" s="21" t="n"/>
      <c r="T587" s="21" t="n"/>
      <c r="U587" s="21" t="n"/>
    </row>
    <row r="588" ht="15.75" customHeight="1" s="237">
      <c r="A588" s="21" t="n"/>
      <c r="H588" s="21" t="n"/>
      <c r="I588" s="22" t="n"/>
      <c r="K588" s="22" t="n"/>
      <c r="O588" s="21" t="n"/>
      <c r="R588" s="21" t="n"/>
      <c r="S588" s="21" t="n"/>
      <c r="T588" s="21" t="n"/>
      <c r="U588" s="21" t="n"/>
    </row>
    <row r="589" ht="15.75" customHeight="1" s="237">
      <c r="A589" s="21" t="n"/>
      <c r="H589" s="21" t="n"/>
      <c r="I589" s="22" t="n"/>
      <c r="K589" s="22" t="n"/>
      <c r="O589" s="21" t="n"/>
      <c r="R589" s="21" t="n"/>
      <c r="S589" s="21" t="n"/>
      <c r="T589" s="21" t="n"/>
      <c r="U589" s="21" t="n"/>
    </row>
    <row r="590" ht="15.75" customHeight="1" s="237">
      <c r="A590" s="21" t="n"/>
      <c r="H590" s="21" t="n"/>
      <c r="I590" s="22" t="n"/>
      <c r="K590" s="22" t="n"/>
      <c r="O590" s="21" t="n"/>
      <c r="R590" s="21" t="n"/>
      <c r="S590" s="21" t="n"/>
      <c r="T590" s="21" t="n"/>
      <c r="U590" s="21" t="n"/>
    </row>
    <row r="591" ht="15.75" customHeight="1" s="237">
      <c r="A591" s="21" t="n"/>
      <c r="H591" s="21" t="n"/>
      <c r="I591" s="22" t="n"/>
      <c r="K591" s="22" t="n"/>
      <c r="O591" s="21" t="n"/>
      <c r="R591" s="21" t="n"/>
      <c r="S591" s="21" t="n"/>
      <c r="T591" s="21" t="n"/>
      <c r="U591" s="21" t="n"/>
    </row>
    <row r="592" ht="15.75" customHeight="1" s="237">
      <c r="A592" s="21" t="n"/>
      <c r="H592" s="21" t="n"/>
      <c r="I592" s="22" t="n"/>
      <c r="K592" s="22" t="n"/>
      <c r="O592" s="21" t="n"/>
      <c r="R592" s="21" t="n"/>
      <c r="S592" s="21" t="n"/>
      <c r="T592" s="21" t="n"/>
      <c r="U592" s="21" t="n"/>
    </row>
    <row r="593" ht="15.75" customHeight="1" s="237">
      <c r="A593" s="21" t="n"/>
      <c r="H593" s="21" t="n"/>
      <c r="I593" s="22" t="n"/>
      <c r="K593" s="22" t="n"/>
      <c r="O593" s="21" t="n"/>
      <c r="R593" s="21" t="n"/>
      <c r="S593" s="21" t="n"/>
      <c r="T593" s="21" t="n"/>
      <c r="U593" s="21" t="n"/>
    </row>
    <row r="594" ht="15.75" customHeight="1" s="237">
      <c r="A594" s="21" t="n"/>
      <c r="H594" s="21" t="n"/>
      <c r="I594" s="22" t="n"/>
      <c r="K594" s="22" t="n"/>
      <c r="O594" s="21" t="n"/>
      <c r="R594" s="21" t="n"/>
      <c r="S594" s="21" t="n"/>
      <c r="T594" s="21" t="n"/>
      <c r="U594" s="21" t="n"/>
    </row>
    <row r="595" ht="15.75" customHeight="1" s="237">
      <c r="A595" s="21" t="n"/>
      <c r="H595" s="21" t="n"/>
      <c r="I595" s="22" t="n"/>
      <c r="K595" s="22" t="n"/>
      <c r="O595" s="21" t="n"/>
      <c r="R595" s="21" t="n"/>
      <c r="S595" s="21" t="n"/>
      <c r="T595" s="21" t="n"/>
      <c r="U595" s="21" t="n"/>
    </row>
    <row r="596" ht="15.75" customHeight="1" s="237">
      <c r="A596" s="21" t="n"/>
      <c r="H596" s="21" t="n"/>
      <c r="I596" s="22" t="n"/>
      <c r="K596" s="22" t="n"/>
      <c r="O596" s="21" t="n"/>
      <c r="R596" s="21" t="n"/>
      <c r="S596" s="21" t="n"/>
      <c r="T596" s="21" t="n"/>
      <c r="U596" s="21" t="n"/>
    </row>
    <row r="597" ht="15.75" customHeight="1" s="237">
      <c r="A597" s="21" t="n"/>
      <c r="H597" s="21" t="n"/>
      <c r="I597" s="22" t="n"/>
      <c r="K597" s="22" t="n"/>
      <c r="O597" s="21" t="n"/>
      <c r="R597" s="21" t="n"/>
      <c r="S597" s="21" t="n"/>
      <c r="T597" s="21" t="n"/>
      <c r="U597" s="21" t="n"/>
    </row>
    <row r="598" ht="15.75" customHeight="1" s="237">
      <c r="A598" s="21" t="n"/>
      <c r="H598" s="21" t="n"/>
      <c r="I598" s="22" t="n"/>
      <c r="K598" s="22" t="n"/>
      <c r="O598" s="21" t="n"/>
      <c r="R598" s="21" t="n"/>
      <c r="S598" s="21" t="n"/>
      <c r="T598" s="21" t="n"/>
      <c r="U598" s="21" t="n"/>
    </row>
    <row r="599" ht="15.75" customHeight="1" s="237">
      <c r="A599" s="21" t="n"/>
      <c r="H599" s="21" t="n"/>
      <c r="I599" s="22" t="n"/>
      <c r="K599" s="22" t="n"/>
      <c r="O599" s="21" t="n"/>
      <c r="R599" s="21" t="n"/>
      <c r="S599" s="21" t="n"/>
      <c r="T599" s="21" t="n"/>
      <c r="U599" s="21" t="n"/>
    </row>
    <row r="600" ht="15.75" customHeight="1" s="237">
      <c r="A600" s="21" t="n"/>
      <c r="H600" s="21" t="n"/>
      <c r="I600" s="22" t="n"/>
      <c r="K600" s="22" t="n"/>
      <c r="O600" s="21" t="n"/>
      <c r="R600" s="21" t="n"/>
      <c r="S600" s="21" t="n"/>
      <c r="T600" s="21" t="n"/>
      <c r="U600" s="21" t="n"/>
    </row>
    <row r="601" ht="15.75" customHeight="1" s="237">
      <c r="A601" s="21" t="n"/>
      <c r="H601" s="21" t="n"/>
      <c r="I601" s="22" t="n"/>
      <c r="K601" s="22" t="n"/>
      <c r="O601" s="21" t="n"/>
      <c r="R601" s="21" t="n"/>
      <c r="S601" s="21" t="n"/>
      <c r="T601" s="21" t="n"/>
      <c r="U601" s="21" t="n"/>
    </row>
    <row r="602" ht="15.75" customHeight="1" s="237">
      <c r="A602" s="21" t="n"/>
      <c r="H602" s="21" t="n"/>
      <c r="I602" s="22" t="n"/>
      <c r="K602" s="22" t="n"/>
      <c r="O602" s="21" t="n"/>
      <c r="R602" s="21" t="n"/>
      <c r="S602" s="21" t="n"/>
      <c r="T602" s="21" t="n"/>
      <c r="U602" s="21" t="n"/>
    </row>
    <row r="603" ht="15.75" customHeight="1" s="237">
      <c r="A603" s="21" t="n"/>
      <c r="H603" s="21" t="n"/>
      <c r="I603" s="22" t="n"/>
      <c r="K603" s="22" t="n"/>
      <c r="O603" s="21" t="n"/>
      <c r="R603" s="21" t="n"/>
      <c r="S603" s="21" t="n"/>
      <c r="T603" s="21" t="n"/>
      <c r="U603" s="21" t="n"/>
    </row>
    <row r="604" ht="15.75" customHeight="1" s="237">
      <c r="A604" s="21" t="n"/>
      <c r="H604" s="21" t="n"/>
      <c r="I604" s="22" t="n"/>
      <c r="K604" s="22" t="n"/>
      <c r="O604" s="21" t="n"/>
      <c r="R604" s="21" t="n"/>
      <c r="S604" s="21" t="n"/>
      <c r="T604" s="21" t="n"/>
      <c r="U604" s="21" t="n"/>
    </row>
    <row r="605" ht="15.75" customHeight="1" s="237">
      <c r="A605" s="21" t="n"/>
      <c r="H605" s="21" t="n"/>
      <c r="I605" s="22" t="n"/>
      <c r="K605" s="22" t="n"/>
      <c r="O605" s="21" t="n"/>
      <c r="R605" s="21" t="n"/>
      <c r="S605" s="21" t="n"/>
      <c r="T605" s="21" t="n"/>
      <c r="U605" s="21" t="n"/>
    </row>
    <row r="606" ht="15.75" customHeight="1" s="237">
      <c r="A606" s="21" t="n"/>
      <c r="H606" s="21" t="n"/>
      <c r="I606" s="22" t="n"/>
      <c r="K606" s="22" t="n"/>
      <c r="O606" s="21" t="n"/>
      <c r="R606" s="21" t="n"/>
      <c r="S606" s="21" t="n"/>
      <c r="T606" s="21" t="n"/>
      <c r="U606" s="21" t="n"/>
    </row>
    <row r="607" ht="15.75" customHeight="1" s="237">
      <c r="A607" s="21" t="n"/>
      <c r="H607" s="21" t="n"/>
      <c r="I607" s="22" t="n"/>
      <c r="K607" s="22" t="n"/>
      <c r="O607" s="21" t="n"/>
      <c r="R607" s="21" t="n"/>
      <c r="S607" s="21" t="n"/>
      <c r="T607" s="21" t="n"/>
      <c r="U607" s="21" t="n"/>
    </row>
    <row r="608" ht="15.75" customHeight="1" s="237">
      <c r="A608" s="21" t="n"/>
      <c r="H608" s="21" t="n"/>
      <c r="I608" s="22" t="n"/>
      <c r="K608" s="22" t="n"/>
      <c r="O608" s="21" t="n"/>
      <c r="R608" s="21" t="n"/>
      <c r="S608" s="21" t="n"/>
      <c r="T608" s="21" t="n"/>
      <c r="U608" s="21" t="n"/>
    </row>
    <row r="609" ht="15.75" customHeight="1" s="237">
      <c r="A609" s="21" t="n"/>
      <c r="H609" s="21" t="n"/>
      <c r="I609" s="22" t="n"/>
      <c r="K609" s="22" t="n"/>
      <c r="O609" s="21" t="n"/>
      <c r="R609" s="21" t="n"/>
      <c r="S609" s="21" t="n"/>
      <c r="T609" s="21" t="n"/>
      <c r="U609" s="21" t="n"/>
    </row>
    <row r="610" ht="15.75" customHeight="1" s="237">
      <c r="A610" s="21" t="n"/>
      <c r="H610" s="21" t="n"/>
      <c r="I610" s="22" t="n"/>
      <c r="K610" s="22" t="n"/>
      <c r="O610" s="21" t="n"/>
      <c r="R610" s="21" t="n"/>
      <c r="S610" s="21" t="n"/>
      <c r="T610" s="21" t="n"/>
      <c r="U610" s="21" t="n"/>
    </row>
    <row r="611" ht="15.75" customHeight="1" s="237">
      <c r="A611" s="21" t="n"/>
      <c r="H611" s="21" t="n"/>
      <c r="I611" s="22" t="n"/>
      <c r="K611" s="22" t="n"/>
      <c r="O611" s="21" t="n"/>
      <c r="R611" s="21" t="n"/>
      <c r="S611" s="21" t="n"/>
      <c r="T611" s="21" t="n"/>
      <c r="U611" s="21" t="n"/>
    </row>
    <row r="612" ht="15.75" customHeight="1" s="237">
      <c r="A612" s="21" t="n"/>
      <c r="H612" s="21" t="n"/>
      <c r="I612" s="22" t="n"/>
      <c r="K612" s="22" t="n"/>
      <c r="O612" s="21" t="n"/>
      <c r="R612" s="21" t="n"/>
      <c r="S612" s="21" t="n"/>
      <c r="T612" s="21" t="n"/>
      <c r="U612" s="21" t="n"/>
    </row>
    <row r="613" ht="15.75" customHeight="1" s="237">
      <c r="A613" s="21" t="n"/>
      <c r="H613" s="21" t="n"/>
      <c r="I613" s="22" t="n"/>
      <c r="K613" s="22" t="n"/>
      <c r="O613" s="21" t="n"/>
      <c r="R613" s="21" t="n"/>
      <c r="S613" s="21" t="n"/>
      <c r="T613" s="21" t="n"/>
      <c r="U613" s="21" t="n"/>
    </row>
    <row r="614" ht="15.75" customHeight="1" s="237">
      <c r="A614" s="21" t="n"/>
      <c r="H614" s="21" t="n"/>
      <c r="I614" s="22" t="n"/>
      <c r="K614" s="22" t="n"/>
      <c r="O614" s="21" t="n"/>
      <c r="R614" s="21" t="n"/>
      <c r="S614" s="21" t="n"/>
      <c r="T614" s="21" t="n"/>
      <c r="U614" s="21" t="n"/>
    </row>
    <row r="615" ht="15.75" customHeight="1" s="237">
      <c r="A615" s="21" t="n"/>
      <c r="H615" s="21" t="n"/>
      <c r="I615" s="22" t="n"/>
      <c r="K615" s="22" t="n"/>
      <c r="O615" s="21" t="n"/>
      <c r="R615" s="21" t="n"/>
      <c r="S615" s="21" t="n"/>
      <c r="T615" s="21" t="n"/>
      <c r="U615" s="21" t="n"/>
    </row>
    <row r="616" ht="15.75" customHeight="1" s="237">
      <c r="A616" s="21" t="n"/>
      <c r="H616" s="21" t="n"/>
      <c r="I616" s="22" t="n"/>
      <c r="K616" s="22" t="n"/>
      <c r="O616" s="21" t="n"/>
      <c r="R616" s="21" t="n"/>
      <c r="S616" s="21" t="n"/>
      <c r="T616" s="21" t="n"/>
      <c r="U616" s="21" t="n"/>
    </row>
    <row r="617" ht="15.75" customHeight="1" s="237">
      <c r="A617" s="21" t="n"/>
      <c r="H617" s="21" t="n"/>
      <c r="I617" s="22" t="n"/>
      <c r="K617" s="22" t="n"/>
      <c r="O617" s="21" t="n"/>
      <c r="R617" s="21" t="n"/>
      <c r="S617" s="21" t="n"/>
      <c r="T617" s="21" t="n"/>
      <c r="U617" s="21" t="n"/>
    </row>
    <row r="618" ht="15.75" customHeight="1" s="237">
      <c r="A618" s="21" t="n"/>
      <c r="H618" s="21" t="n"/>
      <c r="I618" s="22" t="n"/>
      <c r="K618" s="22" t="n"/>
      <c r="O618" s="21" t="n"/>
      <c r="R618" s="21" t="n"/>
      <c r="S618" s="21" t="n"/>
      <c r="T618" s="21" t="n"/>
      <c r="U618" s="21" t="n"/>
    </row>
    <row r="619" ht="15.75" customHeight="1" s="237">
      <c r="A619" s="21" t="n"/>
      <c r="H619" s="21" t="n"/>
      <c r="I619" s="22" t="n"/>
      <c r="K619" s="22" t="n"/>
      <c r="O619" s="21" t="n"/>
      <c r="R619" s="21" t="n"/>
      <c r="S619" s="21" t="n"/>
      <c r="T619" s="21" t="n"/>
      <c r="U619" s="21" t="n"/>
    </row>
    <row r="620" ht="15.75" customHeight="1" s="237">
      <c r="A620" s="21" t="n"/>
      <c r="H620" s="21" t="n"/>
      <c r="I620" s="22" t="n"/>
      <c r="K620" s="22" t="n"/>
      <c r="O620" s="21" t="n"/>
      <c r="R620" s="21" t="n"/>
      <c r="S620" s="21" t="n"/>
      <c r="T620" s="21" t="n"/>
      <c r="U620" s="21" t="n"/>
    </row>
    <row r="621" ht="15.75" customHeight="1" s="237">
      <c r="A621" s="21" t="n"/>
      <c r="H621" s="21" t="n"/>
      <c r="I621" s="22" t="n"/>
      <c r="K621" s="22" t="n"/>
      <c r="O621" s="21" t="n"/>
      <c r="R621" s="21" t="n"/>
      <c r="S621" s="21" t="n"/>
      <c r="T621" s="21" t="n"/>
      <c r="U621" s="21" t="n"/>
    </row>
    <row r="622" ht="15.75" customHeight="1" s="237">
      <c r="A622" s="21" t="n"/>
      <c r="H622" s="21" t="n"/>
      <c r="I622" s="22" t="n"/>
      <c r="K622" s="22" t="n"/>
      <c r="O622" s="21" t="n"/>
      <c r="R622" s="21" t="n"/>
      <c r="S622" s="21" t="n"/>
      <c r="T622" s="21" t="n"/>
      <c r="U622" s="21" t="n"/>
    </row>
    <row r="623" ht="15.75" customHeight="1" s="237">
      <c r="A623" s="21" t="n"/>
      <c r="H623" s="21" t="n"/>
      <c r="I623" s="22" t="n"/>
      <c r="K623" s="22" t="n"/>
      <c r="O623" s="21" t="n"/>
      <c r="R623" s="21" t="n"/>
      <c r="S623" s="21" t="n"/>
      <c r="T623" s="21" t="n"/>
      <c r="U623" s="21" t="n"/>
    </row>
    <row r="624" ht="15.75" customHeight="1" s="237">
      <c r="A624" s="21" t="n"/>
      <c r="H624" s="21" t="n"/>
      <c r="I624" s="22" t="n"/>
      <c r="K624" s="22" t="n"/>
      <c r="O624" s="21" t="n"/>
      <c r="R624" s="21" t="n"/>
      <c r="S624" s="21" t="n"/>
      <c r="T624" s="21" t="n"/>
      <c r="U624" s="21" t="n"/>
    </row>
    <row r="625" ht="15.75" customHeight="1" s="237">
      <c r="A625" s="21" t="n"/>
      <c r="H625" s="21" t="n"/>
      <c r="I625" s="22" t="n"/>
      <c r="K625" s="22" t="n"/>
      <c r="O625" s="21" t="n"/>
      <c r="R625" s="21" t="n"/>
      <c r="S625" s="21" t="n"/>
      <c r="T625" s="21" t="n"/>
      <c r="U625" s="21" t="n"/>
    </row>
    <row r="626" ht="15.75" customHeight="1" s="237">
      <c r="A626" s="21" t="n"/>
      <c r="H626" s="21" t="n"/>
      <c r="I626" s="22" t="n"/>
      <c r="K626" s="22" t="n"/>
      <c r="O626" s="21" t="n"/>
      <c r="R626" s="21" t="n"/>
      <c r="S626" s="21" t="n"/>
      <c r="T626" s="21" t="n"/>
      <c r="U626" s="21" t="n"/>
    </row>
    <row r="627" ht="15.75" customHeight="1" s="237">
      <c r="A627" s="21" t="n"/>
      <c r="H627" s="21" t="n"/>
      <c r="I627" s="22" t="n"/>
      <c r="K627" s="22" t="n"/>
      <c r="O627" s="21" t="n"/>
      <c r="R627" s="21" t="n"/>
      <c r="S627" s="21" t="n"/>
      <c r="T627" s="21" t="n"/>
      <c r="U627" s="21" t="n"/>
    </row>
    <row r="628" ht="15.75" customHeight="1" s="237">
      <c r="A628" s="21" t="n"/>
      <c r="H628" s="21" t="n"/>
      <c r="I628" s="22" t="n"/>
      <c r="K628" s="22" t="n"/>
      <c r="O628" s="21" t="n"/>
      <c r="R628" s="21" t="n"/>
      <c r="S628" s="21" t="n"/>
      <c r="T628" s="21" t="n"/>
      <c r="U628" s="21" t="n"/>
    </row>
    <row r="629" ht="15.75" customHeight="1" s="237">
      <c r="A629" s="21" t="n"/>
      <c r="H629" s="21" t="n"/>
      <c r="I629" s="22" t="n"/>
      <c r="K629" s="22" t="n"/>
      <c r="O629" s="21" t="n"/>
      <c r="R629" s="21" t="n"/>
      <c r="S629" s="21" t="n"/>
      <c r="T629" s="21" t="n"/>
      <c r="U629" s="21" t="n"/>
    </row>
    <row r="630" ht="15.75" customHeight="1" s="237">
      <c r="A630" s="21" t="n"/>
      <c r="H630" s="21" t="n"/>
      <c r="I630" s="22" t="n"/>
      <c r="K630" s="22" t="n"/>
      <c r="O630" s="21" t="n"/>
      <c r="R630" s="21" t="n"/>
      <c r="S630" s="21" t="n"/>
      <c r="T630" s="21" t="n"/>
      <c r="U630" s="21" t="n"/>
    </row>
    <row r="631" ht="15.75" customHeight="1" s="237">
      <c r="A631" s="21" t="n"/>
      <c r="H631" s="21" t="n"/>
      <c r="I631" s="22" t="n"/>
      <c r="K631" s="22" t="n"/>
      <c r="O631" s="21" t="n"/>
      <c r="R631" s="21" t="n"/>
      <c r="S631" s="21" t="n"/>
      <c r="T631" s="21" t="n"/>
      <c r="U631" s="21" t="n"/>
    </row>
    <row r="632" ht="15.75" customHeight="1" s="237">
      <c r="A632" s="21" t="n"/>
      <c r="H632" s="21" t="n"/>
      <c r="I632" s="22" t="n"/>
      <c r="K632" s="22" t="n"/>
      <c r="O632" s="21" t="n"/>
      <c r="R632" s="21" t="n"/>
      <c r="S632" s="21" t="n"/>
      <c r="T632" s="21" t="n"/>
      <c r="U632" s="21" t="n"/>
    </row>
    <row r="633" ht="15.75" customHeight="1" s="237">
      <c r="A633" s="21" t="n"/>
      <c r="H633" s="21" t="n"/>
      <c r="I633" s="22" t="n"/>
      <c r="K633" s="22" t="n"/>
      <c r="O633" s="21" t="n"/>
      <c r="R633" s="21" t="n"/>
      <c r="S633" s="21" t="n"/>
      <c r="T633" s="21" t="n"/>
      <c r="U633" s="21" t="n"/>
    </row>
    <row r="634" ht="15.75" customHeight="1" s="237">
      <c r="A634" s="21" t="n"/>
      <c r="H634" s="21" t="n"/>
      <c r="I634" s="22" t="n"/>
      <c r="K634" s="22" t="n"/>
      <c r="O634" s="21" t="n"/>
      <c r="R634" s="21" t="n"/>
      <c r="S634" s="21" t="n"/>
      <c r="T634" s="21" t="n"/>
      <c r="U634" s="21" t="n"/>
    </row>
    <row r="635" ht="15.75" customHeight="1" s="237">
      <c r="A635" s="21" t="n"/>
      <c r="H635" s="21" t="n"/>
      <c r="I635" s="22" t="n"/>
      <c r="K635" s="22" t="n"/>
      <c r="O635" s="21" t="n"/>
      <c r="R635" s="21" t="n"/>
      <c r="S635" s="21" t="n"/>
      <c r="T635" s="21" t="n"/>
      <c r="U635" s="21" t="n"/>
    </row>
    <row r="636" ht="15.75" customHeight="1" s="237">
      <c r="A636" s="21" t="n"/>
      <c r="H636" s="21" t="n"/>
      <c r="I636" s="22" t="n"/>
      <c r="K636" s="22" t="n"/>
      <c r="O636" s="21" t="n"/>
      <c r="R636" s="21" t="n"/>
      <c r="S636" s="21" t="n"/>
      <c r="T636" s="21" t="n"/>
      <c r="U636" s="21" t="n"/>
    </row>
    <row r="637" ht="15.75" customHeight="1" s="237">
      <c r="A637" s="21" t="n"/>
      <c r="H637" s="21" t="n"/>
      <c r="I637" s="22" t="n"/>
      <c r="K637" s="22" t="n"/>
      <c r="O637" s="21" t="n"/>
      <c r="R637" s="21" t="n"/>
      <c r="S637" s="21" t="n"/>
      <c r="T637" s="21" t="n"/>
      <c r="U637" s="21" t="n"/>
    </row>
    <row r="638" ht="15.75" customHeight="1" s="237">
      <c r="A638" s="21" t="n"/>
      <c r="H638" s="21" t="n"/>
      <c r="I638" s="22" t="n"/>
      <c r="K638" s="22" t="n"/>
      <c r="O638" s="21" t="n"/>
      <c r="R638" s="21" t="n"/>
      <c r="S638" s="21" t="n"/>
      <c r="T638" s="21" t="n"/>
      <c r="U638" s="21" t="n"/>
    </row>
    <row r="639" ht="15.75" customHeight="1" s="237">
      <c r="A639" s="21" t="n"/>
      <c r="H639" s="21" t="n"/>
      <c r="I639" s="22" t="n"/>
      <c r="K639" s="22" t="n"/>
      <c r="O639" s="21" t="n"/>
      <c r="R639" s="21" t="n"/>
      <c r="S639" s="21" t="n"/>
      <c r="T639" s="21" t="n"/>
      <c r="U639" s="21" t="n"/>
    </row>
    <row r="640" ht="15.75" customHeight="1" s="237">
      <c r="A640" s="21" t="n"/>
      <c r="H640" s="21" t="n"/>
      <c r="I640" s="22" t="n"/>
      <c r="K640" s="22" t="n"/>
      <c r="O640" s="21" t="n"/>
      <c r="R640" s="21" t="n"/>
      <c r="S640" s="21" t="n"/>
      <c r="T640" s="21" t="n"/>
      <c r="U640" s="21" t="n"/>
    </row>
    <row r="641" ht="15.75" customHeight="1" s="237">
      <c r="A641" s="21" t="n"/>
      <c r="H641" s="21" t="n"/>
      <c r="I641" s="22" t="n"/>
      <c r="K641" s="22" t="n"/>
      <c r="O641" s="21" t="n"/>
      <c r="R641" s="21" t="n"/>
      <c r="S641" s="21" t="n"/>
      <c r="T641" s="21" t="n"/>
      <c r="U641" s="21" t="n"/>
    </row>
    <row r="642" ht="15.75" customHeight="1" s="237">
      <c r="A642" s="21" t="n"/>
      <c r="H642" s="21" t="n"/>
      <c r="I642" s="22" t="n"/>
      <c r="K642" s="22" t="n"/>
      <c r="O642" s="21" t="n"/>
      <c r="R642" s="21" t="n"/>
      <c r="S642" s="21" t="n"/>
      <c r="T642" s="21" t="n"/>
      <c r="U642" s="21" t="n"/>
    </row>
    <row r="643" ht="15.75" customHeight="1" s="237">
      <c r="A643" s="21" t="n"/>
      <c r="H643" s="21" t="n"/>
      <c r="I643" s="22" t="n"/>
      <c r="K643" s="22" t="n"/>
      <c r="O643" s="21" t="n"/>
      <c r="R643" s="21" t="n"/>
      <c r="S643" s="21" t="n"/>
      <c r="T643" s="21" t="n"/>
      <c r="U643" s="21" t="n"/>
    </row>
    <row r="644" ht="15.75" customHeight="1" s="237">
      <c r="A644" s="21" t="n"/>
      <c r="H644" s="21" t="n"/>
      <c r="I644" s="22" t="n"/>
      <c r="K644" s="22" t="n"/>
      <c r="O644" s="21" t="n"/>
      <c r="R644" s="21" t="n"/>
      <c r="S644" s="21" t="n"/>
      <c r="T644" s="21" t="n"/>
      <c r="U644" s="21" t="n"/>
    </row>
    <row r="645" ht="15.75" customHeight="1" s="237">
      <c r="A645" s="21" t="n"/>
      <c r="H645" s="21" t="n"/>
      <c r="I645" s="22" t="n"/>
      <c r="K645" s="22" t="n"/>
      <c r="O645" s="21" t="n"/>
      <c r="R645" s="21" t="n"/>
      <c r="S645" s="21" t="n"/>
      <c r="T645" s="21" t="n"/>
      <c r="U645" s="21" t="n"/>
    </row>
    <row r="646" ht="15.75" customHeight="1" s="237">
      <c r="A646" s="21" t="n"/>
      <c r="H646" s="21" t="n"/>
      <c r="I646" s="22" t="n"/>
      <c r="K646" s="22" t="n"/>
      <c r="O646" s="21" t="n"/>
      <c r="R646" s="21" t="n"/>
      <c r="S646" s="21" t="n"/>
      <c r="T646" s="21" t="n"/>
      <c r="U646" s="21" t="n"/>
    </row>
    <row r="647" ht="15.75" customHeight="1" s="237">
      <c r="A647" s="21" t="n"/>
      <c r="H647" s="21" t="n"/>
      <c r="I647" s="22" t="n"/>
      <c r="K647" s="22" t="n"/>
      <c r="O647" s="21" t="n"/>
      <c r="R647" s="21" t="n"/>
      <c r="S647" s="21" t="n"/>
      <c r="T647" s="21" t="n"/>
      <c r="U647" s="21" t="n"/>
    </row>
    <row r="648" ht="15.75" customHeight="1" s="237">
      <c r="A648" s="21" t="n"/>
      <c r="H648" s="21" t="n"/>
      <c r="I648" s="22" t="n"/>
      <c r="K648" s="22" t="n"/>
      <c r="O648" s="21" t="n"/>
      <c r="R648" s="21" t="n"/>
      <c r="S648" s="21" t="n"/>
      <c r="T648" s="21" t="n"/>
      <c r="U648" s="21" t="n"/>
    </row>
    <row r="649" ht="15.75" customHeight="1" s="237">
      <c r="A649" s="21" t="n"/>
      <c r="H649" s="21" t="n"/>
      <c r="I649" s="22" t="n"/>
      <c r="K649" s="22" t="n"/>
      <c r="O649" s="21" t="n"/>
      <c r="R649" s="21" t="n"/>
      <c r="S649" s="21" t="n"/>
      <c r="T649" s="21" t="n"/>
      <c r="U649" s="21" t="n"/>
    </row>
    <row r="650" ht="15.75" customHeight="1" s="237">
      <c r="A650" s="21" t="n"/>
      <c r="H650" s="21" t="n"/>
      <c r="I650" s="22" t="n"/>
      <c r="K650" s="22" t="n"/>
      <c r="O650" s="21" t="n"/>
      <c r="R650" s="21" t="n"/>
      <c r="S650" s="21" t="n"/>
      <c r="T650" s="21" t="n"/>
      <c r="U650" s="21" t="n"/>
    </row>
    <row r="651" ht="15.75" customHeight="1" s="237">
      <c r="A651" s="21" t="n"/>
      <c r="H651" s="21" t="n"/>
      <c r="I651" s="22" t="n"/>
      <c r="K651" s="22" t="n"/>
      <c r="O651" s="21" t="n"/>
      <c r="R651" s="21" t="n"/>
      <c r="S651" s="21" t="n"/>
      <c r="T651" s="21" t="n"/>
      <c r="U651" s="21" t="n"/>
    </row>
    <row r="652" ht="15.75" customHeight="1" s="237">
      <c r="A652" s="21" t="n"/>
      <c r="H652" s="21" t="n"/>
      <c r="I652" s="22" t="n"/>
      <c r="K652" s="22" t="n"/>
      <c r="O652" s="21" t="n"/>
      <c r="R652" s="21" t="n"/>
      <c r="S652" s="21" t="n"/>
      <c r="T652" s="21" t="n"/>
      <c r="U652" s="21" t="n"/>
    </row>
    <row r="653" ht="15.75" customHeight="1" s="237">
      <c r="A653" s="21" t="n"/>
      <c r="H653" s="21" t="n"/>
      <c r="I653" s="22" t="n"/>
      <c r="K653" s="22" t="n"/>
      <c r="O653" s="21" t="n"/>
      <c r="R653" s="21" t="n"/>
      <c r="S653" s="21" t="n"/>
      <c r="T653" s="21" t="n"/>
      <c r="U653" s="21" t="n"/>
    </row>
    <row r="654" ht="15.75" customHeight="1" s="237">
      <c r="A654" s="21" t="n"/>
      <c r="H654" s="21" t="n"/>
      <c r="I654" s="22" t="n"/>
      <c r="K654" s="22" t="n"/>
      <c r="O654" s="21" t="n"/>
      <c r="R654" s="21" t="n"/>
      <c r="S654" s="21" t="n"/>
      <c r="T654" s="21" t="n"/>
      <c r="U654" s="21" t="n"/>
    </row>
    <row r="655" ht="15.75" customHeight="1" s="237">
      <c r="A655" s="21" t="n"/>
      <c r="H655" s="21" t="n"/>
      <c r="I655" s="22" t="n"/>
      <c r="K655" s="22" t="n"/>
      <c r="O655" s="21" t="n"/>
      <c r="R655" s="21" t="n"/>
      <c r="S655" s="21" t="n"/>
      <c r="T655" s="21" t="n"/>
      <c r="U655" s="21" t="n"/>
    </row>
    <row r="656" ht="15.75" customHeight="1" s="237">
      <c r="A656" s="21" t="n"/>
      <c r="H656" s="21" t="n"/>
      <c r="I656" s="22" t="n"/>
      <c r="K656" s="22" t="n"/>
      <c r="O656" s="21" t="n"/>
      <c r="R656" s="21" t="n"/>
      <c r="S656" s="21" t="n"/>
      <c r="T656" s="21" t="n"/>
      <c r="U656" s="21" t="n"/>
    </row>
    <row r="657" ht="15.75" customHeight="1" s="237">
      <c r="A657" s="21" t="n"/>
      <c r="H657" s="21" t="n"/>
      <c r="I657" s="22" t="n"/>
      <c r="K657" s="22" t="n"/>
      <c r="O657" s="21" t="n"/>
      <c r="R657" s="21" t="n"/>
      <c r="S657" s="21" t="n"/>
      <c r="T657" s="21" t="n"/>
      <c r="U657" s="21" t="n"/>
    </row>
    <row r="658" ht="15.75" customHeight="1" s="237">
      <c r="A658" s="21" t="n"/>
      <c r="H658" s="21" t="n"/>
      <c r="I658" s="22" t="n"/>
      <c r="K658" s="22" t="n"/>
      <c r="O658" s="21" t="n"/>
      <c r="R658" s="21" t="n"/>
      <c r="S658" s="21" t="n"/>
      <c r="T658" s="21" t="n"/>
      <c r="U658" s="21" t="n"/>
    </row>
    <row r="659" ht="15.75" customHeight="1" s="237">
      <c r="A659" s="21" t="n"/>
      <c r="H659" s="21" t="n"/>
      <c r="I659" s="22" t="n"/>
      <c r="K659" s="22" t="n"/>
      <c r="O659" s="21" t="n"/>
      <c r="R659" s="21" t="n"/>
      <c r="S659" s="21" t="n"/>
      <c r="T659" s="21" t="n"/>
      <c r="U659" s="21" t="n"/>
    </row>
    <row r="660" ht="15.75" customHeight="1" s="237">
      <c r="A660" s="21" t="n"/>
      <c r="H660" s="21" t="n"/>
      <c r="I660" s="22" t="n"/>
      <c r="K660" s="22" t="n"/>
      <c r="O660" s="21" t="n"/>
      <c r="R660" s="21" t="n"/>
      <c r="S660" s="21" t="n"/>
      <c r="T660" s="21" t="n"/>
      <c r="U660" s="21" t="n"/>
    </row>
    <row r="661" ht="15.75" customHeight="1" s="237">
      <c r="A661" s="21" t="n"/>
      <c r="H661" s="21" t="n"/>
      <c r="I661" s="22" t="n"/>
      <c r="K661" s="22" t="n"/>
      <c r="O661" s="21" t="n"/>
      <c r="R661" s="21" t="n"/>
      <c r="S661" s="21" t="n"/>
      <c r="T661" s="21" t="n"/>
      <c r="U661" s="21" t="n"/>
    </row>
    <row r="662" ht="15.75" customHeight="1" s="237">
      <c r="A662" s="21" t="n"/>
      <c r="H662" s="21" t="n"/>
      <c r="I662" s="22" t="n"/>
      <c r="K662" s="22" t="n"/>
      <c r="O662" s="21" t="n"/>
      <c r="R662" s="21" t="n"/>
      <c r="S662" s="21" t="n"/>
      <c r="T662" s="21" t="n"/>
      <c r="U662" s="21" t="n"/>
    </row>
    <row r="663" ht="15.75" customHeight="1" s="237">
      <c r="A663" s="21" t="n"/>
      <c r="H663" s="21" t="n"/>
      <c r="I663" s="22" t="n"/>
      <c r="K663" s="22" t="n"/>
      <c r="O663" s="21" t="n"/>
      <c r="R663" s="21" t="n"/>
      <c r="S663" s="21" t="n"/>
      <c r="T663" s="21" t="n"/>
      <c r="U663" s="21" t="n"/>
    </row>
    <row r="664" ht="15.75" customHeight="1" s="237">
      <c r="A664" s="21" t="n"/>
      <c r="H664" s="21" t="n"/>
      <c r="I664" s="22" t="n"/>
      <c r="K664" s="22" t="n"/>
      <c r="O664" s="21" t="n"/>
      <c r="R664" s="21" t="n"/>
      <c r="S664" s="21" t="n"/>
      <c r="T664" s="21" t="n"/>
      <c r="U664" s="21" t="n"/>
    </row>
    <row r="665" ht="15.75" customHeight="1" s="237">
      <c r="A665" s="21" t="n"/>
      <c r="H665" s="21" t="n"/>
      <c r="I665" s="22" t="n"/>
      <c r="K665" s="22" t="n"/>
      <c r="O665" s="21" t="n"/>
      <c r="R665" s="21" t="n"/>
      <c r="S665" s="21" t="n"/>
      <c r="T665" s="21" t="n"/>
      <c r="U665" s="21" t="n"/>
    </row>
    <row r="666" ht="15.75" customHeight="1" s="237">
      <c r="A666" s="21" t="n"/>
      <c r="H666" s="21" t="n"/>
      <c r="I666" s="22" t="n"/>
      <c r="K666" s="22" t="n"/>
      <c r="O666" s="21" t="n"/>
      <c r="R666" s="21" t="n"/>
      <c r="S666" s="21" t="n"/>
      <c r="T666" s="21" t="n"/>
      <c r="U666" s="21" t="n"/>
    </row>
    <row r="667" ht="15.75" customHeight="1" s="237">
      <c r="A667" s="21" t="n"/>
      <c r="H667" s="21" t="n"/>
      <c r="I667" s="22" t="n"/>
      <c r="K667" s="22" t="n"/>
      <c r="O667" s="21" t="n"/>
      <c r="R667" s="21" t="n"/>
      <c r="S667" s="21" t="n"/>
      <c r="T667" s="21" t="n"/>
      <c r="U667" s="21" t="n"/>
    </row>
    <row r="668" ht="15.75" customHeight="1" s="237">
      <c r="A668" s="21" t="n"/>
      <c r="H668" s="21" t="n"/>
      <c r="I668" s="22" t="n"/>
      <c r="K668" s="22" t="n"/>
      <c r="O668" s="21" t="n"/>
      <c r="R668" s="21" t="n"/>
      <c r="S668" s="21" t="n"/>
      <c r="T668" s="21" t="n"/>
      <c r="U668" s="21" t="n"/>
    </row>
    <row r="669" ht="15.75" customHeight="1" s="237">
      <c r="A669" s="21" t="n"/>
      <c r="H669" s="21" t="n"/>
      <c r="I669" s="22" t="n"/>
      <c r="K669" s="22" t="n"/>
      <c r="O669" s="21" t="n"/>
      <c r="R669" s="21" t="n"/>
      <c r="S669" s="21" t="n"/>
      <c r="T669" s="21" t="n"/>
      <c r="U669" s="21" t="n"/>
    </row>
    <row r="670" ht="15.75" customHeight="1" s="237">
      <c r="A670" s="21" t="n"/>
      <c r="H670" s="21" t="n"/>
      <c r="I670" s="22" t="n"/>
      <c r="K670" s="22" t="n"/>
      <c r="O670" s="21" t="n"/>
      <c r="R670" s="21" t="n"/>
      <c r="S670" s="21" t="n"/>
      <c r="T670" s="21" t="n"/>
      <c r="U670" s="21" t="n"/>
    </row>
    <row r="671" ht="15.75" customHeight="1" s="237">
      <c r="A671" s="21" t="n"/>
      <c r="H671" s="21" t="n"/>
      <c r="I671" s="22" t="n"/>
      <c r="K671" s="22" t="n"/>
      <c r="O671" s="21" t="n"/>
      <c r="R671" s="21" t="n"/>
      <c r="S671" s="21" t="n"/>
      <c r="T671" s="21" t="n"/>
      <c r="U671" s="21" t="n"/>
    </row>
    <row r="672" ht="15.75" customHeight="1" s="237">
      <c r="A672" s="21" t="n"/>
      <c r="H672" s="21" t="n"/>
      <c r="I672" s="22" t="n"/>
      <c r="K672" s="22" t="n"/>
      <c r="O672" s="21" t="n"/>
      <c r="R672" s="21" t="n"/>
      <c r="S672" s="21" t="n"/>
      <c r="T672" s="21" t="n"/>
      <c r="U672" s="21" t="n"/>
    </row>
    <row r="673" ht="15.75" customHeight="1" s="237">
      <c r="A673" s="21" t="n"/>
      <c r="H673" s="21" t="n"/>
      <c r="I673" s="22" t="n"/>
      <c r="K673" s="22" t="n"/>
      <c r="O673" s="21" t="n"/>
      <c r="R673" s="21" t="n"/>
      <c r="S673" s="21" t="n"/>
      <c r="T673" s="21" t="n"/>
      <c r="U673" s="21" t="n"/>
    </row>
    <row r="674" ht="15.75" customHeight="1" s="237">
      <c r="A674" s="21" t="n"/>
      <c r="H674" s="21" t="n"/>
      <c r="I674" s="22" t="n"/>
      <c r="K674" s="22" t="n"/>
      <c r="O674" s="21" t="n"/>
      <c r="R674" s="21" t="n"/>
      <c r="S674" s="21" t="n"/>
      <c r="T674" s="21" t="n"/>
      <c r="U674" s="21" t="n"/>
    </row>
    <row r="675" ht="15.75" customHeight="1" s="237">
      <c r="A675" s="21" t="n"/>
      <c r="H675" s="21" t="n"/>
      <c r="I675" s="22" t="n"/>
      <c r="K675" s="22" t="n"/>
      <c r="O675" s="21" t="n"/>
      <c r="R675" s="21" t="n"/>
      <c r="S675" s="21" t="n"/>
      <c r="T675" s="21" t="n"/>
      <c r="U675" s="21" t="n"/>
    </row>
    <row r="676" ht="15.75" customHeight="1" s="237">
      <c r="A676" s="21" t="n"/>
      <c r="H676" s="21" t="n"/>
      <c r="I676" s="22" t="n"/>
      <c r="K676" s="22" t="n"/>
      <c r="O676" s="21" t="n"/>
      <c r="R676" s="21" t="n"/>
      <c r="S676" s="21" t="n"/>
      <c r="T676" s="21" t="n"/>
      <c r="U676" s="21" t="n"/>
    </row>
    <row r="677" ht="15.75" customHeight="1" s="237">
      <c r="A677" s="21" t="n"/>
      <c r="H677" s="21" t="n"/>
      <c r="I677" s="22" t="n"/>
      <c r="K677" s="22" t="n"/>
      <c r="O677" s="21" t="n"/>
      <c r="R677" s="21" t="n"/>
      <c r="S677" s="21" t="n"/>
      <c r="T677" s="21" t="n"/>
      <c r="U677" s="21" t="n"/>
    </row>
    <row r="678" ht="15.75" customHeight="1" s="237">
      <c r="A678" s="21" t="n"/>
      <c r="H678" s="21" t="n"/>
      <c r="I678" s="22" t="n"/>
      <c r="K678" s="22" t="n"/>
      <c r="O678" s="21" t="n"/>
      <c r="R678" s="21" t="n"/>
      <c r="S678" s="21" t="n"/>
      <c r="T678" s="21" t="n"/>
      <c r="U678" s="21" t="n"/>
    </row>
    <row r="679" ht="15.75" customHeight="1" s="237">
      <c r="A679" s="21" t="n"/>
      <c r="H679" s="21" t="n"/>
      <c r="I679" s="22" t="n"/>
      <c r="K679" s="22" t="n"/>
      <c r="O679" s="21" t="n"/>
      <c r="R679" s="21" t="n"/>
      <c r="S679" s="21" t="n"/>
      <c r="T679" s="21" t="n"/>
      <c r="U679" s="21" t="n"/>
    </row>
    <row r="680" ht="15.75" customHeight="1" s="237">
      <c r="A680" s="21" t="n"/>
      <c r="H680" s="21" t="n"/>
      <c r="I680" s="22" t="n"/>
      <c r="K680" s="22" t="n"/>
      <c r="O680" s="21" t="n"/>
      <c r="R680" s="21" t="n"/>
      <c r="S680" s="21" t="n"/>
      <c r="T680" s="21" t="n"/>
      <c r="U680" s="21" t="n"/>
    </row>
    <row r="681" ht="15.75" customHeight="1" s="237">
      <c r="A681" s="21" t="n"/>
      <c r="H681" s="21" t="n"/>
      <c r="I681" s="22" t="n"/>
      <c r="K681" s="22" t="n"/>
      <c r="O681" s="21" t="n"/>
      <c r="R681" s="21" t="n"/>
      <c r="S681" s="21" t="n"/>
      <c r="T681" s="21" t="n"/>
      <c r="U681" s="21" t="n"/>
    </row>
    <row r="682" ht="15.75" customHeight="1" s="237">
      <c r="A682" s="21" t="n"/>
      <c r="H682" s="21" t="n"/>
      <c r="I682" s="22" t="n"/>
      <c r="K682" s="22" t="n"/>
      <c r="O682" s="21" t="n"/>
      <c r="R682" s="21" t="n"/>
      <c r="S682" s="21" t="n"/>
      <c r="T682" s="21" t="n"/>
      <c r="U682" s="21" t="n"/>
    </row>
    <row r="683" ht="15.75" customHeight="1" s="237">
      <c r="A683" s="21" t="n"/>
      <c r="H683" s="21" t="n"/>
      <c r="I683" s="22" t="n"/>
      <c r="K683" s="22" t="n"/>
      <c r="O683" s="21" t="n"/>
      <c r="R683" s="21" t="n"/>
      <c r="S683" s="21" t="n"/>
      <c r="T683" s="21" t="n"/>
      <c r="U683" s="21" t="n"/>
    </row>
    <row r="684" ht="15.75" customHeight="1" s="237">
      <c r="A684" s="21" t="n"/>
      <c r="H684" s="21" t="n"/>
      <c r="I684" s="22" t="n"/>
      <c r="K684" s="22" t="n"/>
      <c r="O684" s="21" t="n"/>
      <c r="R684" s="21" t="n"/>
      <c r="S684" s="21" t="n"/>
      <c r="T684" s="21" t="n"/>
      <c r="U684" s="21" t="n"/>
    </row>
    <row r="685" ht="15.75" customHeight="1" s="237">
      <c r="A685" s="21" t="n"/>
      <c r="H685" s="21" t="n"/>
      <c r="I685" s="22" t="n"/>
      <c r="K685" s="22" t="n"/>
      <c r="O685" s="21" t="n"/>
      <c r="R685" s="21" t="n"/>
      <c r="S685" s="21" t="n"/>
      <c r="T685" s="21" t="n"/>
      <c r="U685" s="21" t="n"/>
    </row>
    <row r="686" ht="15.75" customHeight="1" s="237">
      <c r="A686" s="21" t="n"/>
      <c r="H686" s="21" t="n"/>
      <c r="I686" s="22" t="n"/>
      <c r="K686" s="22" t="n"/>
      <c r="O686" s="21" t="n"/>
      <c r="R686" s="21" t="n"/>
      <c r="S686" s="21" t="n"/>
      <c r="T686" s="21" t="n"/>
      <c r="U686" s="21" t="n"/>
    </row>
    <row r="687" ht="15.75" customHeight="1" s="237">
      <c r="A687" s="21" t="n"/>
      <c r="H687" s="21" t="n"/>
      <c r="I687" s="22" t="n"/>
      <c r="K687" s="22" t="n"/>
      <c r="O687" s="21" t="n"/>
      <c r="R687" s="21" t="n"/>
      <c r="S687" s="21" t="n"/>
      <c r="T687" s="21" t="n"/>
      <c r="U687" s="21" t="n"/>
    </row>
    <row r="688" ht="15.75" customHeight="1" s="237">
      <c r="A688" s="21" t="n"/>
      <c r="H688" s="21" t="n"/>
      <c r="I688" s="22" t="n"/>
      <c r="K688" s="22" t="n"/>
      <c r="O688" s="21" t="n"/>
      <c r="R688" s="21" t="n"/>
      <c r="S688" s="21" t="n"/>
      <c r="T688" s="21" t="n"/>
      <c r="U688" s="21" t="n"/>
    </row>
    <row r="689" ht="15.75" customHeight="1" s="237">
      <c r="A689" s="21" t="n"/>
      <c r="H689" s="21" t="n"/>
      <c r="I689" s="22" t="n"/>
      <c r="K689" s="22" t="n"/>
      <c r="O689" s="21" t="n"/>
      <c r="R689" s="21" t="n"/>
      <c r="S689" s="21" t="n"/>
      <c r="T689" s="21" t="n"/>
      <c r="U689" s="21" t="n"/>
    </row>
    <row r="690" ht="15.75" customHeight="1" s="237">
      <c r="A690" s="21" t="n"/>
      <c r="H690" s="21" t="n"/>
      <c r="I690" s="22" t="n"/>
      <c r="K690" s="22" t="n"/>
      <c r="O690" s="21" t="n"/>
      <c r="R690" s="21" t="n"/>
      <c r="S690" s="21" t="n"/>
      <c r="T690" s="21" t="n"/>
      <c r="U690" s="21" t="n"/>
    </row>
    <row r="691" ht="15.75" customHeight="1" s="237">
      <c r="A691" s="21" t="n"/>
      <c r="H691" s="21" t="n"/>
      <c r="I691" s="22" t="n"/>
      <c r="K691" s="22" t="n"/>
      <c r="O691" s="21" t="n"/>
      <c r="R691" s="21" t="n"/>
      <c r="S691" s="21" t="n"/>
      <c r="T691" s="21" t="n"/>
      <c r="U691" s="21" t="n"/>
    </row>
    <row r="692" ht="15.75" customHeight="1" s="237">
      <c r="A692" s="21" t="n"/>
      <c r="H692" s="21" t="n"/>
      <c r="I692" s="22" t="n"/>
      <c r="K692" s="22" t="n"/>
      <c r="O692" s="21" t="n"/>
      <c r="R692" s="21" t="n"/>
      <c r="S692" s="21" t="n"/>
      <c r="T692" s="21" t="n"/>
      <c r="U692" s="21" t="n"/>
    </row>
    <row r="693" ht="15.75" customHeight="1" s="237">
      <c r="A693" s="21" t="n"/>
      <c r="H693" s="21" t="n"/>
      <c r="I693" s="22" t="n"/>
      <c r="K693" s="22" t="n"/>
      <c r="O693" s="21" t="n"/>
      <c r="R693" s="21" t="n"/>
      <c r="S693" s="21" t="n"/>
      <c r="T693" s="21" t="n"/>
      <c r="U693" s="21" t="n"/>
    </row>
    <row r="694" ht="15.75" customHeight="1" s="237">
      <c r="A694" s="21" t="n"/>
      <c r="H694" s="21" t="n"/>
      <c r="I694" s="22" t="n"/>
      <c r="K694" s="22" t="n"/>
      <c r="O694" s="21" t="n"/>
      <c r="R694" s="21" t="n"/>
      <c r="S694" s="21" t="n"/>
      <c r="T694" s="21" t="n"/>
      <c r="U694" s="21" t="n"/>
    </row>
    <row r="695" ht="15.75" customHeight="1" s="237">
      <c r="A695" s="21" t="n"/>
      <c r="H695" s="21" t="n"/>
      <c r="I695" s="22" t="n"/>
      <c r="K695" s="22" t="n"/>
      <c r="O695" s="21" t="n"/>
      <c r="R695" s="21" t="n"/>
      <c r="S695" s="21" t="n"/>
      <c r="T695" s="21" t="n"/>
      <c r="U695" s="21" t="n"/>
    </row>
    <row r="696" ht="15.75" customHeight="1" s="237">
      <c r="A696" s="21" t="n"/>
      <c r="H696" s="21" t="n"/>
      <c r="I696" s="22" t="n"/>
      <c r="K696" s="22" t="n"/>
      <c r="O696" s="21" t="n"/>
      <c r="R696" s="21" t="n"/>
      <c r="S696" s="21" t="n"/>
      <c r="T696" s="21" t="n"/>
      <c r="U696" s="21" t="n"/>
    </row>
    <row r="697" ht="15.75" customHeight="1" s="237">
      <c r="A697" s="21" t="n"/>
      <c r="H697" s="21" t="n"/>
      <c r="I697" s="22" t="n"/>
      <c r="K697" s="22" t="n"/>
      <c r="O697" s="21" t="n"/>
      <c r="R697" s="21" t="n"/>
      <c r="S697" s="21" t="n"/>
      <c r="T697" s="21" t="n"/>
      <c r="U697" s="21" t="n"/>
    </row>
    <row r="698" ht="15.75" customHeight="1" s="237">
      <c r="A698" s="21" t="n"/>
      <c r="H698" s="21" t="n"/>
      <c r="I698" s="22" t="n"/>
      <c r="K698" s="22" t="n"/>
      <c r="O698" s="21" t="n"/>
      <c r="R698" s="21" t="n"/>
      <c r="S698" s="21" t="n"/>
      <c r="T698" s="21" t="n"/>
      <c r="U698" s="21" t="n"/>
    </row>
    <row r="699" ht="15.75" customHeight="1" s="237">
      <c r="A699" s="21" t="n"/>
      <c r="H699" s="21" t="n"/>
      <c r="I699" s="22" t="n"/>
      <c r="K699" s="22" t="n"/>
      <c r="O699" s="21" t="n"/>
      <c r="R699" s="21" t="n"/>
      <c r="S699" s="21" t="n"/>
      <c r="T699" s="21" t="n"/>
      <c r="U699" s="21" t="n"/>
    </row>
    <row r="700" ht="15.75" customHeight="1" s="237">
      <c r="A700" s="21" t="n"/>
      <c r="H700" s="21" t="n"/>
      <c r="I700" s="22" t="n"/>
      <c r="K700" s="22" t="n"/>
      <c r="O700" s="21" t="n"/>
      <c r="R700" s="21" t="n"/>
      <c r="S700" s="21" t="n"/>
      <c r="T700" s="21" t="n"/>
      <c r="U700" s="21" t="n"/>
    </row>
    <row r="701" ht="15.75" customHeight="1" s="237">
      <c r="A701" s="21" t="n"/>
      <c r="H701" s="21" t="n"/>
      <c r="I701" s="22" t="n"/>
      <c r="K701" s="22" t="n"/>
      <c r="O701" s="21" t="n"/>
      <c r="R701" s="21" t="n"/>
      <c r="S701" s="21" t="n"/>
      <c r="T701" s="21" t="n"/>
      <c r="U701" s="21" t="n"/>
    </row>
    <row r="702" ht="15.75" customHeight="1" s="237">
      <c r="A702" s="21" t="n"/>
      <c r="H702" s="21" t="n"/>
      <c r="I702" s="22" t="n"/>
      <c r="K702" s="22" t="n"/>
      <c r="O702" s="21" t="n"/>
      <c r="R702" s="21" t="n"/>
      <c r="S702" s="21" t="n"/>
      <c r="T702" s="21" t="n"/>
      <c r="U702" s="21" t="n"/>
    </row>
    <row r="703" ht="15.75" customHeight="1" s="237">
      <c r="A703" s="21" t="n"/>
      <c r="H703" s="21" t="n"/>
      <c r="I703" s="22" t="n"/>
      <c r="K703" s="22" t="n"/>
      <c r="O703" s="21" t="n"/>
      <c r="R703" s="21" t="n"/>
      <c r="S703" s="21" t="n"/>
      <c r="T703" s="21" t="n"/>
      <c r="U703" s="21" t="n"/>
    </row>
    <row r="704" ht="15.75" customHeight="1" s="237">
      <c r="A704" s="21" t="n"/>
      <c r="H704" s="21" t="n"/>
      <c r="I704" s="22" t="n"/>
      <c r="K704" s="22" t="n"/>
      <c r="O704" s="21" t="n"/>
      <c r="R704" s="21" t="n"/>
      <c r="S704" s="21" t="n"/>
      <c r="T704" s="21" t="n"/>
      <c r="U704" s="21" t="n"/>
    </row>
    <row r="705" ht="15.75" customHeight="1" s="237">
      <c r="A705" s="21" t="n"/>
      <c r="H705" s="21" t="n"/>
      <c r="I705" s="22" t="n"/>
      <c r="K705" s="22" t="n"/>
      <c r="O705" s="21" t="n"/>
      <c r="R705" s="21" t="n"/>
      <c r="S705" s="21" t="n"/>
      <c r="T705" s="21" t="n"/>
      <c r="U705" s="21" t="n"/>
    </row>
    <row r="706" ht="15.75" customHeight="1" s="237">
      <c r="A706" s="21" t="n"/>
      <c r="H706" s="21" t="n"/>
      <c r="I706" s="22" t="n"/>
      <c r="K706" s="22" t="n"/>
      <c r="O706" s="21" t="n"/>
      <c r="R706" s="21" t="n"/>
      <c r="S706" s="21" t="n"/>
      <c r="T706" s="21" t="n"/>
      <c r="U706" s="21" t="n"/>
    </row>
    <row r="707" ht="15.75" customHeight="1" s="237">
      <c r="A707" s="21" t="n"/>
      <c r="H707" s="21" t="n"/>
      <c r="I707" s="22" t="n"/>
      <c r="K707" s="22" t="n"/>
      <c r="O707" s="21" t="n"/>
      <c r="R707" s="21" t="n"/>
      <c r="S707" s="21" t="n"/>
      <c r="T707" s="21" t="n"/>
      <c r="U707" s="21" t="n"/>
    </row>
    <row r="708" ht="15.75" customHeight="1" s="237">
      <c r="A708" s="21" t="n"/>
      <c r="H708" s="21" t="n"/>
      <c r="I708" s="22" t="n"/>
      <c r="K708" s="22" t="n"/>
      <c r="O708" s="21" t="n"/>
      <c r="R708" s="21" t="n"/>
      <c r="S708" s="21" t="n"/>
      <c r="T708" s="21" t="n"/>
      <c r="U708" s="21" t="n"/>
    </row>
    <row r="709" ht="15.75" customHeight="1" s="237">
      <c r="A709" s="21" t="n"/>
      <c r="H709" s="21" t="n"/>
      <c r="I709" s="22" t="n"/>
      <c r="K709" s="22" t="n"/>
      <c r="O709" s="21" t="n"/>
      <c r="R709" s="21" t="n"/>
      <c r="S709" s="21" t="n"/>
      <c r="T709" s="21" t="n"/>
      <c r="U709" s="21" t="n"/>
    </row>
    <row r="710" ht="15.75" customHeight="1" s="237">
      <c r="A710" s="21" t="n"/>
      <c r="H710" s="21" t="n"/>
      <c r="I710" s="22" t="n"/>
      <c r="K710" s="22" t="n"/>
      <c r="O710" s="21" t="n"/>
      <c r="R710" s="21" t="n"/>
      <c r="S710" s="21" t="n"/>
      <c r="T710" s="21" t="n"/>
      <c r="U710" s="21" t="n"/>
    </row>
    <row r="711" ht="15.75" customHeight="1" s="237">
      <c r="A711" s="21" t="n"/>
      <c r="H711" s="21" t="n"/>
      <c r="I711" s="22" t="n"/>
      <c r="K711" s="22" t="n"/>
      <c r="O711" s="21" t="n"/>
      <c r="R711" s="21" t="n"/>
      <c r="S711" s="21" t="n"/>
      <c r="T711" s="21" t="n"/>
      <c r="U711" s="21" t="n"/>
    </row>
    <row r="712" ht="15.75" customHeight="1" s="237">
      <c r="A712" s="21" t="n"/>
      <c r="H712" s="21" t="n"/>
      <c r="I712" s="22" t="n"/>
      <c r="K712" s="22" t="n"/>
      <c r="O712" s="21" t="n"/>
      <c r="R712" s="21" t="n"/>
      <c r="S712" s="21" t="n"/>
      <c r="T712" s="21" t="n"/>
      <c r="U712" s="21" t="n"/>
    </row>
    <row r="713" ht="15.75" customHeight="1" s="237">
      <c r="A713" s="21" t="n"/>
      <c r="H713" s="21" t="n"/>
      <c r="I713" s="22" t="n"/>
      <c r="K713" s="22" t="n"/>
      <c r="O713" s="21" t="n"/>
      <c r="R713" s="21" t="n"/>
      <c r="S713" s="21" t="n"/>
      <c r="T713" s="21" t="n"/>
      <c r="U713" s="21" t="n"/>
    </row>
    <row r="714" ht="15.75" customHeight="1" s="237">
      <c r="A714" s="21" t="n"/>
      <c r="H714" s="21" t="n"/>
      <c r="I714" s="22" t="n"/>
      <c r="K714" s="22" t="n"/>
      <c r="O714" s="21" t="n"/>
      <c r="R714" s="21" t="n"/>
      <c r="S714" s="21" t="n"/>
      <c r="T714" s="21" t="n"/>
      <c r="U714" s="21" t="n"/>
    </row>
    <row r="715" ht="15.75" customHeight="1" s="237">
      <c r="A715" s="21" t="n"/>
      <c r="H715" s="21" t="n"/>
      <c r="I715" s="22" t="n"/>
      <c r="K715" s="22" t="n"/>
      <c r="O715" s="21" t="n"/>
      <c r="R715" s="21" t="n"/>
      <c r="S715" s="21" t="n"/>
      <c r="T715" s="21" t="n"/>
      <c r="U715" s="21" t="n"/>
    </row>
    <row r="716" ht="15.75" customHeight="1" s="237">
      <c r="A716" s="21" t="n"/>
      <c r="H716" s="21" t="n"/>
      <c r="I716" s="22" t="n"/>
      <c r="K716" s="22" t="n"/>
      <c r="O716" s="21" t="n"/>
      <c r="R716" s="21" t="n"/>
      <c r="S716" s="21" t="n"/>
      <c r="T716" s="21" t="n"/>
      <c r="U716" s="21" t="n"/>
    </row>
    <row r="717" ht="15.75" customHeight="1" s="237">
      <c r="A717" s="21" t="n"/>
      <c r="H717" s="21" t="n"/>
      <c r="I717" s="22" t="n"/>
      <c r="K717" s="22" t="n"/>
      <c r="O717" s="21" t="n"/>
      <c r="R717" s="21" t="n"/>
      <c r="S717" s="21" t="n"/>
      <c r="T717" s="21" t="n"/>
      <c r="U717" s="21" t="n"/>
    </row>
    <row r="718" ht="15.75" customHeight="1" s="237">
      <c r="A718" s="21" t="n"/>
      <c r="H718" s="21" t="n"/>
      <c r="I718" s="22" t="n"/>
      <c r="K718" s="22" t="n"/>
      <c r="O718" s="21" t="n"/>
      <c r="R718" s="21" t="n"/>
      <c r="S718" s="21" t="n"/>
      <c r="T718" s="21" t="n"/>
      <c r="U718" s="21" t="n"/>
    </row>
    <row r="719" ht="15.75" customHeight="1" s="237">
      <c r="A719" s="21" t="n"/>
      <c r="H719" s="21" t="n"/>
      <c r="I719" s="22" t="n"/>
      <c r="K719" s="22" t="n"/>
      <c r="O719" s="21" t="n"/>
      <c r="R719" s="21" t="n"/>
      <c r="S719" s="21" t="n"/>
      <c r="T719" s="21" t="n"/>
      <c r="U719" s="21" t="n"/>
    </row>
    <row r="720" ht="15.75" customHeight="1" s="237">
      <c r="A720" s="21" t="n"/>
      <c r="H720" s="21" t="n"/>
      <c r="I720" s="22" t="n"/>
      <c r="K720" s="22" t="n"/>
      <c r="O720" s="21" t="n"/>
      <c r="R720" s="21" t="n"/>
      <c r="S720" s="21" t="n"/>
      <c r="T720" s="21" t="n"/>
      <c r="U720" s="21" t="n"/>
    </row>
    <row r="721" ht="15.75" customHeight="1" s="237">
      <c r="A721" s="21" t="n"/>
      <c r="H721" s="21" t="n"/>
      <c r="I721" s="22" t="n"/>
      <c r="K721" s="22" t="n"/>
      <c r="O721" s="21" t="n"/>
      <c r="R721" s="21" t="n"/>
      <c r="S721" s="21" t="n"/>
      <c r="T721" s="21" t="n"/>
      <c r="U721" s="21" t="n"/>
    </row>
    <row r="722" ht="15.75" customHeight="1" s="237">
      <c r="A722" s="21" t="n"/>
      <c r="H722" s="21" t="n"/>
      <c r="I722" s="22" t="n"/>
      <c r="K722" s="22" t="n"/>
      <c r="O722" s="21" t="n"/>
      <c r="R722" s="21" t="n"/>
      <c r="S722" s="21" t="n"/>
      <c r="T722" s="21" t="n"/>
      <c r="U722" s="21" t="n"/>
    </row>
    <row r="723" ht="15.75" customHeight="1" s="237">
      <c r="A723" s="21" t="n"/>
      <c r="H723" s="21" t="n"/>
      <c r="I723" s="22" t="n"/>
      <c r="K723" s="22" t="n"/>
      <c r="O723" s="21" t="n"/>
      <c r="R723" s="21" t="n"/>
      <c r="S723" s="21" t="n"/>
      <c r="T723" s="21" t="n"/>
      <c r="U723" s="21" t="n"/>
    </row>
    <row r="724" ht="15.75" customHeight="1" s="237">
      <c r="A724" s="21" t="n"/>
      <c r="H724" s="21" t="n"/>
      <c r="I724" s="22" t="n"/>
      <c r="K724" s="22" t="n"/>
      <c r="O724" s="21" t="n"/>
      <c r="R724" s="21" t="n"/>
      <c r="S724" s="21" t="n"/>
      <c r="T724" s="21" t="n"/>
      <c r="U724" s="21" t="n"/>
    </row>
    <row r="725" ht="15.75" customHeight="1" s="237">
      <c r="A725" s="21" t="n"/>
      <c r="H725" s="21" t="n"/>
      <c r="I725" s="22" t="n"/>
      <c r="K725" s="22" t="n"/>
      <c r="O725" s="21" t="n"/>
      <c r="R725" s="21" t="n"/>
      <c r="S725" s="21" t="n"/>
      <c r="T725" s="21" t="n"/>
      <c r="U725" s="21" t="n"/>
    </row>
    <row r="726" ht="15.75" customHeight="1" s="237">
      <c r="A726" s="21" t="n"/>
      <c r="H726" s="21" t="n"/>
      <c r="I726" s="22" t="n"/>
      <c r="K726" s="22" t="n"/>
      <c r="O726" s="21" t="n"/>
      <c r="R726" s="21" t="n"/>
      <c r="S726" s="21" t="n"/>
      <c r="T726" s="21" t="n"/>
      <c r="U726" s="21" t="n"/>
    </row>
    <row r="727" ht="15.75" customHeight="1" s="237">
      <c r="A727" s="21" t="n"/>
      <c r="H727" s="21" t="n"/>
      <c r="I727" s="22" t="n"/>
      <c r="K727" s="22" t="n"/>
      <c r="O727" s="21" t="n"/>
      <c r="R727" s="21" t="n"/>
      <c r="S727" s="21" t="n"/>
      <c r="T727" s="21" t="n"/>
      <c r="U727" s="21" t="n"/>
    </row>
    <row r="728" ht="15.75" customHeight="1" s="237">
      <c r="A728" s="21" t="n"/>
      <c r="H728" s="21" t="n"/>
      <c r="I728" s="22" t="n"/>
      <c r="K728" s="22" t="n"/>
      <c r="O728" s="21" t="n"/>
      <c r="R728" s="21" t="n"/>
      <c r="S728" s="21" t="n"/>
      <c r="T728" s="21" t="n"/>
      <c r="U728" s="21" t="n"/>
    </row>
    <row r="729" ht="15.75" customHeight="1" s="237">
      <c r="A729" s="21" t="n"/>
      <c r="I729" s="22" t="n"/>
      <c r="K729" s="22" t="n"/>
      <c r="R729" s="21" t="n"/>
      <c r="S729" s="21" t="n"/>
      <c r="T729" s="21" t="n"/>
      <c r="U729" s="21" t="n"/>
    </row>
    <row r="730" ht="15.75" customHeight="1" s="237">
      <c r="A730" s="21" t="n"/>
      <c r="I730" s="22" t="n"/>
      <c r="K730" s="22" t="n"/>
      <c r="R730" s="21" t="n"/>
      <c r="S730" s="21" t="n"/>
      <c r="T730" s="21" t="n"/>
      <c r="U730" s="21" t="n"/>
    </row>
    <row r="731" ht="15.75" customHeight="1" s="237">
      <c r="A731" s="21" t="n"/>
      <c r="I731" s="22" t="n"/>
      <c r="K731" s="22" t="n"/>
      <c r="R731" s="21" t="n"/>
      <c r="S731" s="21" t="n"/>
      <c r="T731" s="21" t="n"/>
      <c r="U731" s="21" t="n"/>
    </row>
    <row r="732" ht="15.75" customHeight="1" s="237">
      <c r="A732" s="21" t="n"/>
      <c r="I732" s="22" t="n"/>
      <c r="K732" s="22" t="n"/>
      <c r="R732" s="21" t="n"/>
      <c r="S732" s="21" t="n"/>
      <c r="T732" s="21" t="n"/>
      <c r="U732" s="21" t="n"/>
    </row>
    <row r="733" ht="15.75" customHeight="1" s="237">
      <c r="A733" s="21" t="n"/>
      <c r="I733" s="22" t="n"/>
      <c r="K733" s="22" t="n"/>
      <c r="R733" s="21" t="n"/>
      <c r="S733" s="21" t="n"/>
      <c r="T733" s="21" t="n"/>
      <c r="U733" s="21" t="n"/>
    </row>
    <row r="734" ht="15.75" customHeight="1" s="237">
      <c r="A734" s="21" t="n"/>
      <c r="I734" s="22" t="n"/>
      <c r="K734" s="22" t="n"/>
      <c r="R734" s="21" t="n"/>
      <c r="S734" s="21" t="n"/>
      <c r="T734" s="21" t="n"/>
      <c r="U734" s="21" t="n"/>
    </row>
    <row r="735" ht="15.75" customHeight="1" s="237">
      <c r="A735" s="21" t="n"/>
      <c r="I735" s="22" t="n"/>
      <c r="K735" s="22" t="n"/>
      <c r="R735" s="21" t="n"/>
      <c r="S735" s="21" t="n"/>
      <c r="T735" s="21" t="n"/>
      <c r="U735" s="21" t="n"/>
    </row>
    <row r="736" ht="15" customHeight="1" s="237">
      <c r="A736" s="21" t="n"/>
      <c r="I736" s="22" t="n"/>
      <c r="K736" s="22" t="n"/>
      <c r="R736" s="21" t="n"/>
      <c r="S736" s="21" t="n"/>
      <c r="T736" s="21" t="n"/>
      <c r="U736" s="21" t="n"/>
    </row>
    <row r="737" ht="15" customHeight="1" s="237">
      <c r="A737" s="21" t="n"/>
      <c r="I737" s="22" t="n"/>
      <c r="K737" s="22" t="n"/>
      <c r="R737" s="21" t="n"/>
      <c r="S737" s="21" t="n"/>
      <c r="T737" s="21" t="n"/>
      <c r="U737" s="21" t="n"/>
    </row>
    <row r="738" ht="15" customHeight="1" s="237">
      <c r="A738" s="21" t="n"/>
      <c r="I738" s="22" t="n"/>
      <c r="K738" s="22" t="n"/>
      <c r="R738" s="21" t="n"/>
      <c r="S738" s="21" t="n"/>
      <c r="T738" s="21" t="n"/>
      <c r="U738" s="21" t="n"/>
    </row>
    <row r="739" ht="15" customHeight="1" s="237">
      <c r="A739" s="21" t="n"/>
      <c r="I739" s="22" t="n"/>
      <c r="K739" s="22" t="n"/>
      <c r="R739" s="21" t="n"/>
      <c r="S739" s="21" t="n"/>
      <c r="T739" s="21" t="n"/>
      <c r="U739" s="21" t="n"/>
    </row>
    <row r="740" ht="15" customHeight="1" s="237">
      <c r="A740" s="21" t="n"/>
      <c r="I740" s="22" t="n"/>
      <c r="K740" s="22" t="n"/>
      <c r="R740" s="21" t="n"/>
      <c r="S740" s="21" t="n"/>
      <c r="T740" s="21" t="n"/>
      <c r="U740" s="21" t="n"/>
    </row>
    <row r="741" ht="15" customHeight="1" s="237">
      <c r="A741" s="21" t="n"/>
      <c r="I741" s="22" t="n"/>
      <c r="K741" s="22" t="n"/>
      <c r="R741" s="21" t="n"/>
      <c r="S741" s="21" t="n"/>
      <c r="T741" s="21" t="n"/>
      <c r="U741" s="21" t="n"/>
    </row>
    <row r="742" ht="15" customHeight="1" s="237">
      <c r="A742" s="21" t="n"/>
      <c r="I742" s="22" t="n"/>
      <c r="K742" s="22" t="n"/>
      <c r="R742" s="21" t="n"/>
      <c r="S742" s="21" t="n"/>
      <c r="T742" s="21" t="n"/>
      <c r="U742" s="21" t="n"/>
    </row>
    <row r="743" ht="15" customHeight="1" s="237">
      <c r="A743" s="21" t="n"/>
      <c r="I743" s="22" t="n"/>
      <c r="K743" s="22" t="n"/>
      <c r="R743" s="21" t="n"/>
      <c r="S743" s="21" t="n"/>
      <c r="T743" s="21" t="n"/>
      <c r="U743" s="21" t="n"/>
    </row>
    <row r="744" ht="15" customHeight="1" s="237">
      <c r="A744" s="21" t="n"/>
      <c r="I744" s="22" t="n"/>
      <c r="K744" s="22" t="n"/>
      <c r="R744" s="21" t="n"/>
      <c r="S744" s="21" t="n"/>
      <c r="T744" s="21" t="n"/>
      <c r="U744" s="21" t="n"/>
    </row>
    <row r="745" ht="15" customHeight="1" s="237">
      <c r="A745" s="21" t="n"/>
      <c r="I745" s="22" t="n"/>
      <c r="K745" s="22" t="n"/>
      <c r="R745" s="21" t="n"/>
      <c r="S745" s="21" t="n"/>
      <c r="T745" s="21" t="n"/>
      <c r="U745" s="21" t="n"/>
    </row>
    <row r="746" ht="15" customHeight="1" s="237">
      <c r="A746" s="21" t="n"/>
      <c r="I746" s="22" t="n"/>
      <c r="K746" s="22" t="n"/>
      <c r="R746" s="21" t="n"/>
      <c r="S746" s="21" t="n"/>
      <c r="T746" s="21" t="n"/>
      <c r="U746" s="21" t="n"/>
    </row>
    <row r="747" ht="15" customHeight="1" s="237">
      <c r="A747" s="21" t="n"/>
      <c r="I747" s="22" t="n"/>
      <c r="K747" s="22" t="n"/>
      <c r="R747" s="21" t="n"/>
      <c r="S747" s="21" t="n"/>
      <c r="T747" s="21" t="n"/>
      <c r="U747" s="21" t="n"/>
    </row>
    <row r="748" ht="15" customHeight="1" s="237">
      <c r="A748" s="21" t="n"/>
      <c r="I748" s="22" t="n"/>
      <c r="K748" s="22" t="n"/>
      <c r="R748" s="21" t="n"/>
      <c r="S748" s="21" t="n"/>
      <c r="T748" s="21" t="n"/>
      <c r="U748" s="21" t="n"/>
    </row>
    <row r="749" ht="15" customHeight="1" s="237">
      <c r="A749" s="21" t="n"/>
      <c r="I749" s="22" t="n"/>
      <c r="K749" s="22" t="n"/>
      <c r="R749" s="21" t="n"/>
      <c r="S749" s="21" t="n"/>
      <c r="T749" s="21" t="n"/>
      <c r="U749" s="21" t="n"/>
    </row>
    <row r="750" ht="15" customHeight="1" s="237">
      <c r="A750" s="21" t="n"/>
      <c r="I750" s="22" t="n"/>
      <c r="K750" s="22" t="n"/>
      <c r="R750" s="21" t="n"/>
      <c r="S750" s="21" t="n"/>
      <c r="T750" s="21" t="n"/>
      <c r="U750" s="21" t="n"/>
    </row>
    <row r="751" ht="15" customHeight="1" s="237">
      <c r="A751" s="21" t="n"/>
      <c r="I751" s="22" t="n"/>
      <c r="K751" s="22" t="n"/>
      <c r="R751" s="21" t="n"/>
      <c r="S751" s="21" t="n"/>
      <c r="T751" s="21" t="n"/>
      <c r="U751" s="21" t="n"/>
    </row>
    <row r="752" ht="15" customHeight="1" s="237">
      <c r="A752" s="21" t="n"/>
      <c r="I752" s="22" t="n"/>
      <c r="K752" s="22" t="n"/>
      <c r="R752" s="21" t="n"/>
      <c r="S752" s="21" t="n"/>
      <c r="T752" s="21" t="n"/>
      <c r="U752" s="21" t="n"/>
    </row>
    <row r="753" ht="15" customHeight="1" s="237">
      <c r="A753" s="21" t="n"/>
      <c r="I753" s="22" t="n"/>
      <c r="K753" s="22" t="n"/>
      <c r="R753" s="21" t="n"/>
      <c r="S753" s="21" t="n"/>
      <c r="T753" s="21" t="n"/>
      <c r="U753" s="21" t="n"/>
    </row>
    <row r="754" ht="15" customHeight="1" s="237">
      <c r="A754" s="21" t="n"/>
      <c r="I754" s="22" t="n"/>
      <c r="K754" s="22" t="n"/>
      <c r="R754" s="21" t="n"/>
      <c r="S754" s="21" t="n"/>
      <c r="T754" s="21" t="n"/>
      <c r="U754" s="21" t="n"/>
    </row>
    <row r="755" ht="15" customHeight="1" s="237">
      <c r="A755" s="21" t="n"/>
      <c r="I755" s="22" t="n"/>
      <c r="K755" s="22" t="n"/>
      <c r="R755" s="21" t="n"/>
      <c r="S755" s="21" t="n"/>
      <c r="T755" s="21" t="n"/>
      <c r="U755" s="21" t="n"/>
    </row>
  </sheetData>
  <conditionalFormatting sqref="O1048222:Q1048460">
    <cfRule type="expression" priority="22" dxfId="65">
      <formula>$O14643:$O1048222="Not on record"</formula>
    </cfRule>
    <cfRule type="expression" priority="23" dxfId="65">
      <formula>$Q14643:$Q1048222="Expired"</formula>
    </cfRule>
    <cfRule type="expression" priority="24" dxfId="64">
      <formula>AND($O1048222="On record", $Q1048222="")</formula>
    </cfRule>
  </conditionalFormatting>
  <conditionalFormatting sqref="O1048541:Q1048576">
    <cfRule type="expression" priority="3640" dxfId="65">
      <formula>$O45:$O14962="Not on record"</formula>
    </cfRule>
    <cfRule type="expression" priority="3641" dxfId="65">
      <formula>$Q45:$Q14962="Expired"</formula>
    </cfRule>
    <cfRule type="expression" priority="3642" dxfId="64">
      <formula>AND($O1048541="On record", $Q1048541="")</formula>
    </cfRule>
  </conditionalFormatting>
  <conditionalFormatting sqref="O1033349:Q1048221">
    <cfRule type="expression" priority="4543" dxfId="65">
      <formula>$O5:$O1033349="Not on record"</formula>
    </cfRule>
    <cfRule type="expression" priority="4544" dxfId="65">
      <formula>$Q5:$Q1033349="Expired"</formula>
    </cfRule>
    <cfRule type="expression" priority="4545" dxfId="64">
      <formula>AND($O1033349="On record", $Q1033349="")</formula>
    </cfRule>
  </conditionalFormatting>
  <conditionalFormatting sqref="O1048462:Q1048540">
    <cfRule type="expression" priority="4555" dxfId="65">
      <formula>$O1:$O14883="Not on record"</formula>
    </cfRule>
    <cfRule type="expression" priority="4556" dxfId="65">
      <formula>$Q1:$Q14883="Expired"</formula>
    </cfRule>
    <cfRule type="expression" priority="4557" dxfId="64">
      <formula>AND($O1048462="On record", $Q1048462="")</formula>
    </cfRule>
  </conditionalFormatting>
  <conditionalFormatting sqref="O1048461:Q1048461">
    <cfRule type="expression" priority="4558" dxfId="65">
      <formula>$O14882:$O1048576="Not on record"</formula>
    </cfRule>
    <cfRule type="expression" priority="4559" dxfId="65">
      <formula>$Q14882:$Q1048576="Expired"</formula>
    </cfRule>
    <cfRule type="expression" priority="4560" dxfId="64">
      <formula>AND($O1048461="On record", $Q1048461="")</formula>
    </cfRule>
  </conditionalFormatting>
  <conditionalFormatting sqref="O1033348:Q1033348">
    <cfRule type="expression" priority="4561" dxfId="65">
      <formula>$O5:$O1033348="Not on record"</formula>
    </cfRule>
    <cfRule type="expression" priority="4562" dxfId="65">
      <formula>$Q5:$Q1033348="Expired"</formula>
    </cfRule>
    <cfRule type="expression" priority="4563" dxfId="64">
      <formula>AND($O1033348="On record", $Q1033348="")</formula>
    </cfRule>
  </conditionalFormatting>
  <dataValidations count="1">
    <dataValidation sqref="H5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2">
    <outlinePr summaryBelow="1" summaryRight="1"/>
    <pageSetUpPr fitToPage="1"/>
  </sheetPr>
  <dimension ref="A1:U976"/>
  <sheetViews>
    <sheetView tabSelected="1"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F15" sqref="F15"/>
    </sheetView>
  </sheetViews>
  <sheetFormatPr baseColWidth="8" defaultColWidth="9.140625" defaultRowHeight="16.5"/>
  <cols>
    <col width="13.28515625" customWidth="1" style="293" min="1" max="1"/>
    <col width="24.28515625" bestFit="1" customWidth="1" style="53" min="2" max="2"/>
    <col width="30.7109375" customWidth="1" style="58" min="3" max="3"/>
    <col width="30.7109375" customWidth="1" style="109" min="4" max="4"/>
    <col width="22.7109375" customWidth="1" style="53" min="5" max="5"/>
    <col width="26.28515625" bestFit="1" customWidth="1" style="53" min="6" max="6"/>
    <col width="22.7109375" bestFit="1" customWidth="1" style="53" min="7" max="7"/>
    <col width="20.5703125" customWidth="1" style="53" min="8" max="9"/>
    <col width="18" bestFit="1" customWidth="1" style="50" min="10" max="10"/>
    <col width="19.140625" customWidth="1" style="50" min="11" max="14"/>
    <col width="16.7109375" bestFit="1" customWidth="1" style="50" min="15" max="15"/>
    <col width="17.7109375" bestFit="1" customWidth="1" style="50" min="16" max="19"/>
    <col width="25.28515625" bestFit="1" customWidth="1" style="50" min="20" max="20"/>
    <col width="25.7109375" bestFit="1" customWidth="1" style="50" min="21" max="21"/>
    <col width="9.140625" customWidth="1" style="50" min="22" max="16384"/>
  </cols>
  <sheetData>
    <row r="1">
      <c r="A1" s="51" t="n"/>
      <c r="B1" s="50" t="n"/>
      <c r="C1" s="50" t="n"/>
      <c r="D1" s="50" t="n"/>
    </row>
    <row r="2">
      <c r="A2" s="51" t="n"/>
      <c r="B2" s="50" t="n"/>
      <c r="C2" s="50" t="n"/>
      <c r="D2" s="50" t="n"/>
    </row>
    <row r="3">
      <c r="A3" s="51" t="n"/>
      <c r="B3" s="50" t="n"/>
      <c r="C3" s="50" t="n"/>
      <c r="D3" s="50" t="n"/>
    </row>
    <row r="4">
      <c r="A4" s="51" t="n"/>
      <c r="B4" s="50" t="n"/>
      <c r="C4" s="50" t="n"/>
      <c r="D4" s="50" t="n"/>
    </row>
    <row r="5">
      <c r="A5" s="54" t="n"/>
      <c r="B5" s="55" t="n"/>
      <c r="C5" s="294" t="inlineStr">
        <is>
          <t>Automatically Populated</t>
        </is>
      </c>
      <c r="D5" s="295" t="n"/>
      <c r="E5" s="108" t="n"/>
      <c r="F5" s="108" t="n"/>
      <c r="G5" s="108" t="n"/>
      <c r="H5" s="108" t="n"/>
      <c r="I5" s="108" t="n"/>
      <c r="J5" s="55" t="n"/>
      <c r="K5" s="55" t="n"/>
      <c r="L5" s="55" t="n"/>
      <c r="M5" s="55" t="n"/>
      <c r="N5" s="55" t="n"/>
      <c r="O5" s="294" t="inlineStr">
        <is>
          <t>Automatically Populated</t>
        </is>
      </c>
      <c r="P5" s="296" t="n"/>
      <c r="Q5" s="296" t="n"/>
      <c r="R5" s="296" t="n"/>
      <c r="S5" s="296" t="n"/>
      <c r="T5" s="296" t="n"/>
      <c r="U5" s="295" t="n"/>
    </row>
    <row r="6" customFormat="1" s="106">
      <c r="A6" s="56" t="inlineStr">
        <is>
          <t>Date</t>
        </is>
      </c>
      <c r="B6" s="56" t="inlineStr">
        <is>
          <t>Client</t>
        </is>
      </c>
      <c r="C6" s="56" t="inlineStr">
        <is>
          <t>Base</t>
        </is>
      </c>
      <c r="D6" s="56" t="inlineStr">
        <is>
          <t>Home Address</t>
        </is>
      </c>
      <c r="E6" s="56" t="inlineStr">
        <is>
          <t>Destination</t>
        </is>
      </c>
      <c r="F6" s="56" t="inlineStr">
        <is>
          <t>Destination 2</t>
        </is>
      </c>
      <c r="G6" s="56" t="inlineStr">
        <is>
          <t>Destination 3</t>
        </is>
      </c>
      <c r="H6" s="56" t="inlineStr">
        <is>
          <t>Destination 4</t>
        </is>
      </c>
      <c r="I6" s="56" t="inlineStr">
        <is>
          <t>Destination 5</t>
        </is>
      </c>
      <c r="J6" s="56" t="inlineStr">
        <is>
          <t xml:space="preserve">Wait Time </t>
        </is>
      </c>
      <c r="K6" s="56" t="inlineStr">
        <is>
          <t>Wait Time 2</t>
        </is>
      </c>
      <c r="L6" s="56" t="inlineStr">
        <is>
          <t>Wait Time 3</t>
        </is>
      </c>
      <c r="M6" s="56" t="inlineStr">
        <is>
          <t>Wait Time 4</t>
        </is>
      </c>
      <c r="N6" s="56" t="inlineStr">
        <is>
          <t>Wait Time 5</t>
        </is>
      </c>
      <c r="O6" s="56" t="inlineStr">
        <is>
          <t xml:space="preserve">Mileage </t>
        </is>
      </c>
      <c r="P6" s="56" t="inlineStr">
        <is>
          <t>Mileage 2</t>
        </is>
      </c>
      <c r="Q6" s="56" t="inlineStr">
        <is>
          <t>Mileage 3</t>
        </is>
      </c>
      <c r="R6" s="56" t="inlineStr">
        <is>
          <t>Mileage 4</t>
        </is>
      </c>
      <c r="S6" s="56" t="inlineStr">
        <is>
          <t>Mileage 5</t>
        </is>
      </c>
      <c r="T6" s="56" t="inlineStr">
        <is>
          <t>Unloaded Pickup</t>
        </is>
      </c>
      <c r="U6" s="56" t="inlineStr">
        <is>
          <t>Unloaded Dropoff</t>
        </is>
      </c>
    </row>
    <row r="7" ht="33" customFormat="1" customHeight="1" s="106">
      <c r="A7" s="174" t="inlineStr">
        <is>
          <t>03/10/2025</t>
        </is>
      </c>
      <c r="B7" s="52" t="inlineStr">
        <is>
          <t>Arron Kimbrough</t>
        </is>
      </c>
      <c r="C7" s="107">
        <f>IF(B7="", "", VLOOKUP(B7, 'CLIENT DATA'!A:S, 19, FALSE))</f>
        <v/>
      </c>
      <c r="D7" s="107">
        <f t="array" ref="D7">IF(B7="", "", _xlfn.TEXTJOIN(", ", TRUE, IF('CLIENT DATA'!$A$2:$A$205=B7, 'CLIENT DATA'!$C$2:$F$205, "")))</f>
        <v/>
      </c>
      <c r="E7" s="52" t="inlineStr">
        <is>
          <t>66 Litchfield St, Boston MA 02135</t>
        </is>
      </c>
      <c r="F7" s="52" t="n"/>
      <c r="G7" s="52" t="n"/>
      <c r="H7" s="52" t="n"/>
      <c r="I7" s="52" t="n"/>
      <c r="J7" s="59" t="inlineStr">
        <is>
          <t>2 Unit</t>
        </is>
      </c>
      <c r="K7" s="59" t="n"/>
      <c r="L7" s="59" t="n"/>
      <c r="M7" s="59" t="n"/>
      <c r="N7" s="59" t="n"/>
      <c r="O7" s="297" t="n"/>
      <c r="P7" s="297" t="n"/>
      <c r="Q7" s="297" t="n"/>
      <c r="R7" s="297" t="n"/>
      <c r="S7" s="297" t="n"/>
      <c r="T7" s="297" t="n"/>
      <c r="U7" s="297" t="n"/>
    </row>
    <row r="8" ht="33" customFormat="1" customHeight="1" s="106">
      <c r="A8" s="174" t="inlineStr">
        <is>
          <t>03/10/2025</t>
        </is>
      </c>
      <c r="B8" s="52" t="inlineStr">
        <is>
          <t>Dequanta Branner</t>
        </is>
      </c>
      <c r="C8" s="107">
        <f>IF(B8="", "", VLOOKUP(B8, 'CLIENT DATA'!A:S, 19, FALSE))</f>
        <v/>
      </c>
      <c r="D8" s="107">
        <f t="array" ref="D8">IF(B8="", "", _xlfn.TEXTJOIN(", ", TRUE, IF('CLIENT DATA'!$A$2:$A$205=B8, 'CLIENT DATA'!$C$2:$F$205, "")))</f>
        <v/>
      </c>
      <c r="E8" s="52" t="inlineStr">
        <is>
          <t>66 Litchfield St, Boston MA 02135</t>
        </is>
      </c>
      <c r="F8" s="52" t="n"/>
      <c r="G8" s="52" t="n"/>
      <c r="H8" s="52" t="n"/>
      <c r="I8" s="52" t="n"/>
      <c r="J8" s="59" t="n"/>
      <c r="K8" s="59" t="n"/>
      <c r="L8" s="59" t="n"/>
      <c r="M8" s="59" t="n"/>
      <c r="N8" s="59" t="n"/>
      <c r="O8" s="297" t="n"/>
      <c r="P8" s="297" t="n"/>
      <c r="Q8" s="297" t="n"/>
      <c r="R8" s="297" t="n"/>
      <c r="S8" s="297" t="n"/>
      <c r="T8" s="297" t="n"/>
      <c r="U8" s="297" t="n"/>
    </row>
    <row r="9" ht="33" customFormat="1" customHeight="1" s="106">
      <c r="A9" s="174" t="inlineStr">
        <is>
          <t>03/10/2025</t>
        </is>
      </c>
      <c r="B9" s="52" t="inlineStr">
        <is>
          <t>Emanuelle Grafton</t>
        </is>
      </c>
      <c r="C9" s="107">
        <f>IF(B9="", "", VLOOKUP(B9, 'CLIENT DATA'!A:S, 19, FALSE))</f>
        <v/>
      </c>
      <c r="D9" s="107">
        <f t="array" ref="D9">IF(B9="", "", _xlfn.TEXTJOIN(", ", TRUE, IF('CLIENT DATA'!$A$2:$A$205=B9, 'CLIENT DATA'!$C$2:$F$205, "")))</f>
        <v/>
      </c>
      <c r="E9" s="52" t="inlineStr">
        <is>
          <t>66 Litchfield St, Boston MA 02135</t>
        </is>
      </c>
      <c r="F9" s="52" t="n"/>
      <c r="G9" s="52" t="n"/>
      <c r="H9" s="52" t="n"/>
      <c r="I9" s="52" t="n"/>
      <c r="J9" s="59" t="n"/>
      <c r="K9" s="59" t="n"/>
      <c r="L9" s="59" t="n"/>
      <c r="M9" s="59" t="n"/>
      <c r="N9" s="59" t="n"/>
      <c r="O9" s="297" t="n"/>
      <c r="P9" s="297" t="n"/>
      <c r="Q9" s="297" t="n"/>
      <c r="R9" s="297" t="n"/>
      <c r="S9" s="297" t="n"/>
      <c r="T9" s="297" t="n"/>
      <c r="U9" s="297" t="n"/>
    </row>
    <row r="10" ht="33" customFormat="1" customHeight="1" s="106">
      <c r="A10" s="174" t="inlineStr">
        <is>
          <t>03/12/2025</t>
        </is>
      </c>
      <c r="B10" s="52" t="inlineStr">
        <is>
          <t>Juwan Patton</t>
        </is>
      </c>
      <c r="C10" s="107">
        <f>IF(B10="", "", VLOOKUP(B10, 'CLIENT DATA'!A:S, 19, FALSE))</f>
        <v/>
      </c>
      <c r="D10" s="107">
        <f t="array" ref="D10">IF(B10="", "", _xlfn.TEXTJOIN(", ", TRUE, IF('CLIENT DATA'!$A$2:$A$205=B10, 'CLIENT DATA'!$C$2:$F$205, "")))</f>
        <v/>
      </c>
      <c r="E10" s="52" t="inlineStr">
        <is>
          <t>66 Litchfield St, 2H, Boston, MA 01235</t>
        </is>
      </c>
      <c r="F10" s="52" t="inlineStr">
        <is>
          <t>150 E 71st ST, 4r, New York, NT 10021</t>
        </is>
      </c>
      <c r="G10" s="52" t="n"/>
      <c r="H10" s="52" t="n"/>
      <c r="I10" s="52" t="n"/>
      <c r="J10" s="59" t="n"/>
      <c r="K10" s="59" t="n"/>
      <c r="L10" s="59" t="n"/>
      <c r="M10" s="59" t="n"/>
      <c r="N10" s="59" t="n"/>
      <c r="O10" s="297" t="n"/>
      <c r="P10" s="297" t="n"/>
      <c r="Q10" s="297" t="n"/>
      <c r="R10" s="297" t="n"/>
      <c r="S10" s="297" t="n"/>
      <c r="T10" s="297" t="n"/>
      <c r="U10" s="297" t="n"/>
    </row>
    <row r="11" ht="33" customFormat="1" customHeight="1" s="106">
      <c r="A11" s="174" t="inlineStr">
        <is>
          <t>03/12/2025</t>
        </is>
      </c>
      <c r="B11" s="52" t="inlineStr">
        <is>
          <t>Courtney Cary</t>
        </is>
      </c>
      <c r="C11" s="107">
        <f>IF(B11="", "", VLOOKUP(B11, 'CLIENT DATA'!A:S, 19, FALSE))</f>
        <v/>
      </c>
      <c r="D11" s="107">
        <f t="array" ref="D11">IF(B11="", "", _xlfn.TEXTJOIN(", ", TRUE, IF('CLIENT DATA'!$A$2:$A$205=B11, 'CLIENT DATA'!$C$2:$F$205, "")))</f>
        <v/>
      </c>
      <c r="E11" s="52" t="inlineStr">
        <is>
          <t>1 First St NE, Washington, DC 20543, United States</t>
        </is>
      </c>
      <c r="F11" s="52" t="n"/>
      <c r="G11" s="52" t="n"/>
      <c r="H11" s="52" t="n"/>
      <c r="I11" s="52" t="n"/>
      <c r="J11" s="59" t="n"/>
      <c r="K11" s="59" t="n"/>
      <c r="L11" s="59" t="n"/>
      <c r="M11" s="59" t="n"/>
      <c r="N11" s="59" t="n"/>
      <c r="O11" s="297" t="n"/>
      <c r="P11" s="297" t="n"/>
      <c r="Q11" s="297" t="n"/>
      <c r="R11" s="297" t="n"/>
      <c r="S11" s="297" t="n"/>
      <c r="T11" s="297" t="n"/>
      <c r="U11" s="297" t="n"/>
    </row>
    <row r="12" ht="33" customFormat="1" customHeight="1" s="106">
      <c r="A12" s="174" t="inlineStr">
        <is>
          <t>03/12/2025</t>
        </is>
      </c>
      <c r="B12" s="52" t="inlineStr">
        <is>
          <t>James Watts</t>
        </is>
      </c>
      <c r="C12" s="107">
        <f>IF(B12="", "", VLOOKUP(B12, 'CLIENT DATA'!A:S, 19, FALSE))</f>
        <v/>
      </c>
      <c r="D12" s="107">
        <f t="array" ref="D12">IF(B12="", "", _xlfn.TEXTJOIN(", ", TRUE, IF('CLIENT DATA'!$A$2:$A$205=B12, 'CLIENT DATA'!$C$2:$F$205, "")))</f>
        <v/>
      </c>
      <c r="E12" s="52" t="inlineStr">
        <is>
          <t>150 E 71st ST, 6G, New York, NY 10021</t>
        </is>
      </c>
      <c r="F12" s="52" t="n"/>
      <c r="G12" s="52" t="n"/>
      <c r="H12" s="52" t="n"/>
      <c r="I12" s="52" t="n"/>
      <c r="J12" s="59" t="n"/>
      <c r="K12" s="59" t="n"/>
      <c r="L12" s="59" t="n"/>
      <c r="M12" s="59" t="n"/>
      <c r="N12" s="59" t="n"/>
      <c r="O12" s="297" t="n"/>
      <c r="P12" s="297" t="n"/>
      <c r="Q12" s="297" t="n"/>
      <c r="R12" s="297" t="n"/>
      <c r="S12" s="297" t="n"/>
      <c r="T12" s="297" t="n"/>
      <c r="U12" s="297" t="n"/>
    </row>
    <row r="13" ht="33" customFormat="1" customHeight="1" s="106">
      <c r="A13" s="174" t="inlineStr">
        <is>
          <t>03/12/2025</t>
        </is>
      </c>
      <c r="B13" s="52" t="inlineStr">
        <is>
          <t>Felicia Graham</t>
        </is>
      </c>
      <c r="C13" s="107">
        <f>IF(B13="", "", VLOOKUP(B13, 'CLIENT DATA'!A:S, 19, FALSE))</f>
        <v/>
      </c>
      <c r="D13" s="107">
        <f t="array" ref="D13">IF(B13="", "", _xlfn.TEXTJOIN(", ", TRUE, IF('CLIENT DATA'!$A$2:$A$205=B13, 'CLIENT DATA'!$C$2:$F$205, "")))</f>
        <v/>
      </c>
      <c r="E13" s="52" t="inlineStr">
        <is>
          <t>183 Bay State Rd, Apt 4RL, Boston, MA 02215</t>
        </is>
      </c>
      <c r="F13" s="52" t="n"/>
      <c r="G13" s="52" t="n"/>
      <c r="H13" s="52" t="n"/>
      <c r="I13" s="52" t="n"/>
      <c r="J13" s="59" t="n"/>
      <c r="K13" s="59" t="n"/>
      <c r="L13" s="59" t="n"/>
      <c r="M13" s="59" t="n"/>
      <c r="N13" s="59" t="n"/>
      <c r="O13" s="297" t="n"/>
      <c r="P13" s="297" t="n"/>
      <c r="Q13" s="297" t="n"/>
      <c r="R13" s="297" t="n"/>
      <c r="S13" s="297" t="n"/>
      <c r="T13" s="297" t="n"/>
      <c r="U13" s="297" t="n"/>
    </row>
    <row r="14" ht="33" customFormat="1" customHeight="1" s="106">
      <c r="A14" s="174" t="inlineStr">
        <is>
          <t>03/12/2025</t>
        </is>
      </c>
      <c r="B14" s="52" t="inlineStr">
        <is>
          <t>Martez Davis</t>
        </is>
      </c>
      <c r="C14" s="107">
        <f>IF(B14="", "", VLOOKUP(B14, 'CLIENT DATA'!A:S, 19, FALSE))</f>
        <v/>
      </c>
      <c r="D14" s="107">
        <f t="array" ref="D14">IF(B14="", "", _xlfn.TEXTJOIN(", ", TRUE, IF('CLIENT DATA'!$A$2:$A$205=B14, 'CLIENT DATA'!$C$2:$F$205, "")))</f>
        <v/>
      </c>
      <c r="E14" s="52" t="inlineStr">
        <is>
          <t>208-216 S 1st St, Shepherd, MI 48883</t>
        </is>
      </c>
      <c r="F14" s="52" t="n"/>
      <c r="G14" s="52" t="n"/>
      <c r="H14" s="52" t="n"/>
      <c r="I14" s="52" t="n"/>
      <c r="J14" s="59" t="n"/>
      <c r="K14" s="59" t="n"/>
      <c r="L14" s="59" t="n"/>
      <c r="M14" s="59" t="n"/>
      <c r="N14" s="59" t="n"/>
      <c r="O14" s="297" t="n"/>
      <c r="P14" s="297" t="n"/>
      <c r="Q14" s="297" t="n"/>
      <c r="R14" s="297" t="n"/>
      <c r="S14" s="297" t="n"/>
      <c r="T14" s="297" t="n"/>
      <c r="U14" s="297" t="n"/>
    </row>
    <row r="15" ht="33" customFormat="1" customHeight="1" s="106">
      <c r="A15" s="174" t="inlineStr">
        <is>
          <t>03/12/2025</t>
        </is>
      </c>
      <c r="B15" s="298" t="inlineStr">
        <is>
          <t>Timothy Daniell</t>
        </is>
      </c>
      <c r="C15" s="107">
        <f>IF(B15="", "", VLOOKUP(B15, 'CLIENT DATA'!A:S, 19, FALSE))</f>
        <v/>
      </c>
      <c r="D15" s="107">
        <f t="array" ref="D15">IF(B15="", "", _xlfn.TEXTJOIN(", ", TRUE, IF('CLIENT DATA'!$A$2:$A$205=B15, 'CLIENT DATA'!$C$2:$F$205, "")))</f>
        <v/>
      </c>
      <c r="E15" s="52" t="inlineStr">
        <is>
          <t>208-216 S 1st St, Shepherd, MI 48883</t>
        </is>
      </c>
      <c r="F15" s="52" t="n"/>
      <c r="G15" s="52" t="n"/>
      <c r="H15" s="52" t="n"/>
      <c r="I15" s="52" t="n"/>
      <c r="J15" s="59" t="n"/>
      <c r="K15" s="59" t="n"/>
      <c r="L15" s="59" t="n"/>
      <c r="M15" s="59" t="n"/>
      <c r="N15" s="59" t="n"/>
      <c r="O15" s="297" t="n"/>
      <c r="P15" s="297" t="n"/>
      <c r="Q15" s="297" t="n"/>
      <c r="R15" s="297" t="n"/>
      <c r="S15" s="297" t="n"/>
      <c r="T15" s="297" t="n"/>
      <c r="U15" s="297" t="n"/>
    </row>
    <row r="16" ht="33" customFormat="1" customHeight="1" s="106">
      <c r="A16" s="174" t="inlineStr">
        <is>
          <t>03/12/2025</t>
        </is>
      </c>
      <c r="B16" s="298" t="inlineStr">
        <is>
          <t>Tony Knight III</t>
        </is>
      </c>
      <c r="C16" s="107">
        <f>IF(B16="", "", VLOOKUP(B16, 'CLIENT DATA'!A:S, 19, FALSE))</f>
        <v/>
      </c>
      <c r="D16" s="107">
        <f t="array" ref="D16">IF(B16="", "", _xlfn.TEXTJOIN(", ", TRUE, IF('CLIENT DATA'!$A$2:$A$205=B16, 'CLIENT DATA'!$C$2:$F$205, "")))</f>
        <v/>
      </c>
      <c r="E16" s="52" t="inlineStr">
        <is>
          <t>311 W Cottage Ave, Shepherd, MI 48883</t>
        </is>
      </c>
      <c r="F16" s="52" t="n"/>
      <c r="G16" s="52" t="n"/>
      <c r="H16" s="52" t="n"/>
      <c r="I16" s="52" t="n"/>
      <c r="J16" s="59" t="n"/>
      <c r="K16" s="59" t="n"/>
      <c r="L16" s="59" t="n"/>
      <c r="M16" s="59" t="n"/>
      <c r="N16" s="59" t="n"/>
      <c r="O16" s="297" t="n"/>
      <c r="P16" s="297" t="n"/>
      <c r="Q16" s="297" t="n"/>
      <c r="R16" s="297" t="n"/>
      <c r="S16" s="297" t="n"/>
      <c r="T16" s="297" t="n"/>
      <c r="U16" s="297" t="n"/>
    </row>
    <row r="17" customFormat="1" s="106">
      <c r="A17" s="174" t="inlineStr">
        <is>
          <t>03/12/2025</t>
        </is>
      </c>
      <c r="B17" s="298" t="inlineStr">
        <is>
          <t xml:space="preserve">Monea Ricumstrict </t>
        </is>
      </c>
      <c r="C17" s="107">
        <f>IF(B17="", "", VLOOKUP(B17, 'CLIENT DATA'!A:S, 19, FALSE))</f>
        <v/>
      </c>
      <c r="D17" s="107">
        <f t="array" ref="D17">IF(B17="", "", _xlfn.TEXTJOIN(", ", TRUE, IF('CLIENT DATA'!$A$2:$A$205=B17, 'CLIENT DATA'!$C$2:$F$205, "")))</f>
        <v/>
      </c>
      <c r="E17" s="52" t="inlineStr">
        <is>
          <t>311 W Cottage Ave, Shepherd, MI 48883</t>
        </is>
      </c>
      <c r="F17" s="52" t="n"/>
      <c r="G17" s="52" t="n"/>
      <c r="H17" s="52" t="n"/>
      <c r="I17" s="52" t="n"/>
      <c r="J17" s="59" t="n"/>
      <c r="K17" s="59" t="n"/>
      <c r="L17" s="59" t="n"/>
      <c r="M17" s="59" t="n"/>
      <c r="N17" s="59" t="n"/>
      <c r="O17" s="297" t="n"/>
      <c r="P17" s="297" t="n"/>
      <c r="Q17" s="297" t="n"/>
      <c r="R17" s="297" t="n"/>
      <c r="S17" s="297" t="n"/>
      <c r="T17" s="297" t="n"/>
      <c r="U17" s="297" t="n"/>
    </row>
    <row r="18" customFormat="1" s="106">
      <c r="A18" s="174" t="inlineStr">
        <is>
          <t>03/12/2025</t>
        </is>
      </c>
      <c r="B18" s="298" t="inlineStr">
        <is>
          <t>Courtney Cary</t>
        </is>
      </c>
      <c r="C18" s="107">
        <f>IF(B18="", "", VLOOKUP(B18, 'CLIENT DATA'!A:S, 19, FALSE))</f>
        <v/>
      </c>
      <c r="D18" s="107">
        <f t="array" ref="D18">IF(B18="", "", _xlfn.TEXTJOIN(", ", TRUE, IF('CLIENT DATA'!$A$2:$A$205=B18, 'CLIENT DATA'!$C$2:$F$205, "")))</f>
        <v/>
      </c>
      <c r="E18" s="52" t="inlineStr">
        <is>
          <t>Mdme CuriE, Beirut, MA 00000</t>
        </is>
      </c>
      <c r="F18" s="52" t="n"/>
      <c r="G18" s="52" t="n"/>
      <c r="H18" s="52" t="n"/>
      <c r="I18" s="52" t="n"/>
      <c r="J18" s="59" t="n"/>
      <c r="K18" s="59" t="n"/>
      <c r="L18" s="59" t="n"/>
      <c r="M18" s="59" t="n"/>
      <c r="N18" s="59" t="n"/>
      <c r="O18" s="297" t="n"/>
      <c r="P18" s="297" t="n"/>
      <c r="Q18" s="297" t="n"/>
      <c r="R18" s="297" t="n"/>
      <c r="S18" s="297" t="n"/>
      <c r="T18" s="297" t="n"/>
      <c r="U18" s="297" t="n"/>
    </row>
    <row r="19" customFormat="1" s="106">
      <c r="A19" s="174" t="inlineStr">
        <is>
          <t>03/12/2025</t>
        </is>
      </c>
      <c r="B19" s="298" t="inlineStr">
        <is>
          <t>James Watts</t>
        </is>
      </c>
      <c r="C19" s="107">
        <f>IF(B19="", "", VLOOKUP(B19, 'CLIENT DATA'!A:S, 19, FALSE))</f>
        <v/>
      </c>
      <c r="D19" s="107">
        <f t="array" ref="D19">IF(B19="", "", _xlfn.TEXTJOIN(", ", TRUE, IF('CLIENT DATA'!$A$2:$A$205=B19, 'CLIENT DATA'!$C$2:$F$205, "")))</f>
        <v/>
      </c>
      <c r="E19" s="52" t="inlineStr">
        <is>
          <t>183 Bay State Rd, Apt 4RL, Boston, MA 02215</t>
        </is>
      </c>
      <c r="F19" s="52" t="n"/>
      <c r="G19" s="52" t="n"/>
      <c r="H19" s="52" t="n"/>
      <c r="I19" s="52" t="n"/>
      <c r="J19" s="59" t="n"/>
      <c r="K19" s="59" t="n"/>
      <c r="L19" s="59" t="n"/>
      <c r="M19" s="59" t="n"/>
      <c r="N19" s="59" t="n"/>
      <c r="O19" s="297" t="n"/>
      <c r="P19" s="297" t="n"/>
      <c r="Q19" s="297" t="n"/>
      <c r="R19" s="297" t="n"/>
      <c r="S19" s="297" t="n"/>
      <c r="T19" s="297" t="n"/>
      <c r="U19" s="297" t="n"/>
    </row>
    <row r="20" customFormat="1" s="106">
      <c r="A20" s="174" t="inlineStr">
        <is>
          <t>03/12/2025</t>
        </is>
      </c>
      <c r="B20" s="298" t="inlineStr">
        <is>
          <t>Aya Hammoud</t>
        </is>
      </c>
      <c r="C20" s="107">
        <f>IF(B20="", "", VLOOKUP(B20, 'CLIENT DATA'!A:S, 19, FALSE))</f>
        <v/>
      </c>
      <c r="D20" s="107">
        <f t="array" ref="D20">IF(B20="", "", _xlfn.TEXTJOIN(", ", TRUE, IF('CLIENT DATA'!$A$2:$A$205=B20, 'CLIENT DATA'!$C$2:$F$205, "")))</f>
        <v/>
      </c>
      <c r="E20" s="52" t="inlineStr">
        <is>
          <t>748 Willow Street, Denver, CO 80220</t>
        </is>
      </c>
      <c r="F20" s="52" t="n"/>
      <c r="G20" s="52" t="n"/>
      <c r="H20" s="52" t="n"/>
      <c r="I20" s="52" t="n"/>
      <c r="J20" s="59" t="n"/>
      <c r="K20" s="59" t="n"/>
      <c r="L20" s="59" t="n"/>
      <c r="M20" s="59" t="n"/>
      <c r="N20" s="59" t="n"/>
      <c r="O20" s="297" t="n"/>
      <c r="P20" s="297" t="n"/>
      <c r="Q20" s="297" t="n"/>
      <c r="R20" s="297" t="n"/>
      <c r="S20" s="297" t="n"/>
      <c r="T20" s="297" t="n"/>
      <c r="U20" s="297" t="n"/>
    </row>
    <row r="21" customFormat="1" s="106">
      <c r="A21" s="174" t="inlineStr">
        <is>
          <t>03/12/2025</t>
        </is>
      </c>
      <c r="B21" s="298" t="inlineStr">
        <is>
          <t>Desmond Ricks</t>
        </is>
      </c>
      <c r="C21" s="107">
        <f>IF(B21="", "", VLOOKUP(B21, 'CLIENT DATA'!A:S, 19, FALSE))</f>
        <v/>
      </c>
      <c r="D21" s="107">
        <f t="array" ref="D21">IF(B21="", "", _xlfn.TEXTJOIN(", ", TRUE, IF('CLIENT DATA'!$A$2:$A$205=B21, 'CLIENT DATA'!$C$2:$F$205, "")))</f>
        <v/>
      </c>
      <c r="E21" s="52" t="inlineStr">
        <is>
          <t>Mdme Curie street, Collè, Bayrut, Ma 11021</t>
        </is>
      </c>
      <c r="F21" s="52" t="n"/>
      <c r="G21" s="52" t="n"/>
      <c r="H21" s="52" t="n"/>
      <c r="I21" s="52" t="n"/>
      <c r="J21" s="59" t="n"/>
      <c r="K21" s="59" t="n"/>
      <c r="L21" s="59" t="n"/>
      <c r="M21" s="59" t="n"/>
      <c r="N21" s="59" t="n"/>
      <c r="O21" s="297" t="n"/>
      <c r="P21" s="297" t="n"/>
      <c r="Q21" s="297" t="n"/>
      <c r="R21" s="297" t="n"/>
      <c r="S21" s="297" t="n"/>
      <c r="T21" s="297" t="n"/>
      <c r="U21" s="297" t="n"/>
    </row>
    <row r="22" customFormat="1" s="106">
      <c r="A22" s="174" t="inlineStr">
        <is>
          <t>03/12/2025</t>
        </is>
      </c>
      <c r="B22" s="298" t="inlineStr">
        <is>
          <t>Zabre Hmar</t>
        </is>
      </c>
      <c r="C22" s="107">
        <f>IF(B22="", "", VLOOKUP(B22, 'CLIENT DATA'!A:S, 19, FALSE))</f>
        <v/>
      </c>
      <c r="D22" s="107">
        <f t="array" ref="D22">IF(B22="", "", _xlfn.TEXTJOIN(", ", TRUE, IF('CLIENT DATA'!$A$2:$A$205=B22, 'CLIENT DATA'!$C$2:$F$205, "")))</f>
        <v/>
      </c>
      <c r="E22" s="52" t="inlineStr">
        <is>
          <t>4958 Heather Dr., Dearbonr, MI 48126</t>
        </is>
      </c>
      <c r="F22" s="52" t="n"/>
      <c r="G22" s="52" t="n"/>
      <c r="H22" s="52" t="n"/>
      <c r="I22" s="52" t="n"/>
      <c r="J22" s="59" t="n"/>
      <c r="K22" s="59" t="n"/>
      <c r="L22" s="59" t="n"/>
      <c r="M22" s="59" t="n"/>
      <c r="N22" s="59" t="n"/>
      <c r="O22" s="297" t="n"/>
      <c r="P22" s="297" t="n"/>
      <c r="Q22" s="297" t="n"/>
      <c r="R22" s="297" t="n"/>
      <c r="S22" s="297" t="n"/>
      <c r="T22" s="297" t="n"/>
      <c r="U22" s="297" t="n"/>
    </row>
    <row r="23" customFormat="1" s="106">
      <c r="A23" s="174" t="inlineStr">
        <is>
          <t>03/12/2025</t>
        </is>
      </c>
      <c r="B23" s="298" t="inlineStr">
        <is>
          <t>Zabre Hmar</t>
        </is>
      </c>
      <c r="C23" s="107">
        <f>IF(B23="", "", VLOOKUP(B23, 'CLIENT DATA'!A:S, 19, FALSE))</f>
        <v/>
      </c>
      <c r="D23" s="107">
        <f t="array" ref="D23">IF(B23="", "", _xlfn.TEXTJOIN(", ", TRUE, IF('CLIENT DATA'!$A$2:$A$205=B23, 'CLIENT DATA'!$C$2:$F$205, "")))</f>
        <v/>
      </c>
      <c r="E23" s="52" t="inlineStr">
        <is>
          <t>4966 Motherfucker Dr., Dearbonr, MI 48126</t>
        </is>
      </c>
      <c r="F23" s="52" t="n"/>
      <c r="G23" s="52" t="n"/>
      <c r="H23" s="52" t="n"/>
      <c r="I23" s="52" t="n"/>
      <c r="J23" s="59" t="n"/>
      <c r="K23" s="59" t="n"/>
      <c r="L23" s="59" t="n"/>
      <c r="M23" s="59" t="n"/>
      <c r="N23" s="59" t="n"/>
      <c r="O23" s="297" t="n"/>
      <c r="P23" s="297" t="n"/>
      <c r="Q23" s="297" t="n"/>
      <c r="R23" s="297" t="n"/>
      <c r="S23" s="297" t="n"/>
      <c r="T23" s="297" t="n"/>
      <c r="U23" s="297" t="n"/>
    </row>
    <row r="24" customFormat="1" s="106">
      <c r="A24" s="174" t="inlineStr">
        <is>
          <t>03/13/2025</t>
        </is>
      </c>
      <c r="B24" s="298" t="inlineStr">
        <is>
          <t>Test Client</t>
        </is>
      </c>
      <c r="C24" s="107">
        <f>IF(B24="", "", VLOOKUP(B24, 'CLIENT DATA'!A:S, 19, FALSE))</f>
        <v/>
      </c>
      <c r="D24" s="107">
        <f t="array" ref="D24">IF(B24="", "", _xlfn.TEXTJOIN(", ", TRUE, IF('CLIENT DATA'!$A$2:$A$205=B24, 'CLIENT DATA'!$C$2:$F$205, "")))</f>
        <v/>
      </c>
      <c r="E24" s="52" t="inlineStr">
        <is>
          <t>Test Address</t>
        </is>
      </c>
      <c r="F24" s="52" t="n"/>
      <c r="G24" s="52" t="n"/>
      <c r="H24" s="52" t="n"/>
      <c r="I24" s="52" t="n"/>
      <c r="J24" s="59" t="n"/>
      <c r="K24" s="59" t="n"/>
      <c r="L24" s="59" t="n"/>
      <c r="M24" s="59" t="n"/>
      <c r="N24" s="59" t="n"/>
      <c r="O24" s="297" t="n"/>
      <c r="P24" s="297" t="n"/>
      <c r="Q24" s="297" t="n"/>
      <c r="R24" s="297" t="n"/>
      <c r="S24" s="297" t="n"/>
      <c r="T24" s="297" t="n"/>
      <c r="U24" s="297" t="n"/>
    </row>
    <row r="25" customFormat="1" s="106">
      <c r="A25" s="174" t="n"/>
      <c r="B25" s="298" t="n"/>
      <c r="C25" s="107">
        <f>IF(B25="", "", VLOOKUP(B25, 'CLIENT DATA'!A:S, 19, FALSE))</f>
        <v/>
      </c>
      <c r="D25" s="107">
        <f t="array" ref="D25">IF(B25="", "", _xlfn.TEXTJOIN(", ", TRUE, IF('CLIENT DATA'!$A$2:$A$205=B25, 'CLIENT DATA'!$C$2:$F$205, "")))</f>
        <v/>
      </c>
      <c r="E25" s="52" t="n"/>
      <c r="F25" s="52" t="n"/>
      <c r="G25" s="52" t="n"/>
      <c r="H25" s="52" t="n"/>
      <c r="I25" s="52" t="n"/>
      <c r="J25" s="59" t="n"/>
      <c r="K25" s="59" t="n"/>
      <c r="L25" s="59" t="n"/>
      <c r="M25" s="59" t="n"/>
      <c r="N25" s="59" t="n"/>
      <c r="O25" s="297" t="n"/>
      <c r="P25" s="297" t="n"/>
      <c r="Q25" s="297" t="n"/>
      <c r="R25" s="297" t="n"/>
      <c r="S25" s="297" t="n"/>
      <c r="T25" s="297" t="n"/>
      <c r="U25" s="297" t="n"/>
    </row>
    <row r="26" customFormat="1" s="106">
      <c r="A26" s="174" t="n"/>
      <c r="B26" s="298" t="n"/>
      <c r="C26" s="107">
        <f>IF(B26="", "", VLOOKUP(B26, 'CLIENT DATA'!A:S, 19, FALSE))</f>
        <v/>
      </c>
      <c r="D26" s="107">
        <f t="array" ref="D26">IF(B26="", "", _xlfn.TEXTJOIN(", ", TRUE, IF('CLIENT DATA'!$A$2:$A$205=B26, 'CLIENT DATA'!$C$2:$F$205, "")))</f>
        <v/>
      </c>
      <c r="E26" s="52" t="n"/>
      <c r="F26" s="52" t="n"/>
      <c r="G26" s="52" t="n"/>
      <c r="H26" s="52" t="n"/>
      <c r="I26" s="52" t="n"/>
      <c r="J26" s="59" t="n"/>
      <c r="K26" s="59" t="n"/>
      <c r="L26" s="59" t="n"/>
      <c r="M26" s="59" t="n"/>
      <c r="N26" s="59" t="n"/>
      <c r="O26" s="297" t="n"/>
      <c r="P26" s="297" t="n"/>
      <c r="Q26" s="297" t="n"/>
      <c r="R26" s="297" t="n"/>
      <c r="S26" s="297" t="n"/>
      <c r="T26" s="297" t="n"/>
      <c r="U26" s="297" t="n"/>
    </row>
    <row r="27" customFormat="1" s="106">
      <c r="A27" s="174" t="n"/>
      <c r="B27" s="298" t="n"/>
      <c r="C27" s="107">
        <f>IF(B27="", "", VLOOKUP(B27, 'CLIENT DATA'!A:S, 19, FALSE))</f>
        <v/>
      </c>
      <c r="D27" s="107">
        <f t="array" ref="D27">IF(B27="", "", _xlfn.TEXTJOIN(", ", TRUE, IF('CLIENT DATA'!$A$2:$A$205=B27, 'CLIENT DATA'!$C$2:$F$205, "")))</f>
        <v/>
      </c>
      <c r="E27" s="52" t="n"/>
      <c r="F27" s="52" t="n"/>
      <c r="G27" s="52" t="n"/>
      <c r="H27" s="52" t="n"/>
      <c r="I27" s="52" t="n"/>
      <c r="J27" s="59" t="n"/>
      <c r="K27" s="59" t="n"/>
      <c r="L27" s="59" t="n"/>
      <c r="M27" s="59" t="n"/>
      <c r="N27" s="59" t="n"/>
      <c r="O27" s="297" t="n"/>
      <c r="P27" s="297" t="n"/>
      <c r="Q27" s="297" t="n"/>
      <c r="R27" s="297" t="n"/>
      <c r="S27" s="297" t="n"/>
      <c r="T27" s="297" t="n"/>
      <c r="U27" s="297" t="n"/>
    </row>
    <row r="28" customFormat="1" s="106">
      <c r="A28" s="174" t="n"/>
      <c r="B28" s="52" t="n"/>
      <c r="C28" s="107">
        <f>IF(B28="", "", VLOOKUP(B28, 'CLIENT DATA'!A:S, 19, FALSE))</f>
        <v/>
      </c>
      <c r="D28" s="107">
        <f t="array" ref="D28">IF(B28="", "", _xlfn.TEXTJOIN(", ", TRUE, IF('CLIENT DATA'!$A$2:$A$205=B28, 'CLIENT DATA'!$C$2:$F$205, "")))</f>
        <v/>
      </c>
      <c r="E28" s="52" t="n"/>
      <c r="F28" s="52" t="n"/>
      <c r="G28" s="52" t="n"/>
      <c r="H28" s="52" t="n"/>
      <c r="I28" s="52" t="n"/>
      <c r="J28" s="59" t="n"/>
      <c r="K28" s="59" t="n"/>
      <c r="L28" s="59" t="n"/>
      <c r="M28" s="59" t="n"/>
      <c r="N28" s="59" t="n"/>
      <c r="O28" s="297" t="n"/>
      <c r="P28" s="297" t="n"/>
      <c r="Q28" s="297" t="n"/>
      <c r="R28" s="297" t="n"/>
      <c r="S28" s="297" t="n"/>
      <c r="T28" s="297" t="n"/>
      <c r="U28" s="297" t="n"/>
    </row>
    <row r="29" customFormat="1" s="106">
      <c r="A29" s="174" t="n"/>
      <c r="B29" s="52" t="n"/>
      <c r="C29" s="107">
        <f>IF(B29="", "", VLOOKUP(B29, 'CLIENT DATA'!A:S, 19, FALSE))</f>
        <v/>
      </c>
      <c r="D29" s="107">
        <f t="array" ref="D29">IF(B29="", "", _xlfn.TEXTJOIN(", ", TRUE, IF('CLIENT DATA'!$A$2:$A$205=B29, 'CLIENT DATA'!$C$2:$F$205, "")))</f>
        <v/>
      </c>
      <c r="E29" s="52" t="n"/>
      <c r="F29" s="52" t="n"/>
      <c r="G29" s="52" t="n"/>
      <c r="H29" s="52" t="n"/>
      <c r="I29" s="52" t="n"/>
      <c r="J29" s="59" t="n"/>
      <c r="K29" s="59" t="n"/>
      <c r="L29" s="59" t="n"/>
      <c r="M29" s="59" t="n"/>
      <c r="N29" s="59" t="n"/>
      <c r="O29" s="297" t="n"/>
      <c r="P29" s="297" t="n"/>
      <c r="Q29" s="297" t="n"/>
      <c r="R29" s="297" t="n"/>
      <c r="S29" s="297" t="n"/>
      <c r="T29" s="297" t="n"/>
      <c r="U29" s="297" t="n"/>
    </row>
    <row r="30" customFormat="1" s="106">
      <c r="A30" s="174" t="n"/>
      <c r="B30" s="52" t="n"/>
      <c r="C30" s="107">
        <f>IF(B30="", "", VLOOKUP(B30, 'CLIENT DATA'!A:S, 19, FALSE))</f>
        <v/>
      </c>
      <c r="D30" s="107">
        <f t="array" ref="D30">IF(B30="", "", _xlfn.TEXTJOIN(", ", TRUE, IF('CLIENT DATA'!$A$2:$A$205=B30, 'CLIENT DATA'!$C$2:$F$205, "")))</f>
        <v/>
      </c>
      <c r="E30" s="52" t="n"/>
      <c r="F30" s="52" t="n"/>
      <c r="G30" s="52" t="n"/>
      <c r="H30" s="52" t="n"/>
      <c r="I30" s="52" t="n"/>
      <c r="J30" s="59" t="n"/>
      <c r="K30" s="59" t="n"/>
      <c r="L30" s="59" t="n"/>
      <c r="M30" s="59" t="n"/>
      <c r="N30" s="59" t="n"/>
      <c r="O30" s="297" t="n"/>
      <c r="P30" s="297" t="n"/>
      <c r="Q30" s="297" t="n"/>
      <c r="R30" s="297" t="n"/>
      <c r="S30" s="297" t="n"/>
      <c r="T30" s="297" t="n"/>
      <c r="U30" s="297" t="n"/>
    </row>
    <row r="31" customFormat="1" s="106">
      <c r="A31" s="174" t="n"/>
      <c r="B31" s="52" t="n"/>
      <c r="C31" s="107">
        <f>IF(B31="", "", VLOOKUP(B31, 'CLIENT DATA'!A:S, 19, FALSE))</f>
        <v/>
      </c>
      <c r="D31" s="107">
        <f t="array" ref="D31">IF(B31="", "", _xlfn.TEXTJOIN(", ", TRUE, IF('CLIENT DATA'!$A$2:$A$205=B31, 'CLIENT DATA'!$C$2:$F$205, "")))</f>
        <v/>
      </c>
      <c r="E31" s="52" t="n"/>
      <c r="F31" s="52" t="n"/>
      <c r="G31" s="52" t="n"/>
      <c r="H31" s="52" t="n"/>
      <c r="I31" s="52" t="n"/>
      <c r="J31" s="59" t="n"/>
      <c r="K31" s="59" t="n"/>
      <c r="L31" s="59" t="n"/>
      <c r="M31" s="59" t="n"/>
      <c r="N31" s="59" t="n"/>
      <c r="O31" s="297" t="n"/>
      <c r="P31" s="297" t="n"/>
      <c r="Q31" s="297" t="n"/>
      <c r="R31" s="297" t="n"/>
      <c r="S31" s="297" t="n"/>
      <c r="T31" s="297" t="n"/>
      <c r="U31" s="297" t="n"/>
    </row>
    <row r="32" customFormat="1" s="106">
      <c r="A32" s="174" t="n"/>
      <c r="B32" s="52" t="n"/>
      <c r="C32" s="107">
        <f>IF(B32="", "", VLOOKUP(B32, 'CLIENT DATA'!A:S, 19, FALSE))</f>
        <v/>
      </c>
      <c r="D32" s="107">
        <f t="array" ref="D32">IF(B32="", "", _xlfn.TEXTJOIN(", ", TRUE, IF('CLIENT DATA'!$A$2:$A$205=B32, 'CLIENT DATA'!$C$2:$F$205, "")))</f>
        <v/>
      </c>
      <c r="E32" s="52" t="n"/>
      <c r="F32" s="52" t="n"/>
      <c r="G32" s="52" t="n"/>
      <c r="H32" s="52" t="n"/>
      <c r="I32" s="52" t="n"/>
      <c r="J32" s="59" t="n"/>
      <c r="K32" s="59" t="n"/>
      <c r="L32" s="59" t="n"/>
      <c r="M32" s="59" t="n"/>
      <c r="N32" s="59" t="n"/>
      <c r="O32" s="297" t="n"/>
      <c r="P32" s="297" t="n"/>
      <c r="Q32" s="297" t="n"/>
      <c r="R32" s="297" t="n"/>
      <c r="S32" s="297" t="n"/>
      <c r="T32" s="297" t="n"/>
      <c r="U32" s="297" t="n"/>
    </row>
    <row r="33" customFormat="1" s="106">
      <c r="A33" s="174" t="n"/>
      <c r="B33" s="52" t="n"/>
      <c r="C33" s="107">
        <f>IF(B33="", "", VLOOKUP(B33, 'CLIENT DATA'!A:S, 19, FALSE))</f>
        <v/>
      </c>
      <c r="D33" s="107">
        <f t="array" ref="D33">IF(B33="", "", _xlfn.TEXTJOIN(", ", TRUE, IF('CLIENT DATA'!$A$2:$A$205=B33, 'CLIENT DATA'!$C$2:$F$205, "")))</f>
        <v/>
      </c>
      <c r="E33" s="52" t="n"/>
      <c r="F33" s="52" t="n"/>
      <c r="G33" s="52" t="n"/>
      <c r="H33" s="52" t="n"/>
      <c r="I33" s="52" t="n"/>
      <c r="J33" s="59" t="n"/>
      <c r="K33" s="59" t="n"/>
      <c r="L33" s="59" t="n"/>
      <c r="M33" s="59" t="n"/>
      <c r="N33" s="59" t="n"/>
      <c r="O33" s="297" t="n"/>
      <c r="P33" s="297" t="n"/>
      <c r="Q33" s="297" t="n"/>
      <c r="R33" s="297" t="n"/>
      <c r="S33" s="297" t="n"/>
      <c r="T33" s="297" t="n"/>
      <c r="U33" s="297" t="n"/>
    </row>
    <row r="34" customFormat="1" s="106">
      <c r="A34" s="174" t="n"/>
      <c r="B34" s="52" t="n"/>
      <c r="C34" s="107">
        <f>IF(B34="", "", VLOOKUP(B34, 'CLIENT DATA'!A:S, 19, FALSE))</f>
        <v/>
      </c>
      <c r="D34" s="107">
        <f t="array" ref="D34">IF(B34="", "", _xlfn.TEXTJOIN(", ", TRUE, IF('CLIENT DATA'!$A$2:$A$205=B34, 'CLIENT DATA'!$C$2:$F$205, "")))</f>
        <v/>
      </c>
      <c r="E34" s="52" t="n"/>
      <c r="F34" s="52" t="n"/>
      <c r="G34" s="52" t="n"/>
      <c r="H34" s="52" t="n"/>
      <c r="I34" s="52" t="n"/>
      <c r="J34" s="59" t="n"/>
      <c r="K34" s="59" t="n"/>
      <c r="L34" s="59" t="n"/>
      <c r="M34" s="59" t="n"/>
      <c r="N34" s="59" t="n"/>
      <c r="O34" s="297" t="n"/>
      <c r="P34" s="297" t="n"/>
      <c r="Q34" s="297" t="n"/>
      <c r="R34" s="297" t="n"/>
      <c r="S34" s="297" t="n"/>
      <c r="T34" s="297" t="n"/>
      <c r="U34" s="297" t="n"/>
    </row>
    <row r="35" customFormat="1" s="106">
      <c r="A35" s="174" t="n"/>
      <c r="B35" s="52" t="n"/>
      <c r="C35" s="107">
        <f>IF(B35="", "", VLOOKUP(B35, 'CLIENT DATA'!A:S, 19, FALSE))</f>
        <v/>
      </c>
      <c r="D35" s="107">
        <f t="array" ref="D35">IF(B35="", "", _xlfn.TEXTJOIN(", ", TRUE, IF('CLIENT DATA'!$A$2:$A$205=B35, 'CLIENT DATA'!$C$2:$F$205, "")))</f>
        <v/>
      </c>
      <c r="E35" s="52" t="n"/>
      <c r="F35" s="52" t="n"/>
      <c r="G35" s="52" t="n"/>
      <c r="H35" s="52" t="n"/>
      <c r="I35" s="52" t="n"/>
      <c r="J35" s="59" t="n"/>
      <c r="K35" s="59" t="n"/>
      <c r="L35" s="59" t="n"/>
      <c r="M35" s="59" t="n"/>
      <c r="N35" s="59" t="n"/>
      <c r="O35" s="297" t="n"/>
      <c r="P35" s="297" t="n"/>
      <c r="Q35" s="297" t="n"/>
      <c r="R35" s="297" t="n"/>
      <c r="S35" s="297" t="n"/>
      <c r="T35" s="297" t="n"/>
      <c r="U35" s="297" t="n"/>
    </row>
    <row r="36" customFormat="1" s="106">
      <c r="A36" s="174" t="n"/>
      <c r="B36" s="298" t="n"/>
      <c r="C36" s="107">
        <f>IF(B36="", "", VLOOKUP(B36, 'CLIENT DATA'!A:S, 19, FALSE))</f>
        <v/>
      </c>
      <c r="D36" s="107">
        <f t="array" ref="D36">IF(B36="", "", _xlfn.TEXTJOIN(", ", TRUE, IF('CLIENT DATA'!$A$2:$A$205=B36, 'CLIENT DATA'!$C$2:$F$205, "")))</f>
        <v/>
      </c>
      <c r="E36" s="52" t="n"/>
      <c r="F36" s="52" t="n"/>
      <c r="G36" s="52" t="n"/>
      <c r="H36" s="52" t="n"/>
      <c r="I36" s="52" t="n"/>
      <c r="J36" s="59" t="n"/>
      <c r="K36" s="59" t="n"/>
      <c r="L36" s="59" t="n"/>
      <c r="M36" s="59" t="n"/>
      <c r="N36" s="59" t="n"/>
      <c r="O36" s="297" t="n"/>
      <c r="P36" s="297" t="n"/>
      <c r="Q36" s="297" t="n"/>
      <c r="R36" s="297" t="n"/>
      <c r="S36" s="297" t="n"/>
      <c r="T36" s="297" t="n"/>
      <c r="U36" s="297" t="n"/>
    </row>
    <row r="37" customFormat="1" s="106">
      <c r="A37" s="174" t="n"/>
      <c r="B37" s="298" t="n"/>
      <c r="C37" s="107">
        <f>IF(B37="", "", VLOOKUP(B37, 'CLIENT DATA'!A:S, 19, FALSE))</f>
        <v/>
      </c>
      <c r="D37" s="107">
        <f t="array" ref="D37">IF(B37="", "", _xlfn.TEXTJOIN(", ", TRUE, IF('CLIENT DATA'!$A$2:$A$205=B37, 'CLIENT DATA'!$C$2:$F$205, "")))</f>
        <v/>
      </c>
      <c r="E37" s="52" t="n"/>
      <c r="F37" s="52" t="n"/>
      <c r="G37" s="52" t="n"/>
      <c r="H37" s="52" t="n"/>
      <c r="I37" s="52" t="n"/>
      <c r="J37" s="59" t="n"/>
      <c r="K37" s="59" t="n"/>
      <c r="L37" s="59" t="n"/>
      <c r="M37" s="59" t="n"/>
      <c r="N37" s="59" t="n"/>
      <c r="O37" s="297" t="n"/>
      <c r="P37" s="297" t="n"/>
      <c r="Q37" s="297" t="n"/>
      <c r="R37" s="297" t="n"/>
      <c r="S37" s="297" t="n"/>
      <c r="T37" s="297" t="n"/>
      <c r="U37" s="297" t="n"/>
    </row>
    <row r="38" customFormat="1" s="106">
      <c r="A38" s="174" t="n"/>
      <c r="B38" s="298" t="n"/>
      <c r="C38" s="107">
        <f>IF(B38="", "", VLOOKUP(B38, 'CLIENT DATA'!A:S, 19, FALSE))</f>
        <v/>
      </c>
      <c r="D38" s="107">
        <f t="array" ref="D38">IF(B38="", "", _xlfn.TEXTJOIN(", ", TRUE, IF('CLIENT DATA'!$A$2:$A$205=B38, 'CLIENT DATA'!$C$2:$F$205, "")))</f>
        <v/>
      </c>
      <c r="E38" s="52" t="n"/>
      <c r="F38" s="52" t="n"/>
      <c r="G38" s="52" t="n"/>
      <c r="H38" s="52" t="n"/>
      <c r="I38" s="52" t="n"/>
      <c r="J38" s="59" t="n"/>
      <c r="K38" s="59" t="n"/>
      <c r="L38" s="59" t="n"/>
      <c r="M38" s="59" t="n"/>
      <c r="N38" s="59" t="n"/>
      <c r="O38" s="297" t="n"/>
      <c r="P38" s="297" t="n"/>
      <c r="Q38" s="297" t="n"/>
      <c r="R38" s="297" t="n"/>
      <c r="S38" s="297" t="n"/>
      <c r="T38" s="297" t="n"/>
      <c r="U38" s="297" t="n"/>
    </row>
    <row r="39" customFormat="1" s="106">
      <c r="A39" s="174" t="n"/>
      <c r="B39" s="298" t="n"/>
      <c r="C39" s="107">
        <f>IF(B39="", "", VLOOKUP(B39, 'CLIENT DATA'!A:S, 19, FALSE))</f>
        <v/>
      </c>
      <c r="D39" s="107">
        <f t="array" ref="D39">IF(B39="", "", _xlfn.TEXTJOIN(", ", TRUE, IF('CLIENT DATA'!$A$2:$A$205=B39, 'CLIENT DATA'!$C$2:$F$205, "")))</f>
        <v/>
      </c>
      <c r="E39" s="52" t="n"/>
      <c r="F39" s="52" t="n"/>
      <c r="G39" s="52" t="n"/>
      <c r="H39" s="52" t="n"/>
      <c r="I39" s="52" t="n"/>
      <c r="J39" s="59" t="n"/>
      <c r="K39" s="59" t="n"/>
      <c r="L39" s="59" t="n"/>
      <c r="M39" s="59" t="n"/>
      <c r="N39" s="59" t="n"/>
      <c r="O39" s="297" t="n"/>
      <c r="P39" s="297" t="n"/>
      <c r="Q39" s="297" t="n"/>
      <c r="R39" s="297" t="n"/>
      <c r="S39" s="297" t="n"/>
      <c r="T39" s="297" t="n"/>
      <c r="U39" s="297" t="n"/>
    </row>
    <row r="40" customFormat="1" s="106">
      <c r="A40" s="174" t="n"/>
      <c r="B40" s="298" t="n"/>
      <c r="C40" s="107">
        <f>IF(B40="", "", VLOOKUP(B40, 'CLIENT DATA'!A:S, 19, FALSE))</f>
        <v/>
      </c>
      <c r="D40" s="107">
        <f t="array" ref="D40">IF(B40="", "", _xlfn.TEXTJOIN(", ", TRUE, IF('CLIENT DATA'!$A$2:$A$205=B40, 'CLIENT DATA'!$C$2:$F$205, "")))</f>
        <v/>
      </c>
      <c r="E40" s="52" t="n"/>
      <c r="F40" s="52" t="n"/>
      <c r="G40" s="52" t="n"/>
      <c r="H40" s="52" t="n"/>
      <c r="I40" s="52" t="n"/>
      <c r="J40" s="59" t="n"/>
      <c r="K40" s="59" t="n"/>
      <c r="L40" s="59" t="n"/>
      <c r="M40" s="59" t="n"/>
      <c r="N40" s="59" t="n"/>
      <c r="O40" s="297" t="n"/>
      <c r="P40" s="297" t="n"/>
      <c r="Q40" s="297" t="n"/>
      <c r="R40" s="297" t="n"/>
      <c r="S40" s="297" t="n"/>
      <c r="T40" s="297" t="n"/>
      <c r="U40" s="297" t="n"/>
    </row>
    <row r="41" customFormat="1" s="106">
      <c r="A41" s="174" t="n"/>
      <c r="B41" s="298" t="n"/>
      <c r="C41" s="107">
        <f>IF(B41="", "", VLOOKUP(B41, 'CLIENT DATA'!A:S, 19, FALSE))</f>
        <v/>
      </c>
      <c r="D41" s="107">
        <f t="array" ref="D41">IF(B41="", "", _xlfn.TEXTJOIN(", ", TRUE, IF('CLIENT DATA'!$A$2:$A$205=B41, 'CLIENT DATA'!$C$2:$F$205, "")))</f>
        <v/>
      </c>
      <c r="E41" s="52" t="n"/>
      <c r="F41" s="52" t="n"/>
      <c r="G41" s="52" t="n"/>
      <c r="H41" s="52" t="n"/>
      <c r="I41" s="52" t="n"/>
      <c r="J41" s="59" t="n"/>
      <c r="K41" s="59" t="n"/>
      <c r="L41" s="59" t="n"/>
      <c r="M41" s="59" t="n"/>
      <c r="N41" s="59" t="n"/>
      <c r="O41" s="297" t="n"/>
      <c r="P41" s="297" t="n"/>
      <c r="Q41" s="297" t="n"/>
      <c r="R41" s="297" t="n"/>
      <c r="S41" s="297" t="n"/>
      <c r="T41" s="297" t="n"/>
      <c r="U41" s="297" t="n"/>
    </row>
    <row r="42" customFormat="1" s="106">
      <c r="A42" s="174" t="n"/>
      <c r="B42" s="298" t="n"/>
      <c r="C42" s="107">
        <f>IF(B42="", "", VLOOKUP(B42, 'CLIENT DATA'!A:S, 19, FALSE))</f>
        <v/>
      </c>
      <c r="D42" s="107">
        <f t="array" ref="D42">IF(B42="", "", _xlfn.TEXTJOIN(", ", TRUE, IF('CLIENT DATA'!$A$2:$A$205=B42, 'CLIENT DATA'!$C$2:$F$205, "")))</f>
        <v/>
      </c>
      <c r="E42" s="52" t="n"/>
      <c r="F42" s="52" t="n"/>
      <c r="G42" s="52" t="n"/>
      <c r="H42" s="52" t="n"/>
      <c r="I42" s="52" t="n"/>
      <c r="J42" s="59" t="n"/>
      <c r="K42" s="59" t="n"/>
      <c r="L42" s="59" t="n"/>
      <c r="M42" s="59" t="n"/>
      <c r="N42" s="59" t="n"/>
      <c r="O42" s="297" t="n"/>
      <c r="P42" s="297" t="n"/>
      <c r="Q42" s="297" t="n"/>
      <c r="R42" s="297" t="n"/>
      <c r="S42" s="297" t="n"/>
      <c r="T42" s="297" t="n"/>
      <c r="U42" s="297" t="n"/>
    </row>
    <row r="43" customFormat="1" s="106">
      <c r="A43" s="174" t="n"/>
      <c r="B43" s="298" t="n"/>
      <c r="C43" s="107">
        <f>IF(B43="", "", VLOOKUP(B43, 'CLIENT DATA'!A:S, 19, FALSE))</f>
        <v/>
      </c>
      <c r="D43" s="107">
        <f t="array" ref="D43">IF(B43="", "", _xlfn.TEXTJOIN(", ", TRUE, IF('CLIENT DATA'!$A$2:$A$205=B43, 'CLIENT DATA'!$C$2:$F$205, "")))</f>
        <v/>
      </c>
      <c r="E43" s="52" t="n"/>
      <c r="F43" s="52" t="n"/>
      <c r="G43" s="52" t="n"/>
      <c r="H43" s="52" t="n"/>
      <c r="I43" s="52" t="n"/>
      <c r="J43" s="59" t="n"/>
      <c r="K43" s="59" t="n"/>
      <c r="L43" s="59" t="n"/>
      <c r="M43" s="59" t="n"/>
      <c r="N43" s="59" t="n"/>
      <c r="O43" s="297" t="n"/>
      <c r="P43" s="297" t="n"/>
      <c r="Q43" s="297" t="n"/>
      <c r="R43" s="297" t="n"/>
      <c r="S43" s="297" t="n"/>
      <c r="T43" s="297" t="n"/>
      <c r="U43" s="297" t="n"/>
    </row>
    <row r="44" customFormat="1" s="106">
      <c r="A44" s="174" t="n"/>
      <c r="B44" s="298" t="n"/>
      <c r="C44" s="107">
        <f>IF(B44="", "", VLOOKUP(B44, 'CLIENT DATA'!A:S, 19, FALSE))</f>
        <v/>
      </c>
      <c r="D44" s="107">
        <f t="array" ref="D44">IF(B44="", "", _xlfn.TEXTJOIN(", ", TRUE, IF('CLIENT DATA'!$A$2:$A$205=B44, 'CLIENT DATA'!$C$2:$F$205, "")))</f>
        <v/>
      </c>
      <c r="E44" s="52" t="n"/>
      <c r="F44" s="52" t="n"/>
      <c r="G44" s="52" t="n"/>
      <c r="H44" s="52" t="n"/>
      <c r="I44" s="52" t="n"/>
      <c r="J44" s="59" t="n"/>
      <c r="K44" s="59" t="n"/>
      <c r="L44" s="59" t="n"/>
      <c r="M44" s="59" t="n"/>
      <c r="N44" s="59" t="n"/>
      <c r="O44" s="297" t="n"/>
      <c r="P44" s="297" t="n"/>
      <c r="Q44" s="297" t="n"/>
      <c r="R44" s="297" t="n"/>
      <c r="S44" s="297" t="n"/>
      <c r="T44" s="297" t="n"/>
      <c r="U44" s="297" t="n"/>
    </row>
    <row r="45" customFormat="1" s="106">
      <c r="A45" s="174" t="n"/>
      <c r="B45" s="298" t="n"/>
      <c r="C45" s="107">
        <f>IF(B45="", "", VLOOKUP(B45, 'CLIENT DATA'!A:S, 19, FALSE))</f>
        <v/>
      </c>
      <c r="D45" s="107">
        <f t="array" ref="D45">IF(B45="", "", _xlfn.TEXTJOIN(", ", TRUE, IF('CLIENT DATA'!$A$2:$A$205=B45, 'CLIENT DATA'!$C$2:$F$205, "")))</f>
        <v/>
      </c>
      <c r="E45" s="52" t="n"/>
      <c r="F45" s="52" t="n"/>
      <c r="G45" s="52" t="n"/>
      <c r="H45" s="52" t="n"/>
      <c r="I45" s="52" t="n"/>
      <c r="J45" s="59" t="n"/>
      <c r="K45" s="59" t="n"/>
      <c r="L45" s="59" t="n"/>
      <c r="M45" s="59" t="n"/>
      <c r="N45" s="59" t="n"/>
      <c r="O45" s="297" t="n"/>
      <c r="P45" s="297" t="n"/>
      <c r="Q45" s="297" t="n"/>
      <c r="R45" s="297" t="n"/>
      <c r="S45" s="297" t="n"/>
      <c r="T45" s="297" t="n"/>
      <c r="U45" s="297" t="n"/>
    </row>
    <row r="46" customFormat="1" s="106">
      <c r="A46" s="174" t="n"/>
      <c r="B46" s="298" t="n"/>
      <c r="C46" s="107">
        <f>IF(B46="", "", VLOOKUP(B46, 'CLIENT DATA'!A:S, 19, FALSE))</f>
        <v/>
      </c>
      <c r="D46" s="107">
        <f t="array" ref="D46">IF(B46="", "", _xlfn.TEXTJOIN(", ", TRUE, IF('CLIENT DATA'!$A$2:$A$205=B46, 'CLIENT DATA'!$C$2:$F$205, "")))</f>
        <v/>
      </c>
      <c r="E46" s="52" t="n"/>
      <c r="F46" s="52" t="n"/>
      <c r="G46" s="52" t="n"/>
      <c r="H46" s="52" t="n"/>
      <c r="I46" s="52" t="n"/>
      <c r="J46" s="59" t="n"/>
      <c r="K46" s="59" t="n"/>
      <c r="L46" s="59" t="n"/>
      <c r="M46" s="59" t="n"/>
      <c r="N46" s="59" t="n"/>
      <c r="O46" s="297" t="n"/>
      <c r="P46" s="297" t="n"/>
      <c r="Q46" s="297" t="n"/>
      <c r="R46" s="297" t="n"/>
      <c r="S46" s="297" t="n"/>
      <c r="T46" s="297" t="n"/>
      <c r="U46" s="297" t="n"/>
    </row>
    <row r="47" customFormat="1" s="106">
      <c r="A47" s="174" t="n"/>
      <c r="B47" s="298" t="n"/>
      <c r="C47" s="107">
        <f>IF(B47="", "", VLOOKUP(B47, 'CLIENT DATA'!A:S, 19, FALSE))</f>
        <v/>
      </c>
      <c r="D47" s="107">
        <f t="array" ref="D47">IF(B47="", "", _xlfn.TEXTJOIN(", ", TRUE, IF('CLIENT DATA'!$A$2:$A$205=B47, 'CLIENT DATA'!$C$2:$F$205, "")))</f>
        <v/>
      </c>
      <c r="E47" s="52" t="n"/>
      <c r="F47" s="52" t="n"/>
      <c r="G47" s="52" t="n"/>
      <c r="H47" s="52" t="n"/>
      <c r="I47" s="52" t="n"/>
      <c r="J47" s="59" t="n"/>
      <c r="K47" s="59" t="n"/>
      <c r="L47" s="59" t="n"/>
      <c r="M47" s="59" t="n"/>
      <c r="N47" s="59" t="n"/>
      <c r="O47" s="297" t="n"/>
      <c r="P47" s="297" t="n"/>
      <c r="Q47" s="297" t="n"/>
      <c r="R47" s="297" t="n"/>
      <c r="S47" s="297" t="n"/>
      <c r="T47" s="297" t="n"/>
      <c r="U47" s="297" t="n"/>
    </row>
    <row r="48" customFormat="1" s="106">
      <c r="A48" s="174" t="n"/>
      <c r="B48" s="298" t="n"/>
      <c r="C48" s="107">
        <f>IF(B48="", "", VLOOKUP(B48, 'CLIENT DATA'!A:S, 19, FALSE))</f>
        <v/>
      </c>
      <c r="D48" s="107">
        <f t="array" ref="D48">IF(B48="", "", _xlfn.TEXTJOIN(", ", TRUE, IF('CLIENT DATA'!$A$2:$A$205=B48, 'CLIENT DATA'!$C$2:$F$205, "")))</f>
        <v/>
      </c>
      <c r="E48" s="52" t="n"/>
      <c r="F48" s="52" t="n"/>
      <c r="G48" s="52" t="n"/>
      <c r="H48" s="52" t="n"/>
      <c r="I48" s="52" t="n"/>
      <c r="J48" s="59" t="n"/>
      <c r="K48" s="59" t="n"/>
      <c r="L48" s="59" t="n"/>
      <c r="M48" s="59" t="n"/>
      <c r="N48" s="59" t="n"/>
      <c r="O48" s="297" t="n"/>
      <c r="P48" s="297" t="n"/>
      <c r="Q48" s="297" t="n"/>
      <c r="R48" s="297" t="n"/>
      <c r="S48" s="297" t="n"/>
      <c r="T48" s="297" t="n"/>
      <c r="U48" s="297" t="n"/>
    </row>
    <row r="49" customFormat="1" s="106">
      <c r="A49" s="174" t="n"/>
      <c r="B49" s="52" t="n"/>
      <c r="C49" s="107">
        <f>IF(B49="", "", VLOOKUP(B49, 'CLIENT DATA'!A:S, 19, FALSE))</f>
        <v/>
      </c>
      <c r="D49" s="107">
        <f t="array" ref="D49">IF(B49="", "", _xlfn.TEXTJOIN(", ", TRUE, IF('CLIENT DATA'!$A$2:$A$205=B49, 'CLIENT DATA'!$C$2:$F$205, "")))</f>
        <v/>
      </c>
      <c r="E49" s="52" t="n"/>
      <c r="F49" s="52" t="n"/>
      <c r="G49" s="52" t="n"/>
      <c r="H49" s="52" t="n"/>
      <c r="I49" s="52" t="n"/>
      <c r="J49" s="59" t="n"/>
      <c r="K49" s="59" t="n"/>
      <c r="L49" s="59" t="n"/>
      <c r="M49" s="59" t="n"/>
      <c r="N49" s="59" t="n"/>
      <c r="O49" s="297" t="n"/>
      <c r="P49" s="297" t="n"/>
      <c r="Q49" s="297" t="n"/>
      <c r="R49" s="297" t="n"/>
      <c r="S49" s="297" t="n"/>
      <c r="T49" s="297" t="n"/>
      <c r="U49" s="297" t="n"/>
    </row>
    <row r="50" customFormat="1" s="106">
      <c r="A50" s="174" t="n"/>
      <c r="B50" s="52" t="n"/>
      <c r="C50" s="107">
        <f>IF(B50="", "", VLOOKUP(B50, 'CLIENT DATA'!A:S, 19, FALSE))</f>
        <v/>
      </c>
      <c r="D50" s="107">
        <f t="array" ref="D50">IF(B50="", "", _xlfn.TEXTJOIN(", ", TRUE, IF('CLIENT DATA'!$A$2:$A$205=B50, 'CLIENT DATA'!$C$2:$F$205, "")))</f>
        <v/>
      </c>
      <c r="E50" s="52" t="n"/>
      <c r="F50" s="52" t="n"/>
      <c r="G50" s="52" t="n"/>
      <c r="H50" s="52" t="n"/>
      <c r="I50" s="52" t="n"/>
      <c r="J50" s="59" t="n"/>
      <c r="K50" s="59" t="n"/>
      <c r="L50" s="59" t="n"/>
      <c r="M50" s="59" t="n"/>
      <c r="N50" s="59" t="n"/>
      <c r="O50" s="297" t="n"/>
      <c r="P50" s="297" t="n"/>
      <c r="Q50" s="297" t="n"/>
      <c r="R50" s="297" t="n"/>
      <c r="S50" s="297" t="n"/>
      <c r="T50" s="297" t="n"/>
      <c r="U50" s="297" t="n"/>
    </row>
    <row r="51" customFormat="1" s="106">
      <c r="A51" s="174" t="n"/>
      <c r="B51" s="52" t="n"/>
      <c r="C51" s="107">
        <f>IF(B51="", "", VLOOKUP(B51, 'CLIENT DATA'!A:S, 19, FALSE))</f>
        <v/>
      </c>
      <c r="D51" s="107">
        <f t="array" ref="D51">IF(B51="", "", _xlfn.TEXTJOIN(", ", TRUE, IF('CLIENT DATA'!$A$2:$A$205=B51, 'CLIENT DATA'!$C$2:$F$205, "")))</f>
        <v/>
      </c>
      <c r="E51" s="52" t="n"/>
      <c r="F51" s="52" t="n"/>
      <c r="G51" s="52" t="n"/>
      <c r="H51" s="52" t="n"/>
      <c r="I51" s="52" t="n"/>
      <c r="J51" s="59" t="n"/>
      <c r="K51" s="59" t="n"/>
      <c r="L51" s="59" t="n"/>
      <c r="M51" s="59" t="n"/>
      <c r="N51" s="59" t="n"/>
      <c r="O51" s="297" t="n"/>
      <c r="P51" s="297" t="n"/>
      <c r="Q51" s="297" t="n"/>
      <c r="R51" s="297" t="n"/>
      <c r="S51" s="297" t="n"/>
      <c r="T51" s="297" t="n"/>
      <c r="U51" s="297" t="n"/>
    </row>
    <row r="52" customFormat="1" s="106">
      <c r="A52" s="174" t="n"/>
      <c r="B52" s="52" t="n"/>
      <c r="C52" s="107">
        <f>IF(B52="", "", VLOOKUP(B52, 'CLIENT DATA'!A:S, 19, FALSE))</f>
        <v/>
      </c>
      <c r="D52" s="107">
        <f t="array" ref="D52">IF(B52="", "", _xlfn.TEXTJOIN(", ", TRUE, IF('CLIENT DATA'!$A$2:$A$205=B52, 'CLIENT DATA'!$C$2:$F$205, "")))</f>
        <v/>
      </c>
      <c r="E52" s="52" t="n"/>
      <c r="F52" s="52" t="n"/>
      <c r="G52" s="52" t="n"/>
      <c r="H52" s="52" t="n"/>
      <c r="I52" s="52" t="n"/>
      <c r="J52" s="59" t="n"/>
      <c r="K52" s="59" t="n"/>
      <c r="L52" s="59" t="n"/>
      <c r="M52" s="59" t="n"/>
      <c r="N52" s="59" t="n"/>
      <c r="O52" s="297" t="n"/>
      <c r="P52" s="297" t="n"/>
      <c r="Q52" s="297" t="n"/>
      <c r="R52" s="297" t="n"/>
      <c r="S52" s="297" t="n"/>
      <c r="T52" s="297" t="n"/>
      <c r="U52" s="297" t="n"/>
    </row>
    <row r="53" customFormat="1" s="106">
      <c r="A53" s="174" t="n"/>
      <c r="B53" s="52" t="n"/>
      <c r="C53" s="107">
        <f>IF(B53="", "", VLOOKUP(B53, 'CLIENT DATA'!A:S, 19, FALSE))</f>
        <v/>
      </c>
      <c r="D53" s="107">
        <f t="array" ref="D53">IF(B53="", "", _xlfn.TEXTJOIN(", ", TRUE, IF('CLIENT DATA'!$A$2:$A$205=B53, 'CLIENT DATA'!$C$2:$F$205, "")))</f>
        <v/>
      </c>
      <c r="E53" s="52" t="n"/>
      <c r="F53" s="52" t="n"/>
      <c r="G53" s="52" t="n"/>
      <c r="H53" s="52" t="n"/>
      <c r="I53" s="52" t="n"/>
      <c r="J53" s="59" t="n"/>
      <c r="K53" s="59" t="n"/>
      <c r="L53" s="59" t="n"/>
      <c r="M53" s="59" t="n"/>
      <c r="N53" s="59" t="n"/>
      <c r="O53" s="297" t="n"/>
      <c r="P53" s="297" t="n"/>
      <c r="Q53" s="297" t="n"/>
      <c r="R53" s="297" t="n"/>
      <c r="S53" s="297" t="n"/>
      <c r="T53" s="297" t="n"/>
      <c r="U53" s="297" t="n"/>
    </row>
    <row r="54" customFormat="1" s="106">
      <c r="A54" s="174" t="n"/>
      <c r="B54" s="52" t="n"/>
      <c r="C54" s="107">
        <f>IF(B54="", "", VLOOKUP(B54, 'CLIENT DATA'!A:S, 19, FALSE))</f>
        <v/>
      </c>
      <c r="D54" s="107">
        <f t="array" ref="D54">IF(B54="", "", _xlfn.TEXTJOIN(", ", TRUE, IF('CLIENT DATA'!$A$2:$A$205=B54, 'CLIENT DATA'!$C$2:$F$205, "")))</f>
        <v/>
      </c>
      <c r="E54" s="52" t="n"/>
      <c r="F54" s="52" t="n"/>
      <c r="G54" s="52" t="n"/>
      <c r="H54" s="52" t="n"/>
      <c r="I54" s="52" t="n"/>
      <c r="J54" s="59" t="n"/>
      <c r="K54" s="59" t="n"/>
      <c r="L54" s="59" t="n"/>
      <c r="M54" s="59" t="n"/>
      <c r="N54" s="59" t="n"/>
      <c r="O54" s="297" t="n"/>
      <c r="P54" s="297" t="n"/>
      <c r="Q54" s="297" t="n"/>
      <c r="R54" s="297" t="n"/>
      <c r="S54" s="297" t="n"/>
      <c r="T54" s="297" t="n"/>
      <c r="U54" s="297" t="n"/>
    </row>
    <row r="55" customFormat="1" s="106">
      <c r="A55" s="174" t="n"/>
      <c r="B55" s="52" t="n"/>
      <c r="C55" s="107">
        <f>IF(B55="", "", VLOOKUP(B55, 'CLIENT DATA'!A:S, 19, FALSE))</f>
        <v/>
      </c>
      <c r="D55" s="107">
        <f t="array" ref="D55">IF(B55="", "", _xlfn.TEXTJOIN(", ", TRUE, IF('CLIENT DATA'!$A$2:$A$205=B55, 'CLIENT DATA'!$C$2:$F$205, "")))</f>
        <v/>
      </c>
      <c r="E55" s="52" t="n"/>
      <c r="F55" s="52" t="n"/>
      <c r="G55" s="52" t="n"/>
      <c r="H55" s="52" t="n"/>
      <c r="I55" s="52" t="n"/>
      <c r="J55" s="59" t="n"/>
      <c r="K55" s="59" t="n"/>
      <c r="L55" s="59" t="n"/>
      <c r="M55" s="59" t="n"/>
      <c r="N55" s="59" t="n"/>
      <c r="O55" s="297" t="n"/>
      <c r="P55" s="297" t="n"/>
      <c r="Q55" s="297" t="n"/>
      <c r="R55" s="297" t="n"/>
      <c r="S55" s="297" t="n"/>
      <c r="T55" s="297" t="n"/>
      <c r="U55" s="297" t="n"/>
    </row>
    <row r="56" customFormat="1" s="106">
      <c r="A56" s="174" t="n"/>
      <c r="B56" s="52" t="n"/>
      <c r="C56" s="107">
        <f>IF(B56="", "", VLOOKUP(B56, 'CLIENT DATA'!A:S, 19, FALSE))</f>
        <v/>
      </c>
      <c r="D56" s="107">
        <f t="array" ref="D56">IF(B56="", "", _xlfn.TEXTJOIN(", ", TRUE, IF('CLIENT DATA'!$A$2:$A$205=B56, 'CLIENT DATA'!$C$2:$F$205, "")))</f>
        <v/>
      </c>
      <c r="E56" s="52" t="n"/>
      <c r="F56" s="52" t="n"/>
      <c r="G56" s="52" t="n"/>
      <c r="H56" s="52" t="n"/>
      <c r="I56" s="52" t="n"/>
      <c r="J56" s="59" t="n"/>
      <c r="K56" s="59" t="n"/>
      <c r="L56" s="59" t="n"/>
      <c r="M56" s="59" t="n"/>
      <c r="N56" s="59" t="n"/>
      <c r="O56" s="297" t="n"/>
      <c r="P56" s="297" t="n"/>
      <c r="Q56" s="297" t="n"/>
      <c r="R56" s="297" t="n"/>
      <c r="S56" s="297" t="n"/>
      <c r="T56" s="297" t="n"/>
      <c r="U56" s="297" t="n"/>
    </row>
    <row r="57" customFormat="1" s="106">
      <c r="A57" s="174" t="n"/>
      <c r="B57" s="298" t="n"/>
      <c r="C57" s="107">
        <f>IF(B57="", "", VLOOKUP(B57, 'CLIENT DATA'!A:S, 19, FALSE))</f>
        <v/>
      </c>
      <c r="D57" s="107">
        <f t="array" ref="D57">IF(B57="", "", _xlfn.TEXTJOIN(", ", TRUE, IF('CLIENT DATA'!$A$2:$A$205=B57, 'CLIENT DATA'!$C$2:$F$205, "")))</f>
        <v/>
      </c>
      <c r="E57" s="52" t="n"/>
      <c r="F57" s="52" t="n"/>
      <c r="G57" s="52" t="n"/>
      <c r="H57" s="52" t="n"/>
      <c r="I57" s="52" t="n"/>
      <c r="J57" s="59" t="n"/>
      <c r="K57" s="59" t="n"/>
      <c r="L57" s="59" t="n"/>
      <c r="M57" s="59" t="n"/>
      <c r="N57" s="59" t="n"/>
      <c r="O57" s="297" t="n"/>
      <c r="P57" s="297" t="n"/>
      <c r="Q57" s="297" t="n"/>
      <c r="R57" s="297" t="n"/>
      <c r="S57" s="297" t="n"/>
      <c r="T57" s="297" t="n"/>
      <c r="U57" s="297" t="n"/>
    </row>
    <row r="58" customFormat="1" s="106">
      <c r="A58" s="174" t="n"/>
      <c r="B58" s="298" t="n"/>
      <c r="C58" s="107">
        <f>IF(B58="", "", VLOOKUP(B58, 'CLIENT DATA'!A:S, 19, FALSE))</f>
        <v/>
      </c>
      <c r="D58" s="107">
        <f t="array" ref="D58">IF(B58="", "", _xlfn.TEXTJOIN(", ", TRUE, IF('CLIENT DATA'!$A$2:$A$205=B58, 'CLIENT DATA'!$C$2:$F$205, "")))</f>
        <v/>
      </c>
      <c r="E58" s="52" t="n"/>
      <c r="F58" s="52" t="n"/>
      <c r="G58" s="52" t="n"/>
      <c r="H58" s="52" t="n"/>
      <c r="I58" s="52" t="n"/>
      <c r="J58" s="59" t="n"/>
      <c r="K58" s="59" t="n"/>
      <c r="L58" s="59" t="n"/>
      <c r="M58" s="59" t="n"/>
      <c r="N58" s="59" t="n"/>
      <c r="O58" s="297" t="n"/>
      <c r="P58" s="297" t="n"/>
      <c r="Q58" s="297" t="n"/>
      <c r="R58" s="297" t="n"/>
      <c r="S58" s="297" t="n"/>
      <c r="T58" s="297" t="n"/>
      <c r="U58" s="297" t="n"/>
    </row>
    <row r="59" customFormat="1" s="106">
      <c r="A59" s="174" t="n"/>
      <c r="B59" s="298" t="n"/>
      <c r="C59" s="107">
        <f>IF(B59="", "", VLOOKUP(B59, 'CLIENT DATA'!A:S, 19, FALSE))</f>
        <v/>
      </c>
      <c r="D59" s="107">
        <f t="array" ref="D59">IF(B59="", "", _xlfn.TEXTJOIN(", ", TRUE, IF('CLIENT DATA'!$A$2:$A$205=B59, 'CLIENT DATA'!$C$2:$F$205, "")))</f>
        <v/>
      </c>
      <c r="E59" s="52" t="n"/>
      <c r="F59" s="52" t="n"/>
      <c r="G59" s="52" t="n"/>
      <c r="H59" s="52" t="n"/>
      <c r="I59" s="52" t="n"/>
      <c r="J59" s="59" t="n"/>
      <c r="K59" s="59" t="n"/>
      <c r="L59" s="59" t="n"/>
      <c r="M59" s="59" t="n"/>
      <c r="N59" s="59" t="n"/>
      <c r="O59" s="297" t="n"/>
      <c r="P59" s="297" t="n"/>
      <c r="Q59" s="297" t="n"/>
      <c r="R59" s="297" t="n"/>
      <c r="S59" s="297" t="n"/>
      <c r="T59" s="297" t="n"/>
      <c r="U59" s="297" t="n"/>
    </row>
    <row r="60" customFormat="1" s="106">
      <c r="A60" s="174" t="n"/>
      <c r="B60" s="298" t="n"/>
      <c r="C60" s="107">
        <f>IF(B60="", "", VLOOKUP(B60, 'CLIENT DATA'!A:S, 19, FALSE))</f>
        <v/>
      </c>
      <c r="D60" s="107">
        <f t="array" ref="D60">IF(B60="", "", _xlfn.TEXTJOIN(", ", TRUE, IF('CLIENT DATA'!$A$2:$A$205=B60, 'CLIENT DATA'!$C$2:$F$205, "")))</f>
        <v/>
      </c>
      <c r="E60" s="52" t="n"/>
      <c r="F60" s="52" t="n"/>
      <c r="G60" s="52" t="n"/>
      <c r="H60" s="52" t="n"/>
      <c r="I60" s="52" t="n"/>
      <c r="J60" s="59" t="n"/>
      <c r="K60" s="59" t="n"/>
      <c r="L60" s="59" t="n"/>
      <c r="M60" s="59" t="n"/>
      <c r="N60" s="59" t="n"/>
      <c r="O60" s="297" t="n"/>
      <c r="P60" s="297" t="n"/>
      <c r="Q60" s="297" t="n"/>
      <c r="R60" s="297" t="n"/>
      <c r="S60" s="297" t="n"/>
      <c r="T60" s="297" t="n"/>
      <c r="U60" s="297" t="n"/>
    </row>
    <row r="61" customFormat="1" s="106">
      <c r="A61" s="174" t="n"/>
      <c r="B61" s="298" t="n"/>
      <c r="C61" s="107">
        <f>IF(B61="", "", VLOOKUP(B61, 'CLIENT DATA'!A:S, 19, FALSE))</f>
        <v/>
      </c>
      <c r="D61" s="107">
        <f t="array" ref="D61">IF(B61="", "", _xlfn.TEXTJOIN(", ", TRUE, IF('CLIENT DATA'!$A$2:$A$205=B61, 'CLIENT DATA'!$C$2:$F$205, "")))</f>
        <v/>
      </c>
      <c r="E61" s="52" t="n"/>
      <c r="F61" s="52" t="n"/>
      <c r="G61" s="52" t="n"/>
      <c r="H61" s="52" t="n"/>
      <c r="I61" s="52" t="n"/>
      <c r="J61" s="59" t="n"/>
      <c r="K61" s="59" t="n"/>
      <c r="L61" s="59" t="n"/>
      <c r="M61" s="59" t="n"/>
      <c r="N61" s="59" t="n"/>
      <c r="O61" s="297" t="n"/>
      <c r="P61" s="297" t="n"/>
      <c r="Q61" s="297" t="n"/>
      <c r="R61" s="297" t="n"/>
      <c r="S61" s="297" t="n"/>
      <c r="T61" s="297" t="n"/>
      <c r="U61" s="297" t="n"/>
    </row>
    <row r="62" customFormat="1" s="106">
      <c r="A62" s="174" t="n"/>
      <c r="B62" s="298" t="n"/>
      <c r="C62" s="107">
        <f>IF(B62="", "", VLOOKUP(B62, 'CLIENT DATA'!A:S, 19, FALSE))</f>
        <v/>
      </c>
      <c r="D62" s="107">
        <f t="array" ref="D62">IF(B62="", "", _xlfn.TEXTJOIN(", ", TRUE, IF('CLIENT DATA'!$A$2:$A$205=B62, 'CLIENT DATA'!$C$2:$F$205, "")))</f>
        <v/>
      </c>
      <c r="E62" s="52" t="n"/>
      <c r="F62" s="52" t="n"/>
      <c r="G62" s="52" t="n"/>
      <c r="H62" s="52" t="n"/>
      <c r="I62" s="52" t="n"/>
      <c r="J62" s="59" t="n"/>
      <c r="K62" s="59" t="n"/>
      <c r="L62" s="59" t="n"/>
      <c r="M62" s="59" t="n"/>
      <c r="N62" s="59" t="n"/>
      <c r="O62" s="297" t="n"/>
      <c r="P62" s="297" t="n"/>
      <c r="Q62" s="297" t="n"/>
      <c r="R62" s="297" t="n"/>
      <c r="S62" s="297" t="n"/>
      <c r="T62" s="297" t="n"/>
      <c r="U62" s="297" t="n"/>
    </row>
    <row r="63" customFormat="1" s="106">
      <c r="A63" s="174" t="n"/>
      <c r="B63" s="298" t="n"/>
      <c r="C63" s="107">
        <f>IF(B63="", "", VLOOKUP(B63, 'CLIENT DATA'!A:S, 19, FALSE))</f>
        <v/>
      </c>
      <c r="D63" s="107">
        <f t="array" ref="D63">IF(B63="", "", _xlfn.TEXTJOIN(", ", TRUE, IF('CLIENT DATA'!$A$2:$A$205=B63, 'CLIENT DATA'!$C$2:$F$205, "")))</f>
        <v/>
      </c>
      <c r="E63" s="52" t="n"/>
      <c r="F63" s="52" t="n"/>
      <c r="G63" s="52" t="n"/>
      <c r="H63" s="52" t="n"/>
      <c r="I63" s="52" t="n"/>
      <c r="J63" s="59" t="n"/>
      <c r="K63" s="59" t="n"/>
      <c r="L63" s="59" t="n"/>
      <c r="M63" s="59" t="n"/>
      <c r="N63" s="59" t="n"/>
      <c r="O63" s="297" t="n"/>
      <c r="P63" s="297" t="n"/>
      <c r="Q63" s="297" t="n"/>
      <c r="R63" s="297" t="n"/>
      <c r="S63" s="297" t="n"/>
      <c r="T63" s="297" t="n"/>
      <c r="U63" s="297" t="n"/>
    </row>
    <row r="64" customFormat="1" s="106">
      <c r="A64" s="174" t="n"/>
      <c r="B64" s="298" t="n"/>
      <c r="C64" s="107">
        <f>IF(B64="", "", VLOOKUP(B64, 'CLIENT DATA'!A:S, 19, FALSE))</f>
        <v/>
      </c>
      <c r="D64" s="107">
        <f t="array" ref="D64">IF(B64="", "", _xlfn.TEXTJOIN(", ", TRUE, IF('CLIENT DATA'!$A$2:$A$205=B64, 'CLIENT DATA'!$C$2:$F$205, "")))</f>
        <v/>
      </c>
      <c r="E64" s="52" t="n"/>
      <c r="F64" s="52" t="n"/>
      <c r="G64" s="52" t="n"/>
      <c r="H64" s="52" t="n"/>
      <c r="I64" s="52" t="n"/>
      <c r="J64" s="59" t="n"/>
      <c r="K64" s="59" t="n"/>
      <c r="L64" s="59" t="n"/>
      <c r="M64" s="59" t="n"/>
      <c r="N64" s="59" t="n"/>
      <c r="O64" s="297" t="n"/>
      <c r="P64" s="297" t="n"/>
      <c r="Q64" s="297" t="n"/>
      <c r="R64" s="297" t="n"/>
      <c r="S64" s="297" t="n"/>
      <c r="T64" s="297" t="n"/>
      <c r="U64" s="297" t="n"/>
    </row>
    <row r="65" customFormat="1" s="106">
      <c r="A65" s="174" t="n"/>
      <c r="B65" s="298" t="n"/>
      <c r="C65" s="107">
        <f>IF(B65="", "", VLOOKUP(B65, 'CLIENT DATA'!A:S, 19, FALSE))</f>
        <v/>
      </c>
      <c r="D65" s="107">
        <f t="array" ref="D65">IF(B65="", "", _xlfn.TEXTJOIN(", ", TRUE, IF('CLIENT DATA'!$A$2:$A$205=B65, 'CLIENT DATA'!$C$2:$F$205, "")))</f>
        <v/>
      </c>
      <c r="E65" s="52" t="n"/>
      <c r="F65" s="52" t="n"/>
      <c r="G65" s="52" t="n"/>
      <c r="H65" s="52" t="n"/>
      <c r="I65" s="52" t="n"/>
      <c r="J65" s="59" t="n"/>
      <c r="K65" s="59" t="n"/>
      <c r="L65" s="59" t="n"/>
      <c r="M65" s="59" t="n"/>
      <c r="N65" s="59" t="n"/>
      <c r="O65" s="297" t="n"/>
      <c r="P65" s="297" t="n"/>
      <c r="Q65" s="297" t="n"/>
      <c r="R65" s="297" t="n"/>
      <c r="S65" s="297" t="n"/>
      <c r="T65" s="297" t="n"/>
      <c r="U65" s="297" t="n"/>
    </row>
    <row r="66" customFormat="1" s="106">
      <c r="A66" s="174" t="n"/>
      <c r="B66" s="298" t="n"/>
      <c r="C66" s="107">
        <f>IF(B66="", "", VLOOKUP(B66, 'CLIENT DATA'!A:S, 19, FALSE))</f>
        <v/>
      </c>
      <c r="D66" s="107">
        <f t="array" ref="D66">IF(B66="", "", _xlfn.TEXTJOIN(", ", TRUE, IF('CLIENT DATA'!$A$2:$A$205=B66, 'CLIENT DATA'!$C$2:$F$205, "")))</f>
        <v/>
      </c>
      <c r="E66" s="52" t="n"/>
      <c r="F66" s="52" t="n"/>
      <c r="G66" s="52" t="n"/>
      <c r="H66" s="52" t="n"/>
      <c r="I66" s="52" t="n"/>
      <c r="J66" s="59" t="n"/>
      <c r="K66" s="59" t="n"/>
      <c r="L66" s="59" t="n"/>
      <c r="M66" s="59" t="n"/>
      <c r="N66" s="59" t="n"/>
      <c r="O66" s="297" t="n"/>
      <c r="P66" s="297" t="n"/>
      <c r="Q66" s="297" t="n"/>
      <c r="R66" s="297" t="n"/>
      <c r="S66" s="297" t="n"/>
      <c r="T66" s="297" t="n"/>
      <c r="U66" s="297" t="n"/>
    </row>
    <row r="67" customFormat="1" s="106">
      <c r="A67" s="174" t="n"/>
      <c r="B67" s="298" t="n"/>
      <c r="C67" s="107">
        <f>IF(B67="", "", VLOOKUP(B67, 'CLIENT DATA'!A:S, 19, FALSE))</f>
        <v/>
      </c>
      <c r="D67" s="107">
        <f t="array" ref="D67">IF(B67="", "", _xlfn.TEXTJOIN(", ", TRUE, IF('CLIENT DATA'!$A$2:$A$205=B67, 'CLIENT DATA'!$C$2:$F$205, "")))</f>
        <v/>
      </c>
      <c r="E67" s="52" t="n"/>
      <c r="F67" s="52" t="n"/>
      <c r="G67" s="52" t="n"/>
      <c r="H67" s="52" t="n"/>
      <c r="I67" s="52" t="n"/>
      <c r="J67" s="59" t="n"/>
      <c r="K67" s="59" t="n"/>
      <c r="L67" s="59" t="n"/>
      <c r="M67" s="59" t="n"/>
      <c r="N67" s="59" t="n"/>
      <c r="O67" s="297" t="n"/>
      <c r="P67" s="297" t="n"/>
      <c r="Q67" s="297" t="n"/>
      <c r="R67" s="297" t="n"/>
      <c r="S67" s="297" t="n"/>
      <c r="T67" s="297" t="n"/>
      <c r="U67" s="297" t="n"/>
    </row>
    <row r="68" customFormat="1" s="106">
      <c r="A68" s="174" t="n"/>
      <c r="B68" s="298" t="n"/>
      <c r="C68" s="107">
        <f>IF(B68="", "", VLOOKUP(B68, 'CLIENT DATA'!A:S, 19, FALSE))</f>
        <v/>
      </c>
      <c r="D68" s="107">
        <f t="array" ref="D68">IF(B68="", "", _xlfn.TEXTJOIN(", ", TRUE, IF('CLIENT DATA'!$A$2:$A$205=B68, 'CLIENT DATA'!$C$2:$F$205, "")))</f>
        <v/>
      </c>
      <c r="E68" s="52" t="n"/>
      <c r="F68" s="52" t="n"/>
      <c r="G68" s="52" t="n"/>
      <c r="H68" s="52" t="n"/>
      <c r="I68" s="52" t="n"/>
      <c r="J68" s="59" t="n"/>
      <c r="K68" s="59" t="n"/>
      <c r="L68" s="59" t="n"/>
      <c r="M68" s="59" t="n"/>
      <c r="N68" s="59" t="n"/>
      <c r="O68" s="297" t="n"/>
      <c r="P68" s="297" t="n"/>
      <c r="Q68" s="297" t="n"/>
      <c r="R68" s="297" t="n"/>
      <c r="S68" s="297" t="n"/>
      <c r="T68" s="297" t="n"/>
      <c r="U68" s="297" t="n"/>
    </row>
    <row r="69" customFormat="1" s="106">
      <c r="A69" s="174" t="n"/>
      <c r="B69" s="298" t="n"/>
      <c r="C69" s="107">
        <f>IF(B69="", "", VLOOKUP(B69, 'CLIENT DATA'!A:S, 19, FALSE))</f>
        <v/>
      </c>
      <c r="D69" s="107">
        <f t="array" ref="D69">IF(B69="", "", _xlfn.TEXTJOIN(", ", TRUE, IF('CLIENT DATA'!$A$2:$A$205=B69, 'CLIENT DATA'!$C$2:$F$205, "")))</f>
        <v/>
      </c>
      <c r="E69" s="52" t="n"/>
      <c r="F69" s="52" t="n"/>
      <c r="G69" s="52" t="n"/>
      <c r="H69" s="52" t="n"/>
      <c r="I69" s="52" t="n"/>
      <c r="J69" s="59" t="n"/>
      <c r="K69" s="59" t="n"/>
      <c r="L69" s="59" t="n"/>
      <c r="M69" s="59" t="n"/>
      <c r="N69" s="59" t="n"/>
      <c r="O69" s="297" t="n"/>
      <c r="P69" s="297" t="n"/>
      <c r="Q69" s="297" t="n"/>
      <c r="R69" s="297" t="n"/>
      <c r="S69" s="297" t="n"/>
      <c r="T69" s="297" t="n"/>
      <c r="U69" s="297" t="n"/>
    </row>
    <row r="70" customFormat="1" s="106">
      <c r="A70" s="174" t="n"/>
      <c r="B70" s="52" t="n"/>
      <c r="C70" s="107">
        <f>IF(B70="", "", VLOOKUP(B70, 'CLIENT DATA'!A:S, 19, FALSE))</f>
        <v/>
      </c>
      <c r="D70" s="107">
        <f t="array" ref="D70">IF(B70="", "", _xlfn.TEXTJOIN(", ", TRUE, IF('CLIENT DATA'!$A$2:$A$205=B70, 'CLIENT DATA'!$C$2:$F$205, "")))</f>
        <v/>
      </c>
      <c r="E70" s="52" t="n"/>
      <c r="F70" s="52" t="n"/>
      <c r="G70" s="52" t="n"/>
      <c r="H70" s="52" t="n"/>
      <c r="I70" s="52" t="n"/>
      <c r="J70" s="59" t="n"/>
      <c r="K70" s="59" t="n"/>
      <c r="L70" s="59" t="n"/>
      <c r="M70" s="59" t="n"/>
      <c r="N70" s="59" t="n"/>
      <c r="O70" s="297" t="n"/>
      <c r="P70" s="297" t="n"/>
      <c r="Q70" s="297" t="n"/>
      <c r="R70" s="297" t="n"/>
      <c r="S70" s="297" t="n"/>
      <c r="T70" s="297" t="n"/>
      <c r="U70" s="297" t="n"/>
    </row>
    <row r="71" customFormat="1" s="106">
      <c r="A71" s="174" t="n"/>
      <c r="B71" s="52" t="n"/>
      <c r="C71" s="107">
        <f>IF(B71="", "", VLOOKUP(B71, 'CLIENT DATA'!A:S, 19, FALSE))</f>
        <v/>
      </c>
      <c r="D71" s="107">
        <f t="array" ref="D71">IF(B71="", "", _xlfn.TEXTJOIN(", ", TRUE, IF('CLIENT DATA'!$A$2:$A$205=B71, 'CLIENT DATA'!$C$2:$F$205, "")))</f>
        <v/>
      </c>
      <c r="E71" s="52" t="n"/>
      <c r="F71" s="52" t="n"/>
      <c r="G71" s="52" t="n"/>
      <c r="H71" s="52" t="n"/>
      <c r="I71" s="52" t="n"/>
      <c r="J71" s="59" t="n"/>
      <c r="K71" s="59" t="n"/>
      <c r="L71" s="59" t="n"/>
      <c r="M71" s="59" t="n"/>
      <c r="N71" s="59" t="n"/>
      <c r="O71" s="297" t="n"/>
      <c r="P71" s="297" t="n"/>
      <c r="Q71" s="297" t="n"/>
      <c r="R71" s="297" t="n"/>
      <c r="S71" s="297" t="n"/>
      <c r="T71" s="297" t="n"/>
      <c r="U71" s="297" t="n"/>
    </row>
    <row r="72" customFormat="1" s="106">
      <c r="A72" s="174" t="n"/>
      <c r="B72" s="52" t="n"/>
      <c r="C72" s="107">
        <f>IF(B72="", "", VLOOKUP(B72, 'CLIENT DATA'!A:S, 19, FALSE))</f>
        <v/>
      </c>
      <c r="D72" s="107">
        <f t="array" ref="D72">IF(B72="", "", _xlfn.TEXTJOIN(", ", TRUE, IF('CLIENT DATA'!$A$2:$A$205=B72, 'CLIENT DATA'!$C$2:$F$205, "")))</f>
        <v/>
      </c>
      <c r="E72" s="52" t="n"/>
      <c r="F72" s="52" t="n"/>
      <c r="G72" s="52" t="n"/>
      <c r="H72" s="52" t="n"/>
      <c r="I72" s="52" t="n"/>
      <c r="J72" s="59" t="n"/>
      <c r="K72" s="59" t="n"/>
      <c r="L72" s="59" t="n"/>
      <c r="M72" s="59" t="n"/>
      <c r="N72" s="59" t="n"/>
      <c r="O72" s="297" t="n"/>
      <c r="P72" s="297" t="n"/>
      <c r="Q72" s="297" t="n"/>
      <c r="R72" s="297" t="n"/>
      <c r="S72" s="297" t="n"/>
      <c r="T72" s="297" t="n"/>
      <c r="U72" s="297" t="n"/>
    </row>
    <row r="73" customFormat="1" s="106">
      <c r="A73" s="174" t="n"/>
      <c r="B73" s="52" t="n"/>
      <c r="C73" s="107">
        <f>IF(B73="", "", VLOOKUP(B73, 'CLIENT DATA'!A:S, 19, FALSE))</f>
        <v/>
      </c>
      <c r="D73" s="107">
        <f t="array" ref="D73">IF(B73="", "", _xlfn.TEXTJOIN(", ", TRUE, IF('CLIENT DATA'!$A$2:$A$205=B73, 'CLIENT DATA'!$C$2:$F$205, "")))</f>
        <v/>
      </c>
      <c r="E73" s="52" t="n"/>
      <c r="F73" s="52" t="n"/>
      <c r="G73" s="52" t="n"/>
      <c r="H73" s="52" t="n"/>
      <c r="I73" s="52" t="n"/>
      <c r="J73" s="59" t="n"/>
      <c r="K73" s="59" t="n"/>
      <c r="L73" s="59" t="n"/>
      <c r="M73" s="59" t="n"/>
      <c r="N73" s="59" t="n"/>
      <c r="O73" s="297" t="n"/>
      <c r="P73" s="297" t="n"/>
      <c r="Q73" s="297" t="n"/>
      <c r="R73" s="297" t="n"/>
      <c r="S73" s="297" t="n"/>
      <c r="T73" s="297" t="n"/>
      <c r="U73" s="297" t="n"/>
    </row>
    <row r="74" customFormat="1" s="106">
      <c r="A74" s="174" t="n"/>
      <c r="B74" s="52" t="n"/>
      <c r="C74" s="107">
        <f>IF(B74="", "", VLOOKUP(B74, 'CLIENT DATA'!A:S, 19, FALSE))</f>
        <v/>
      </c>
      <c r="D74" s="107">
        <f t="array" ref="D74">IF(B74="", "", _xlfn.TEXTJOIN(", ", TRUE, IF('CLIENT DATA'!$A$2:$A$205=B74, 'CLIENT DATA'!$C$2:$F$205, "")))</f>
        <v/>
      </c>
      <c r="E74" s="52" t="n"/>
      <c r="F74" s="52" t="n"/>
      <c r="G74" s="52" t="n"/>
      <c r="H74" s="52" t="n"/>
      <c r="I74" s="52" t="n"/>
      <c r="J74" s="59" t="n"/>
      <c r="K74" s="59" t="n"/>
      <c r="L74" s="59" t="n"/>
      <c r="M74" s="59" t="n"/>
      <c r="N74" s="59" t="n"/>
      <c r="O74" s="297" t="n"/>
      <c r="P74" s="297" t="n"/>
      <c r="Q74" s="297" t="n"/>
      <c r="R74" s="297" t="n"/>
      <c r="S74" s="297" t="n"/>
      <c r="T74" s="297" t="n"/>
      <c r="U74" s="297" t="n"/>
    </row>
    <row r="75" customFormat="1" s="106">
      <c r="A75" s="174" t="n"/>
      <c r="B75" s="52" t="n"/>
      <c r="C75" s="107">
        <f>IF(B75="", "", VLOOKUP(B75, 'CLIENT DATA'!A:S, 19, FALSE))</f>
        <v/>
      </c>
      <c r="D75" s="107">
        <f t="array" ref="D75">IF(B75="", "", _xlfn.TEXTJOIN(", ", TRUE, IF('CLIENT DATA'!$A$2:$A$205=B75, 'CLIENT DATA'!$C$2:$F$205, "")))</f>
        <v/>
      </c>
      <c r="E75" s="52" t="n"/>
      <c r="F75" s="52" t="n"/>
      <c r="G75" s="52" t="n"/>
      <c r="H75" s="52" t="n"/>
      <c r="I75" s="52" t="n"/>
      <c r="J75" s="59" t="n"/>
      <c r="K75" s="59" t="n"/>
      <c r="L75" s="59" t="n"/>
      <c r="M75" s="59" t="n"/>
      <c r="N75" s="59" t="n"/>
      <c r="O75" s="297" t="n"/>
      <c r="P75" s="297" t="n"/>
      <c r="Q75" s="297" t="n"/>
      <c r="R75" s="297" t="n"/>
      <c r="S75" s="297" t="n"/>
      <c r="T75" s="297" t="n"/>
      <c r="U75" s="297" t="n"/>
    </row>
    <row r="76" customFormat="1" s="106">
      <c r="A76" s="174" t="n"/>
      <c r="B76" s="52" t="n"/>
      <c r="C76" s="107">
        <f>IF(B76="", "", VLOOKUP(B76, 'CLIENT DATA'!A:S, 19, FALSE))</f>
        <v/>
      </c>
      <c r="D76" s="107">
        <f t="array" ref="D76">IF(B76="", "", _xlfn.TEXTJOIN(", ", TRUE, IF('CLIENT DATA'!$A$2:$A$205=B76, 'CLIENT DATA'!$C$2:$F$205, "")))</f>
        <v/>
      </c>
      <c r="E76" s="52" t="n"/>
      <c r="F76" s="52" t="n"/>
      <c r="G76" s="52" t="n"/>
      <c r="H76" s="52" t="n"/>
      <c r="I76" s="52" t="n"/>
      <c r="J76" s="59" t="n"/>
      <c r="K76" s="59" t="n"/>
      <c r="L76" s="59" t="n"/>
      <c r="M76" s="59" t="n"/>
      <c r="N76" s="59" t="n"/>
      <c r="O76" s="297" t="n"/>
      <c r="P76" s="297" t="n"/>
      <c r="Q76" s="297" t="n"/>
      <c r="R76" s="297" t="n"/>
      <c r="S76" s="297" t="n"/>
      <c r="T76" s="297" t="n"/>
      <c r="U76" s="297" t="n"/>
    </row>
    <row r="77" customFormat="1" s="106">
      <c r="A77" s="174" t="n"/>
      <c r="B77" s="52" t="n"/>
      <c r="C77" s="107">
        <f>IF(B77="", "", VLOOKUP(B77, 'CLIENT DATA'!A:S, 19, FALSE))</f>
        <v/>
      </c>
      <c r="D77" s="107">
        <f t="array" ref="D77">IF(B77="", "", _xlfn.TEXTJOIN(", ", TRUE, IF('CLIENT DATA'!$A$2:$A$205=B77, 'CLIENT DATA'!$C$2:$F$205, "")))</f>
        <v/>
      </c>
      <c r="E77" s="52" t="n"/>
      <c r="F77" s="52" t="n"/>
      <c r="G77" s="52" t="n"/>
      <c r="H77" s="52" t="n"/>
      <c r="I77" s="52" t="n"/>
      <c r="J77" s="59" t="n"/>
      <c r="K77" s="59" t="n"/>
      <c r="L77" s="59" t="n"/>
      <c r="M77" s="59" t="n"/>
      <c r="N77" s="59" t="n"/>
      <c r="O77" s="297" t="n"/>
      <c r="P77" s="297" t="n"/>
      <c r="Q77" s="297" t="n"/>
      <c r="R77" s="297" t="n"/>
      <c r="S77" s="297" t="n"/>
      <c r="T77" s="297" t="n"/>
      <c r="U77" s="297" t="n"/>
    </row>
    <row r="78" customFormat="1" s="106">
      <c r="A78" s="174" t="n"/>
      <c r="B78" s="298" t="n"/>
      <c r="C78" s="107">
        <f>IF(B78="", "", VLOOKUP(B78, 'CLIENT DATA'!A:S, 19, FALSE))</f>
        <v/>
      </c>
      <c r="D78" s="107">
        <f t="array" ref="D78">IF(B78="", "", _xlfn.TEXTJOIN(", ", TRUE, IF('CLIENT DATA'!$A$2:$A$205=B78, 'CLIENT DATA'!$C$2:$F$205, "")))</f>
        <v/>
      </c>
      <c r="E78" s="52" t="n"/>
      <c r="F78" s="52" t="n"/>
      <c r="G78" s="52" t="n"/>
      <c r="H78" s="52" t="n"/>
      <c r="I78" s="52" t="n"/>
      <c r="J78" s="59" t="n"/>
      <c r="K78" s="59" t="n"/>
      <c r="L78" s="59" t="n"/>
      <c r="M78" s="59" t="n"/>
      <c r="N78" s="59" t="n"/>
      <c r="O78" s="297" t="n"/>
      <c r="P78" s="297" t="n"/>
      <c r="Q78" s="297" t="n"/>
      <c r="R78" s="297" t="n"/>
      <c r="S78" s="297" t="n"/>
      <c r="T78" s="297" t="n"/>
      <c r="U78" s="297" t="n"/>
    </row>
    <row r="79" customFormat="1" s="106">
      <c r="A79" s="174" t="n"/>
      <c r="B79" s="298" t="n"/>
      <c r="C79" s="107">
        <f>IF(B79="", "", VLOOKUP(B79, 'CLIENT DATA'!A:S, 19, FALSE))</f>
        <v/>
      </c>
      <c r="D79" s="107">
        <f t="array" ref="D79">IF(B79="", "", _xlfn.TEXTJOIN(", ", TRUE, IF('CLIENT DATA'!$A$2:$A$205=B79, 'CLIENT DATA'!$C$2:$F$205, "")))</f>
        <v/>
      </c>
      <c r="E79" s="52" t="n"/>
      <c r="F79" s="52" t="n"/>
      <c r="G79" s="52" t="n"/>
      <c r="H79" s="52" t="n"/>
      <c r="I79" s="52" t="n"/>
      <c r="J79" s="59" t="n"/>
      <c r="K79" s="59" t="n"/>
      <c r="L79" s="59" t="n"/>
      <c r="M79" s="59" t="n"/>
      <c r="N79" s="59" t="n"/>
      <c r="O79" s="297" t="n"/>
      <c r="P79" s="297" t="n"/>
      <c r="Q79" s="297" t="n"/>
      <c r="R79" s="297" t="n"/>
      <c r="S79" s="297" t="n"/>
      <c r="T79" s="297" t="n"/>
      <c r="U79" s="297" t="n"/>
    </row>
    <row r="80" customFormat="1" s="106">
      <c r="A80" s="174" t="n"/>
      <c r="B80" s="298" t="n"/>
      <c r="C80" s="107">
        <f>IF(B80="", "", VLOOKUP(B80, 'CLIENT DATA'!A:S, 19, FALSE))</f>
        <v/>
      </c>
      <c r="D80" s="107">
        <f t="array" ref="D80">IF(B80="", "", _xlfn.TEXTJOIN(", ", TRUE, IF('CLIENT DATA'!$A$2:$A$205=B80, 'CLIENT DATA'!$C$2:$F$205, "")))</f>
        <v/>
      </c>
      <c r="E80" s="52" t="n"/>
      <c r="F80" s="52" t="n"/>
      <c r="G80" s="52" t="n"/>
      <c r="H80" s="52" t="n"/>
      <c r="I80" s="52" t="n"/>
      <c r="J80" s="59" t="n"/>
      <c r="K80" s="59" t="n"/>
      <c r="L80" s="59" t="n"/>
      <c r="M80" s="59" t="n"/>
      <c r="N80" s="59" t="n"/>
      <c r="O80" s="297" t="n"/>
      <c r="P80" s="297" t="n"/>
      <c r="Q80" s="297" t="n"/>
      <c r="R80" s="297" t="n"/>
      <c r="S80" s="297" t="n"/>
      <c r="T80" s="297" t="n"/>
      <c r="U80" s="297" t="n"/>
    </row>
    <row r="81" customFormat="1" s="106">
      <c r="A81" s="174" t="n"/>
      <c r="B81" s="298" t="n"/>
      <c r="C81" s="107">
        <f>IF(B81="", "", VLOOKUP(B81, 'CLIENT DATA'!A:S, 19, FALSE))</f>
        <v/>
      </c>
      <c r="D81" s="107">
        <f t="array" ref="D81">IF(B81="", "", _xlfn.TEXTJOIN(", ", TRUE, IF('CLIENT DATA'!$A$2:$A$205=B81, 'CLIENT DATA'!$C$2:$F$205, "")))</f>
        <v/>
      </c>
      <c r="E81" s="52" t="n"/>
      <c r="F81" s="52" t="n"/>
      <c r="G81" s="52" t="n"/>
      <c r="H81" s="52" t="n"/>
      <c r="I81" s="52" t="n"/>
      <c r="J81" s="59" t="n"/>
      <c r="K81" s="59" t="n"/>
      <c r="L81" s="59" t="n"/>
      <c r="M81" s="59" t="n"/>
      <c r="N81" s="59" t="n"/>
      <c r="O81" s="297" t="n"/>
      <c r="P81" s="297" t="n"/>
      <c r="Q81" s="297" t="n"/>
      <c r="R81" s="297" t="n"/>
      <c r="S81" s="297" t="n"/>
      <c r="T81" s="297" t="n"/>
      <c r="U81" s="297" t="n"/>
    </row>
    <row r="82" customFormat="1" s="106">
      <c r="A82" s="174" t="n"/>
      <c r="B82" s="298" t="n"/>
      <c r="C82" s="107">
        <f>IF(B82="", "", VLOOKUP(B82, 'CLIENT DATA'!A:S, 19, FALSE))</f>
        <v/>
      </c>
      <c r="D82" s="107">
        <f t="array" ref="D82">IF(B82="", "", _xlfn.TEXTJOIN(", ", TRUE, IF('CLIENT DATA'!$A$2:$A$205=B82, 'CLIENT DATA'!$C$2:$F$205, "")))</f>
        <v/>
      </c>
      <c r="E82" s="52" t="n"/>
      <c r="F82" s="52" t="n"/>
      <c r="G82" s="52" t="n"/>
      <c r="H82" s="52" t="n"/>
      <c r="I82" s="52" t="n"/>
      <c r="J82" s="59" t="n"/>
      <c r="K82" s="59" t="n"/>
      <c r="L82" s="59" t="n"/>
      <c r="M82" s="59" t="n"/>
      <c r="N82" s="59" t="n"/>
      <c r="O82" s="297" t="n"/>
      <c r="P82" s="297" t="n"/>
      <c r="Q82" s="297" t="n"/>
      <c r="R82" s="297" t="n"/>
      <c r="S82" s="297" t="n"/>
      <c r="T82" s="297" t="n"/>
      <c r="U82" s="297" t="n"/>
    </row>
    <row r="83" customFormat="1" s="106">
      <c r="A83" s="174" t="n"/>
      <c r="B83" s="298" t="n"/>
      <c r="C83" s="107">
        <f>IF(B83="", "", VLOOKUP(B83, 'CLIENT DATA'!A:S, 19, FALSE))</f>
        <v/>
      </c>
      <c r="D83" s="107">
        <f t="array" ref="D83">IF(B83="", "", _xlfn.TEXTJOIN(", ", TRUE, IF('CLIENT DATA'!$A$2:$A$205=B83, 'CLIENT DATA'!$C$2:$F$205, "")))</f>
        <v/>
      </c>
      <c r="E83" s="52" t="n"/>
      <c r="F83" s="52" t="n"/>
      <c r="G83" s="52" t="n"/>
      <c r="H83" s="52" t="n"/>
      <c r="I83" s="52" t="n"/>
      <c r="J83" s="59" t="n"/>
      <c r="K83" s="59" t="n"/>
      <c r="L83" s="59" t="n"/>
      <c r="M83" s="59" t="n"/>
      <c r="N83" s="59" t="n"/>
      <c r="O83" s="297" t="n"/>
      <c r="P83" s="297" t="n"/>
      <c r="Q83" s="297" t="n"/>
      <c r="R83" s="297" t="n"/>
      <c r="S83" s="297" t="n"/>
      <c r="T83" s="297" t="n"/>
      <c r="U83" s="297" t="n"/>
    </row>
    <row r="84" customFormat="1" s="106">
      <c r="A84" s="174" t="n"/>
      <c r="B84" s="298" t="n"/>
      <c r="C84" s="107">
        <f>IF(B84="", "", VLOOKUP(B84, 'CLIENT DATA'!A:S, 19, FALSE))</f>
        <v/>
      </c>
      <c r="D84" s="107">
        <f t="array" ref="D84">IF(B84="", "", _xlfn.TEXTJOIN(", ", TRUE, IF('CLIENT DATA'!$A$2:$A$205=B84, 'CLIENT DATA'!$C$2:$F$205, "")))</f>
        <v/>
      </c>
      <c r="E84" s="52" t="n"/>
      <c r="F84" s="52" t="n"/>
      <c r="G84" s="52" t="n"/>
      <c r="H84" s="52" t="n"/>
      <c r="I84" s="52" t="n"/>
      <c r="J84" s="59" t="n"/>
      <c r="K84" s="59" t="n"/>
      <c r="L84" s="59" t="n"/>
      <c r="M84" s="59" t="n"/>
      <c r="N84" s="59" t="n"/>
      <c r="O84" s="297" t="n"/>
      <c r="P84" s="297" t="n"/>
      <c r="Q84" s="297" t="n"/>
      <c r="R84" s="297" t="n"/>
      <c r="S84" s="297" t="n"/>
      <c r="T84" s="297" t="n"/>
      <c r="U84" s="297" t="n"/>
    </row>
    <row r="85" customFormat="1" s="106">
      <c r="A85" s="174" t="n"/>
      <c r="B85" s="298" t="n"/>
      <c r="C85" s="107">
        <f>IF(B85="", "", VLOOKUP(B85, 'CLIENT DATA'!A:S, 19, FALSE))</f>
        <v/>
      </c>
      <c r="D85" s="107">
        <f t="array" ref="D85">IF(B85="", "", _xlfn.TEXTJOIN(", ", TRUE, IF('CLIENT DATA'!$A$2:$A$205=B85, 'CLIENT DATA'!$C$2:$F$205, "")))</f>
        <v/>
      </c>
      <c r="E85" s="52" t="n"/>
      <c r="F85" s="52" t="n"/>
      <c r="G85" s="52" t="n"/>
      <c r="H85" s="52" t="n"/>
      <c r="I85" s="52" t="n"/>
      <c r="J85" s="59" t="n"/>
      <c r="K85" s="59" t="n"/>
      <c r="L85" s="59" t="n"/>
      <c r="M85" s="59" t="n"/>
      <c r="N85" s="59" t="n"/>
      <c r="O85" s="297" t="n"/>
      <c r="P85" s="297" t="n"/>
      <c r="Q85" s="297" t="n"/>
      <c r="R85" s="297" t="n"/>
      <c r="S85" s="297" t="n"/>
      <c r="T85" s="297" t="n"/>
      <c r="U85" s="297" t="n"/>
    </row>
    <row r="86" customFormat="1" s="106">
      <c r="A86" s="174" t="n"/>
      <c r="B86" s="298" t="n"/>
      <c r="C86" s="107">
        <f>IF(B86="", "", VLOOKUP(B86, 'CLIENT DATA'!A:S, 19, FALSE))</f>
        <v/>
      </c>
      <c r="D86" s="107">
        <f t="array" ref="D86">IF(B86="", "", _xlfn.TEXTJOIN(", ", TRUE, IF('CLIENT DATA'!$A$2:$A$205=B86, 'CLIENT DATA'!$C$2:$F$205, "")))</f>
        <v/>
      </c>
      <c r="E86" s="52" t="n"/>
      <c r="F86" s="52" t="n"/>
      <c r="G86" s="52" t="n"/>
      <c r="H86" s="52" t="n"/>
      <c r="I86" s="52" t="n"/>
      <c r="J86" s="59" t="n"/>
      <c r="K86" s="59" t="n"/>
      <c r="L86" s="59" t="n"/>
      <c r="M86" s="59" t="n"/>
      <c r="N86" s="59" t="n"/>
      <c r="O86" s="297" t="n"/>
      <c r="P86" s="297" t="n"/>
      <c r="Q86" s="297" t="n"/>
      <c r="R86" s="297" t="n"/>
      <c r="S86" s="297" t="n"/>
      <c r="T86" s="297" t="n"/>
      <c r="U86" s="297" t="n"/>
    </row>
    <row r="87" customFormat="1" s="106">
      <c r="A87" s="174" t="n"/>
      <c r="B87" s="298" t="n"/>
      <c r="C87" s="107">
        <f>IF(B87="", "", VLOOKUP(B87, 'CLIENT DATA'!A:S, 19, FALSE))</f>
        <v/>
      </c>
      <c r="D87" s="107">
        <f t="array" ref="D87">IF(B87="", "", _xlfn.TEXTJOIN(", ", TRUE, IF('CLIENT DATA'!$A$2:$A$205=B87, 'CLIENT DATA'!$C$2:$F$205, "")))</f>
        <v/>
      </c>
      <c r="E87" s="52" t="n"/>
      <c r="F87" s="52" t="n"/>
      <c r="G87" s="52" t="n"/>
      <c r="H87" s="52" t="n"/>
      <c r="I87" s="52" t="n"/>
      <c r="J87" s="59" t="n"/>
      <c r="K87" s="59" t="n"/>
      <c r="L87" s="59" t="n"/>
      <c r="M87" s="59" t="n"/>
      <c r="N87" s="59" t="n"/>
      <c r="O87" s="297" t="n"/>
      <c r="P87" s="297" t="n"/>
      <c r="Q87" s="297" t="n"/>
      <c r="R87" s="297" t="n"/>
      <c r="S87" s="297" t="n"/>
      <c r="T87" s="297" t="n"/>
      <c r="U87" s="297" t="n"/>
    </row>
    <row r="88" customFormat="1" s="106">
      <c r="A88" s="174" t="n"/>
      <c r="B88" s="298" t="n"/>
      <c r="C88" s="107">
        <f>IF(B88="", "", VLOOKUP(B88, 'CLIENT DATA'!A:S, 19, FALSE))</f>
        <v/>
      </c>
      <c r="D88" s="107">
        <f t="array" ref="D88">IF(B88="", "", _xlfn.TEXTJOIN(", ", TRUE, IF('CLIENT DATA'!$A$2:$A$205=B88, 'CLIENT DATA'!$C$2:$F$205, "")))</f>
        <v/>
      </c>
      <c r="E88" s="52" t="n"/>
      <c r="F88" s="52" t="n"/>
      <c r="G88" s="52" t="n"/>
      <c r="H88" s="52" t="n"/>
      <c r="I88" s="52" t="n"/>
      <c r="J88" s="59" t="n"/>
      <c r="K88" s="59" t="n"/>
      <c r="L88" s="59" t="n"/>
      <c r="M88" s="59" t="n"/>
      <c r="N88" s="59" t="n"/>
      <c r="O88" s="297" t="n"/>
      <c r="P88" s="297" t="n"/>
      <c r="Q88" s="297" t="n"/>
      <c r="R88" s="297" t="n"/>
      <c r="S88" s="297" t="n"/>
      <c r="T88" s="297" t="n"/>
      <c r="U88" s="297" t="n"/>
    </row>
    <row r="89" customFormat="1" s="106">
      <c r="A89" s="174" t="n"/>
      <c r="B89" s="298" t="n"/>
      <c r="C89" s="107">
        <f>IF(B89="", "", VLOOKUP(B89, 'CLIENT DATA'!A:S, 19, FALSE))</f>
        <v/>
      </c>
      <c r="D89" s="107">
        <f t="array" ref="D89">IF(B89="", "", _xlfn.TEXTJOIN(", ", TRUE, IF('CLIENT DATA'!$A$2:$A$205=B89, 'CLIENT DATA'!$C$2:$F$205, "")))</f>
        <v/>
      </c>
      <c r="E89" s="52" t="n"/>
      <c r="F89" s="52" t="n"/>
      <c r="G89" s="52" t="n"/>
      <c r="H89" s="52" t="n"/>
      <c r="I89" s="52" t="n"/>
      <c r="J89" s="59" t="n"/>
      <c r="K89" s="59" t="n"/>
      <c r="L89" s="59" t="n"/>
      <c r="M89" s="59" t="n"/>
      <c r="N89" s="59" t="n"/>
      <c r="O89" s="297" t="n"/>
      <c r="P89" s="297" t="n"/>
      <c r="Q89" s="297" t="n"/>
      <c r="R89" s="297" t="n"/>
      <c r="S89" s="297" t="n"/>
      <c r="T89" s="297" t="n"/>
      <c r="U89" s="297" t="n"/>
    </row>
    <row r="90" customFormat="1" s="106">
      <c r="A90" s="174" t="n"/>
      <c r="B90" s="298" t="n"/>
      <c r="C90" s="107">
        <f>IF(B90="", "", VLOOKUP(B90, 'CLIENT DATA'!A:S, 19, FALSE))</f>
        <v/>
      </c>
      <c r="D90" s="107">
        <f t="array" ref="D90">IF(B90="", "", _xlfn.TEXTJOIN(", ", TRUE, IF('CLIENT DATA'!$A$2:$A$205=B90, 'CLIENT DATA'!$C$2:$F$205, "")))</f>
        <v/>
      </c>
      <c r="E90" s="52" t="n"/>
      <c r="F90" s="52" t="n"/>
      <c r="G90" s="52" t="n"/>
      <c r="H90" s="52" t="n"/>
      <c r="I90" s="52" t="n"/>
      <c r="J90" s="59" t="n"/>
      <c r="K90" s="59" t="n"/>
      <c r="L90" s="59" t="n"/>
      <c r="M90" s="59" t="n"/>
      <c r="N90" s="59" t="n"/>
      <c r="O90" s="297" t="n"/>
      <c r="P90" s="297" t="n"/>
      <c r="Q90" s="297" t="n"/>
      <c r="R90" s="297" t="n"/>
      <c r="S90" s="297" t="n"/>
      <c r="T90" s="297" t="n"/>
      <c r="U90" s="297" t="n"/>
    </row>
    <row r="91" customFormat="1" s="106">
      <c r="A91" s="174" t="n"/>
      <c r="B91" s="52" t="n"/>
      <c r="C91" s="107">
        <f>IF(B91="", "", VLOOKUP(B91, 'CLIENT DATA'!A:S, 19, FALSE))</f>
        <v/>
      </c>
      <c r="D91" s="107">
        <f t="array" ref="D91">IF(B91="", "", _xlfn.TEXTJOIN(", ", TRUE, IF('CLIENT DATA'!$A$2:$A$205=B91, 'CLIENT DATA'!$C$2:$F$205, "")))</f>
        <v/>
      </c>
      <c r="E91" s="52" t="n"/>
      <c r="F91" s="52" t="n"/>
      <c r="G91" s="52" t="n"/>
      <c r="H91" s="52" t="n"/>
      <c r="I91" s="52" t="n"/>
      <c r="J91" s="59" t="n"/>
      <c r="K91" s="59" t="n"/>
      <c r="L91" s="59" t="n"/>
      <c r="M91" s="59" t="n"/>
      <c r="N91" s="59" t="n"/>
      <c r="O91" s="297" t="n"/>
      <c r="P91" s="297" t="n"/>
      <c r="Q91" s="297" t="n"/>
      <c r="R91" s="297" t="n"/>
      <c r="S91" s="297" t="n"/>
      <c r="T91" s="297" t="n"/>
      <c r="U91" s="297" t="n"/>
    </row>
    <row r="92" customFormat="1" s="106">
      <c r="A92" s="174" t="n"/>
      <c r="B92" s="52" t="n"/>
      <c r="C92" s="107">
        <f>IF(B92="", "", VLOOKUP(B92, 'CLIENT DATA'!A:S, 19, FALSE))</f>
        <v/>
      </c>
      <c r="D92" s="107">
        <f t="array" ref="D92">IF(B92="", "", _xlfn.TEXTJOIN(", ", TRUE, IF('CLIENT DATA'!$A$2:$A$205=B92, 'CLIENT DATA'!$C$2:$F$205, "")))</f>
        <v/>
      </c>
      <c r="E92" s="52" t="n"/>
      <c r="F92" s="52" t="n"/>
      <c r="G92" s="52" t="n"/>
      <c r="H92" s="52" t="n"/>
      <c r="I92" s="52" t="n"/>
      <c r="J92" s="59" t="n"/>
      <c r="K92" s="59" t="n"/>
      <c r="L92" s="59" t="n"/>
      <c r="M92" s="59" t="n"/>
      <c r="N92" s="59" t="n"/>
      <c r="O92" s="297" t="n"/>
      <c r="P92" s="297" t="n"/>
      <c r="Q92" s="297" t="n"/>
      <c r="R92" s="297" t="n"/>
      <c r="S92" s="297" t="n"/>
      <c r="T92" s="297" t="n"/>
      <c r="U92" s="297" t="n"/>
    </row>
    <row r="93" customFormat="1" s="106">
      <c r="A93" s="174" t="n"/>
      <c r="B93" s="52" t="n"/>
      <c r="C93" s="107">
        <f>IF(B93="", "", VLOOKUP(B93, 'CLIENT DATA'!A:S, 19, FALSE))</f>
        <v/>
      </c>
      <c r="D93" s="107">
        <f t="array" ref="D93">IF(B93="", "", _xlfn.TEXTJOIN(", ", TRUE, IF('CLIENT DATA'!$A$2:$A$205=B93, 'CLIENT DATA'!$C$2:$F$205, "")))</f>
        <v/>
      </c>
      <c r="E93" s="52" t="n"/>
      <c r="F93" s="52" t="n"/>
      <c r="G93" s="52" t="n"/>
      <c r="H93" s="52" t="n"/>
      <c r="I93" s="52" t="n"/>
      <c r="J93" s="59" t="n"/>
      <c r="K93" s="59" t="n"/>
      <c r="L93" s="59" t="n"/>
      <c r="M93" s="59" t="n"/>
      <c r="N93" s="59" t="n"/>
      <c r="O93" s="297" t="n"/>
      <c r="P93" s="297" t="n"/>
      <c r="Q93" s="297" t="n"/>
      <c r="R93" s="297" t="n"/>
      <c r="S93" s="297" t="n"/>
      <c r="T93" s="297" t="n"/>
      <c r="U93" s="297" t="n"/>
    </row>
    <row r="94" customFormat="1" s="106">
      <c r="A94" s="174" t="n"/>
      <c r="B94" s="52" t="n"/>
      <c r="C94" s="107">
        <f>IF(B94="", "", VLOOKUP(B94, 'CLIENT DATA'!A:S, 19, FALSE))</f>
        <v/>
      </c>
      <c r="D94" s="107">
        <f t="array" ref="D94">IF(B94="", "", _xlfn.TEXTJOIN(", ", TRUE, IF('CLIENT DATA'!$A$2:$A$205=B94, 'CLIENT DATA'!$C$2:$F$205, "")))</f>
        <v/>
      </c>
      <c r="E94" s="52" t="n"/>
      <c r="F94" s="52" t="n"/>
      <c r="G94" s="52" t="n"/>
      <c r="H94" s="52" t="n"/>
      <c r="I94" s="52" t="n"/>
      <c r="J94" s="59" t="n"/>
      <c r="K94" s="59" t="n"/>
      <c r="L94" s="59" t="n"/>
      <c r="M94" s="59" t="n"/>
      <c r="N94" s="59" t="n"/>
      <c r="O94" s="297" t="n"/>
      <c r="P94" s="297" t="n"/>
      <c r="Q94" s="297" t="n"/>
      <c r="R94" s="297" t="n"/>
      <c r="S94" s="297" t="n"/>
      <c r="T94" s="297" t="n"/>
      <c r="U94" s="297" t="n"/>
    </row>
    <row r="95" customFormat="1" s="106">
      <c r="A95" s="174" t="n"/>
      <c r="B95" s="52" t="n"/>
      <c r="C95" s="107">
        <f>IF(B95="", "", VLOOKUP(B95, 'CLIENT DATA'!A:S, 19, FALSE))</f>
        <v/>
      </c>
      <c r="D95" s="107">
        <f t="array" ref="D95">IF(B95="", "", _xlfn.TEXTJOIN(", ", TRUE, IF('CLIENT DATA'!$A$2:$A$205=B95, 'CLIENT DATA'!$C$2:$F$205, "")))</f>
        <v/>
      </c>
      <c r="E95" s="52" t="n"/>
      <c r="F95" s="52" t="n"/>
      <c r="G95" s="52" t="n"/>
      <c r="H95" s="52" t="n"/>
      <c r="I95" s="52" t="n"/>
      <c r="J95" s="59" t="n"/>
      <c r="K95" s="59" t="n"/>
      <c r="L95" s="59" t="n"/>
      <c r="M95" s="59" t="n"/>
      <c r="N95" s="59" t="n"/>
      <c r="O95" s="297" t="n"/>
      <c r="P95" s="297" t="n"/>
      <c r="Q95" s="297" t="n"/>
      <c r="R95" s="297" t="n"/>
      <c r="S95" s="297" t="n"/>
      <c r="T95" s="297" t="n"/>
      <c r="U95" s="297" t="n"/>
    </row>
    <row r="96" customFormat="1" s="106">
      <c r="A96" s="174" t="n"/>
      <c r="B96" s="52" t="n"/>
      <c r="C96" s="107">
        <f>IF(B96="", "", VLOOKUP(B96, 'CLIENT DATA'!A:S, 19, FALSE))</f>
        <v/>
      </c>
      <c r="D96" s="107">
        <f t="array" ref="D96">IF(B96="", "", _xlfn.TEXTJOIN(", ", TRUE, IF('CLIENT DATA'!$A$2:$A$205=B96, 'CLIENT DATA'!$C$2:$F$205, "")))</f>
        <v/>
      </c>
      <c r="E96" s="52" t="n"/>
      <c r="F96" s="52" t="n"/>
      <c r="G96" s="52" t="n"/>
      <c r="H96" s="52" t="n"/>
      <c r="I96" s="52" t="n"/>
      <c r="J96" s="59" t="n"/>
      <c r="K96" s="59" t="n"/>
      <c r="L96" s="59" t="n"/>
      <c r="M96" s="59" t="n"/>
      <c r="N96" s="59" t="n"/>
      <c r="O96" s="297" t="n"/>
      <c r="P96" s="297" t="n"/>
      <c r="Q96" s="297" t="n"/>
      <c r="R96" s="297" t="n"/>
      <c r="S96" s="297" t="n"/>
      <c r="T96" s="297" t="n"/>
      <c r="U96" s="297" t="n"/>
    </row>
    <row r="97" customFormat="1" s="106">
      <c r="A97" s="174" t="n"/>
      <c r="B97" s="52" t="n"/>
      <c r="C97" s="107">
        <f>IF(B97="", "", VLOOKUP(B97, 'CLIENT DATA'!A:S, 19, FALSE))</f>
        <v/>
      </c>
      <c r="D97" s="107">
        <f t="array" ref="D97">IF(B97="", "", _xlfn.TEXTJOIN(", ", TRUE, IF('CLIENT DATA'!$A$2:$A$205=B97, 'CLIENT DATA'!$C$2:$F$205, "")))</f>
        <v/>
      </c>
      <c r="E97" s="52" t="n"/>
      <c r="F97" s="52" t="n"/>
      <c r="G97" s="52" t="n"/>
      <c r="H97" s="52" t="n"/>
      <c r="I97" s="52" t="n"/>
      <c r="J97" s="59" t="n"/>
      <c r="K97" s="59" t="n"/>
      <c r="L97" s="59" t="n"/>
      <c r="M97" s="59" t="n"/>
      <c r="N97" s="59" t="n"/>
      <c r="O97" s="297" t="n"/>
      <c r="P97" s="297" t="n"/>
      <c r="Q97" s="297" t="n"/>
      <c r="R97" s="297" t="n"/>
      <c r="S97" s="297" t="n"/>
      <c r="T97" s="297" t="n"/>
      <c r="U97" s="297" t="n"/>
    </row>
    <row r="98" customFormat="1" s="106">
      <c r="A98" s="174" t="n"/>
      <c r="B98" s="52" t="n"/>
      <c r="C98" s="107">
        <f>IF(B98="", "", VLOOKUP(B98, 'CLIENT DATA'!A:S, 19, FALSE))</f>
        <v/>
      </c>
      <c r="D98" s="107">
        <f t="array" ref="D98">IF(B98="", "", _xlfn.TEXTJOIN(", ", TRUE, IF('CLIENT DATA'!$A$2:$A$205=B98, 'CLIENT DATA'!$C$2:$F$205, "")))</f>
        <v/>
      </c>
      <c r="E98" s="52" t="n"/>
      <c r="F98" s="52" t="n"/>
      <c r="G98" s="52" t="n"/>
      <c r="H98" s="52" t="n"/>
      <c r="I98" s="52" t="n"/>
      <c r="J98" s="59" t="n"/>
      <c r="K98" s="59" t="n"/>
      <c r="L98" s="59" t="n"/>
      <c r="M98" s="59" t="n"/>
      <c r="N98" s="59" t="n"/>
      <c r="O98" s="297" t="n"/>
      <c r="P98" s="297" t="n"/>
      <c r="Q98" s="297" t="n"/>
      <c r="R98" s="297" t="n"/>
      <c r="S98" s="297" t="n"/>
      <c r="T98" s="297" t="n"/>
      <c r="U98" s="297" t="n"/>
    </row>
    <row r="99" customFormat="1" s="106">
      <c r="A99" s="174" t="n"/>
      <c r="B99" s="298" t="n"/>
      <c r="C99" s="107">
        <f>IF(B99="", "", VLOOKUP(B99, 'CLIENT DATA'!A:S, 19, FALSE))</f>
        <v/>
      </c>
      <c r="D99" s="107">
        <f t="array" ref="D99">IF(B99="", "", _xlfn.TEXTJOIN(", ", TRUE, IF('CLIENT DATA'!$A$2:$A$205=B99, 'CLIENT DATA'!$C$2:$F$205, "")))</f>
        <v/>
      </c>
      <c r="E99" s="52" t="n"/>
      <c r="F99" s="52" t="n"/>
      <c r="G99" s="52" t="n"/>
      <c r="H99" s="52" t="n"/>
      <c r="I99" s="52" t="n"/>
      <c r="J99" s="59" t="n"/>
      <c r="K99" s="59" t="n"/>
      <c r="L99" s="59" t="n"/>
      <c r="M99" s="59" t="n"/>
      <c r="N99" s="59" t="n"/>
      <c r="O99" s="297" t="n"/>
      <c r="P99" s="297" t="n"/>
      <c r="Q99" s="297" t="n"/>
      <c r="R99" s="297" t="n"/>
      <c r="S99" s="297" t="n"/>
      <c r="T99" s="297" t="n"/>
      <c r="U99" s="297" t="n"/>
    </row>
    <row r="100" customFormat="1" s="106">
      <c r="A100" s="174" t="n"/>
      <c r="B100" s="298" t="n"/>
      <c r="C100" s="107">
        <f>IF(B100="", "", VLOOKUP(B100, 'CLIENT DATA'!A:S, 19, FALSE))</f>
        <v/>
      </c>
      <c r="D100" s="107">
        <f t="array" ref="D100">IF(B100="", "", _xlfn.TEXTJOIN(", ", TRUE, IF('CLIENT DATA'!$A$2:$A$205=B100, 'CLIENT DATA'!$C$2:$F$205, "")))</f>
        <v/>
      </c>
      <c r="E100" s="52" t="n"/>
      <c r="F100" s="52" t="n"/>
      <c r="G100" s="52" t="n"/>
      <c r="H100" s="52" t="n"/>
      <c r="I100" s="52" t="n"/>
      <c r="J100" s="59" t="n"/>
      <c r="K100" s="59" t="n"/>
      <c r="L100" s="59" t="n"/>
      <c r="M100" s="59" t="n"/>
      <c r="N100" s="59" t="n"/>
      <c r="O100" s="297" t="n"/>
      <c r="P100" s="297" t="n"/>
      <c r="Q100" s="297" t="n"/>
      <c r="R100" s="297" t="n"/>
      <c r="S100" s="297" t="n"/>
      <c r="T100" s="297" t="n"/>
      <c r="U100" s="297" t="n"/>
    </row>
    <row r="101" customFormat="1" s="106">
      <c r="A101" s="174" t="n"/>
      <c r="B101" s="298" t="n"/>
      <c r="C101" s="107">
        <f>IF(B101="", "", VLOOKUP(B101, 'CLIENT DATA'!A:S, 19, FALSE))</f>
        <v/>
      </c>
      <c r="D101" s="107">
        <f t="array" ref="D101">IF(B101="", "", _xlfn.TEXTJOIN(", ", TRUE, IF('CLIENT DATA'!$A$2:$A$205=B101, 'CLIENT DATA'!$C$2:$F$205, "")))</f>
        <v/>
      </c>
      <c r="E101" s="52" t="n"/>
      <c r="F101" s="52" t="n"/>
      <c r="G101" s="52" t="n"/>
      <c r="H101" s="52" t="n"/>
      <c r="I101" s="52" t="n"/>
      <c r="J101" s="59" t="n"/>
      <c r="K101" s="59" t="n"/>
      <c r="L101" s="59" t="n"/>
      <c r="M101" s="59" t="n"/>
      <c r="N101" s="59" t="n"/>
      <c r="O101" s="297" t="n"/>
      <c r="P101" s="297" t="n"/>
      <c r="Q101" s="297" t="n"/>
      <c r="R101" s="297" t="n"/>
      <c r="S101" s="297" t="n"/>
      <c r="T101" s="297" t="n"/>
      <c r="U101" s="297" t="n"/>
    </row>
    <row r="102" customFormat="1" s="106">
      <c r="A102" s="174" t="n"/>
      <c r="B102" s="298" t="n"/>
      <c r="C102" s="107">
        <f>IF(B102="", "", VLOOKUP(B102, 'CLIENT DATA'!A:S, 19, FALSE))</f>
        <v/>
      </c>
      <c r="D102" s="107">
        <f t="array" ref="D102">IF(B102="", "", _xlfn.TEXTJOIN(", ", TRUE, IF('CLIENT DATA'!$A$2:$A$205=B102, 'CLIENT DATA'!$C$2:$F$205, "")))</f>
        <v/>
      </c>
      <c r="E102" s="52" t="n"/>
      <c r="F102" s="52" t="n"/>
      <c r="G102" s="52" t="n"/>
      <c r="H102" s="52" t="n"/>
      <c r="I102" s="52" t="n"/>
      <c r="J102" s="59" t="n"/>
      <c r="K102" s="59" t="n"/>
      <c r="L102" s="59" t="n"/>
      <c r="M102" s="59" t="n"/>
      <c r="N102" s="59" t="n"/>
      <c r="O102" s="297" t="n"/>
      <c r="P102" s="297" t="n"/>
      <c r="Q102" s="297" t="n"/>
      <c r="R102" s="297" t="n"/>
      <c r="S102" s="297" t="n"/>
      <c r="T102" s="297" t="n"/>
      <c r="U102" s="297" t="n"/>
    </row>
    <row r="103" customFormat="1" s="106">
      <c r="A103" s="174" t="n"/>
      <c r="B103" s="298" t="n"/>
      <c r="C103" s="107">
        <f>IF(B103="", "", VLOOKUP(B103, 'CLIENT DATA'!A:S, 19, FALSE))</f>
        <v/>
      </c>
      <c r="D103" s="107">
        <f t="array" ref="D103">IF(B103="", "", _xlfn.TEXTJOIN(", ", TRUE, IF('CLIENT DATA'!$A$2:$A$205=B103, 'CLIENT DATA'!$C$2:$F$205, "")))</f>
        <v/>
      </c>
      <c r="E103" s="52" t="n"/>
      <c r="F103" s="52" t="n"/>
      <c r="G103" s="52" t="n"/>
      <c r="H103" s="52" t="n"/>
      <c r="I103" s="52" t="n"/>
      <c r="J103" s="59" t="n"/>
      <c r="K103" s="59" t="n"/>
      <c r="L103" s="59" t="n"/>
      <c r="M103" s="59" t="n"/>
      <c r="N103" s="59" t="n"/>
      <c r="O103" s="297" t="n"/>
      <c r="P103" s="297" t="n"/>
      <c r="Q103" s="297" t="n"/>
      <c r="R103" s="297" t="n"/>
      <c r="S103" s="297" t="n"/>
      <c r="T103" s="297" t="n"/>
      <c r="U103" s="297" t="n"/>
    </row>
    <row r="104" customFormat="1" s="106">
      <c r="A104" s="174" t="n"/>
      <c r="B104" s="298" t="n"/>
      <c r="C104" s="107">
        <f>IF(B104="", "", VLOOKUP(B104, 'CLIENT DATA'!A:S, 19, FALSE))</f>
        <v/>
      </c>
      <c r="D104" s="107">
        <f t="array" ref="D104">IF(B104="", "", _xlfn.TEXTJOIN(", ", TRUE, IF('CLIENT DATA'!$A$2:$A$205=B104, 'CLIENT DATA'!$C$2:$F$205, "")))</f>
        <v/>
      </c>
      <c r="E104" s="52" t="n"/>
      <c r="F104" s="52" t="n"/>
      <c r="G104" s="52" t="n"/>
      <c r="H104" s="52" t="n"/>
      <c r="I104" s="52" t="n"/>
      <c r="J104" s="59" t="n"/>
      <c r="K104" s="59" t="n"/>
      <c r="L104" s="59" t="n"/>
      <c r="M104" s="59" t="n"/>
      <c r="N104" s="59" t="n"/>
      <c r="O104" s="297" t="n"/>
      <c r="P104" s="297" t="n"/>
      <c r="Q104" s="297" t="n"/>
      <c r="R104" s="297" t="n"/>
      <c r="S104" s="297" t="n"/>
      <c r="T104" s="297" t="n"/>
      <c r="U104" s="297" t="n"/>
    </row>
    <row r="105" customFormat="1" s="106">
      <c r="A105" s="174" t="n"/>
      <c r="B105" s="298" t="n"/>
      <c r="C105" s="107">
        <f>IF(B105="", "", VLOOKUP(B105, 'CLIENT DATA'!A:S, 19, FALSE))</f>
        <v/>
      </c>
      <c r="D105" s="107">
        <f t="array" ref="D105">IF(B105="", "", _xlfn.TEXTJOIN(", ", TRUE, IF('CLIENT DATA'!$A$2:$A$205=B105, 'CLIENT DATA'!$C$2:$F$205, "")))</f>
        <v/>
      </c>
      <c r="E105" s="52" t="n"/>
      <c r="F105" s="52" t="n"/>
      <c r="G105" s="52" t="n"/>
      <c r="H105" s="52" t="n"/>
      <c r="I105" s="52" t="n"/>
      <c r="J105" s="59" t="n"/>
      <c r="K105" s="59" t="n"/>
      <c r="L105" s="59" t="n"/>
      <c r="M105" s="59" t="n"/>
      <c r="N105" s="59" t="n"/>
      <c r="O105" s="297" t="n"/>
      <c r="P105" s="297" t="n"/>
      <c r="Q105" s="297" t="n"/>
      <c r="R105" s="297" t="n"/>
      <c r="S105" s="297" t="n"/>
      <c r="T105" s="297" t="n"/>
      <c r="U105" s="297" t="n"/>
    </row>
    <row r="106" customFormat="1" s="106">
      <c r="A106" s="174" t="n"/>
      <c r="B106" s="298" t="n"/>
      <c r="C106" s="107">
        <f>IF(B106="", "", VLOOKUP(B106, 'CLIENT DATA'!A:S, 19, FALSE))</f>
        <v/>
      </c>
      <c r="D106" s="107">
        <f t="array" ref="D106">IF(B106="", "", _xlfn.TEXTJOIN(", ", TRUE, IF('CLIENT DATA'!$A$2:$A$205=B106, 'CLIENT DATA'!$C$2:$F$205, "")))</f>
        <v/>
      </c>
      <c r="E106" s="52" t="n"/>
      <c r="F106" s="52" t="n"/>
      <c r="G106" s="52" t="n"/>
      <c r="H106" s="52" t="n"/>
      <c r="I106" s="52" t="n"/>
      <c r="J106" s="59" t="n"/>
      <c r="K106" s="59" t="n"/>
      <c r="L106" s="59" t="n"/>
      <c r="M106" s="59" t="n"/>
      <c r="N106" s="59" t="n"/>
      <c r="O106" s="297" t="n"/>
      <c r="P106" s="297" t="n"/>
      <c r="Q106" s="297" t="n"/>
      <c r="R106" s="297" t="n"/>
      <c r="S106" s="297" t="n"/>
      <c r="T106" s="297" t="n"/>
      <c r="U106" s="297" t="n"/>
    </row>
    <row r="107" customFormat="1" s="106">
      <c r="A107" s="174" t="n"/>
      <c r="B107" s="298" t="n"/>
      <c r="C107" s="107">
        <f>IF(B107="", "", VLOOKUP(B107, 'CLIENT DATA'!A:S, 19, FALSE))</f>
        <v/>
      </c>
      <c r="D107" s="107">
        <f t="array" ref="D107">IF(B107="", "", _xlfn.TEXTJOIN(", ", TRUE, IF('CLIENT DATA'!$A$2:$A$205=B107, 'CLIENT DATA'!$C$2:$F$205, "")))</f>
        <v/>
      </c>
      <c r="E107" s="52" t="n"/>
      <c r="F107" s="52" t="n"/>
      <c r="G107" s="52" t="n"/>
      <c r="H107" s="52" t="n"/>
      <c r="I107" s="52" t="n"/>
      <c r="J107" s="59" t="n"/>
      <c r="K107" s="59" t="n"/>
      <c r="L107" s="59" t="n"/>
      <c r="M107" s="59" t="n"/>
      <c r="N107" s="59" t="n"/>
      <c r="O107" s="297" t="n"/>
      <c r="P107" s="297" t="n"/>
      <c r="Q107" s="297" t="n"/>
      <c r="R107" s="297" t="n"/>
      <c r="S107" s="297" t="n"/>
      <c r="T107" s="297" t="n"/>
      <c r="U107" s="297" t="n"/>
    </row>
    <row r="108" customFormat="1" s="106">
      <c r="A108" s="174" t="n"/>
      <c r="B108" s="298" t="n"/>
      <c r="C108" s="107">
        <f>IF(B108="", "", VLOOKUP(B108, 'CLIENT DATA'!A:S, 19, FALSE))</f>
        <v/>
      </c>
      <c r="D108" s="107">
        <f t="array" ref="D108">IF(B108="", "", _xlfn.TEXTJOIN(", ", TRUE, IF('CLIENT DATA'!$A$2:$A$205=B108, 'CLIENT DATA'!$C$2:$F$205, "")))</f>
        <v/>
      </c>
      <c r="E108" s="52" t="n"/>
      <c r="F108" s="52" t="n"/>
      <c r="G108" s="52" t="n"/>
      <c r="H108" s="52" t="n"/>
      <c r="I108" s="52" t="n"/>
      <c r="J108" s="59" t="n"/>
      <c r="K108" s="59" t="n"/>
      <c r="L108" s="59" t="n"/>
      <c r="M108" s="59" t="n"/>
      <c r="N108" s="59" t="n"/>
      <c r="O108" s="297" t="n"/>
      <c r="P108" s="297" t="n"/>
      <c r="Q108" s="297" t="n"/>
      <c r="R108" s="297" t="n"/>
      <c r="S108" s="297" t="n"/>
      <c r="T108" s="297" t="n"/>
      <c r="U108" s="297" t="n"/>
    </row>
    <row r="109" customFormat="1" s="106">
      <c r="A109" s="174" t="n"/>
      <c r="B109" s="298" t="n"/>
      <c r="C109" s="107">
        <f>IF(B109="", "", VLOOKUP(B109, 'CLIENT DATA'!A:S, 19, FALSE))</f>
        <v/>
      </c>
      <c r="D109" s="107">
        <f t="array" ref="D109">IF(B109="", "", _xlfn.TEXTJOIN(", ", TRUE, IF('CLIENT DATA'!$A$2:$A$205=B109, 'CLIENT DATA'!$C$2:$F$205, "")))</f>
        <v/>
      </c>
      <c r="E109" s="52" t="n"/>
      <c r="F109" s="52" t="n"/>
      <c r="G109" s="52" t="n"/>
      <c r="H109" s="52" t="n"/>
      <c r="I109" s="52" t="n"/>
      <c r="J109" s="59" t="n"/>
      <c r="K109" s="59" t="n"/>
      <c r="L109" s="59" t="n"/>
      <c r="M109" s="59" t="n"/>
      <c r="N109" s="59" t="n"/>
      <c r="O109" s="297" t="n"/>
      <c r="P109" s="297" t="n"/>
      <c r="Q109" s="297" t="n"/>
      <c r="R109" s="297" t="n"/>
      <c r="S109" s="297" t="n"/>
      <c r="T109" s="297" t="n"/>
      <c r="U109" s="297" t="n"/>
    </row>
    <row r="110" customFormat="1" s="106">
      <c r="A110" s="174" t="n"/>
      <c r="B110" s="298" t="n"/>
      <c r="C110" s="107">
        <f>IF(B110="", "", VLOOKUP(B110, 'CLIENT DATA'!A:S, 19, FALSE))</f>
        <v/>
      </c>
      <c r="D110" s="107">
        <f t="array" ref="D110">IF(B110="", "", _xlfn.TEXTJOIN(", ", TRUE, IF('CLIENT DATA'!$A$2:$A$205=B110, 'CLIENT DATA'!$C$2:$F$205, "")))</f>
        <v/>
      </c>
      <c r="E110" s="52" t="n"/>
      <c r="F110" s="52" t="n"/>
      <c r="G110" s="52" t="n"/>
      <c r="H110" s="52" t="n"/>
      <c r="I110" s="52" t="n"/>
      <c r="J110" s="59" t="n"/>
      <c r="K110" s="59" t="n"/>
      <c r="L110" s="59" t="n"/>
      <c r="M110" s="59" t="n"/>
      <c r="N110" s="59" t="n"/>
      <c r="O110" s="297" t="n"/>
      <c r="P110" s="297" t="n"/>
      <c r="Q110" s="297" t="n"/>
      <c r="R110" s="297" t="n"/>
      <c r="S110" s="297" t="n"/>
      <c r="T110" s="297" t="n"/>
      <c r="U110" s="297" t="n"/>
    </row>
    <row r="111" customFormat="1" s="106">
      <c r="A111" s="174" t="n"/>
      <c r="B111" s="298" t="n"/>
      <c r="C111" s="107">
        <f>IF(B111="", "", VLOOKUP(B111, 'CLIENT DATA'!A:S, 19, FALSE))</f>
        <v/>
      </c>
      <c r="D111" s="107">
        <f t="array" ref="D111">IF(B111="", "", _xlfn.TEXTJOIN(", ", TRUE, IF('CLIENT DATA'!$A$2:$A$205=B111, 'CLIENT DATA'!$C$2:$F$205, "")))</f>
        <v/>
      </c>
      <c r="E111" s="52" t="n"/>
      <c r="F111" s="52" t="n"/>
      <c r="G111" s="52" t="n"/>
      <c r="H111" s="52" t="n"/>
      <c r="I111" s="52" t="n"/>
      <c r="J111" s="59" t="n"/>
      <c r="K111" s="59" t="n"/>
      <c r="L111" s="59" t="n"/>
      <c r="M111" s="59" t="n"/>
      <c r="N111" s="59" t="n"/>
      <c r="O111" s="297" t="n"/>
      <c r="P111" s="297" t="n"/>
      <c r="Q111" s="297" t="n"/>
      <c r="R111" s="297" t="n"/>
      <c r="S111" s="297" t="n"/>
      <c r="T111" s="297" t="n"/>
      <c r="U111" s="297" t="n"/>
    </row>
    <row r="112" customFormat="1" s="106">
      <c r="A112" s="174" t="n"/>
      <c r="B112" s="52" t="n"/>
      <c r="C112" s="107">
        <f>IF(B112="", "", VLOOKUP(B112, 'CLIENT DATA'!A:S, 19, FALSE))</f>
        <v/>
      </c>
      <c r="D112" s="107">
        <f t="array" ref="D112">IF(B112="", "", _xlfn.TEXTJOIN(", ", TRUE, IF('CLIENT DATA'!$A$2:$A$205=B112, 'CLIENT DATA'!$C$2:$F$205, "")))</f>
        <v/>
      </c>
      <c r="E112" s="52" t="n"/>
      <c r="F112" s="52" t="n"/>
      <c r="G112" s="52" t="n"/>
      <c r="H112" s="52" t="n"/>
      <c r="I112" s="52" t="n"/>
      <c r="J112" s="59" t="n"/>
      <c r="K112" s="59" t="n"/>
      <c r="L112" s="59" t="n"/>
      <c r="M112" s="59" t="n"/>
      <c r="N112" s="59" t="n"/>
      <c r="O112" s="297" t="n"/>
      <c r="P112" s="297" t="n"/>
      <c r="Q112" s="297" t="n"/>
      <c r="R112" s="297" t="n"/>
      <c r="S112" s="297" t="n"/>
      <c r="T112" s="297" t="n"/>
      <c r="U112" s="297" t="n"/>
    </row>
    <row r="113" customFormat="1" s="106">
      <c r="A113" s="174" t="n"/>
      <c r="B113" s="52" t="n"/>
      <c r="C113" s="107">
        <f>IF(B113="", "", VLOOKUP(B113, 'CLIENT DATA'!A:S, 19, FALSE))</f>
        <v/>
      </c>
      <c r="D113" s="107">
        <f t="array" ref="D113">IF(B113="", "", _xlfn.TEXTJOIN(", ", TRUE, IF('CLIENT DATA'!$A$2:$A$205=B113, 'CLIENT DATA'!$C$2:$F$205, "")))</f>
        <v/>
      </c>
      <c r="E113" s="52" t="n"/>
      <c r="F113" s="52" t="n"/>
      <c r="G113" s="52" t="n"/>
      <c r="H113" s="52" t="n"/>
      <c r="I113" s="52" t="n"/>
      <c r="J113" s="59" t="n"/>
      <c r="K113" s="59" t="n"/>
      <c r="L113" s="59" t="n"/>
      <c r="M113" s="59" t="n"/>
      <c r="N113" s="59" t="n"/>
      <c r="O113" s="297" t="n"/>
      <c r="P113" s="297" t="n"/>
      <c r="Q113" s="297" t="n"/>
      <c r="R113" s="297" t="n"/>
      <c r="S113" s="297" t="n"/>
      <c r="T113" s="297" t="n"/>
      <c r="U113" s="297" t="n"/>
    </row>
    <row r="114" customFormat="1" s="106">
      <c r="A114" s="174" t="n"/>
      <c r="B114" s="52" t="n"/>
      <c r="C114" s="107">
        <f>IF(B114="", "", VLOOKUP(B114, 'CLIENT DATA'!A:S, 19, FALSE))</f>
        <v/>
      </c>
      <c r="D114" s="107">
        <f t="array" ref="D114">IF(B114="", "", _xlfn.TEXTJOIN(", ", TRUE, IF('CLIENT DATA'!$A$2:$A$205=B114, 'CLIENT DATA'!$C$2:$F$205, "")))</f>
        <v/>
      </c>
      <c r="E114" s="52" t="n"/>
      <c r="F114" s="52" t="n"/>
      <c r="G114" s="52" t="n"/>
      <c r="H114" s="52" t="n"/>
      <c r="I114" s="52" t="n"/>
      <c r="J114" s="59" t="n"/>
      <c r="K114" s="59" t="n"/>
      <c r="L114" s="59" t="n"/>
      <c r="M114" s="59" t="n"/>
      <c r="N114" s="59" t="n"/>
      <c r="O114" s="297" t="n"/>
      <c r="P114" s="297" t="n"/>
      <c r="Q114" s="297" t="n"/>
      <c r="R114" s="297" t="n"/>
      <c r="S114" s="297" t="n"/>
      <c r="T114" s="297" t="n"/>
      <c r="U114" s="297" t="n"/>
    </row>
    <row r="115" customFormat="1" s="106">
      <c r="A115" s="174" t="n"/>
      <c r="B115" s="52" t="n"/>
      <c r="C115" s="107">
        <f>IF(B115="", "", VLOOKUP(B115, 'CLIENT DATA'!A:S, 19, FALSE))</f>
        <v/>
      </c>
      <c r="D115" s="107">
        <f t="array" ref="D115">IF(B115="", "", _xlfn.TEXTJOIN(", ", TRUE, IF('CLIENT DATA'!$A$2:$A$205=B115, 'CLIENT DATA'!$C$2:$F$205, "")))</f>
        <v/>
      </c>
      <c r="E115" s="52" t="n"/>
      <c r="F115" s="52" t="n"/>
      <c r="G115" s="52" t="n"/>
      <c r="H115" s="52" t="n"/>
      <c r="I115" s="52" t="n"/>
      <c r="J115" s="59" t="n"/>
      <c r="K115" s="59" t="n"/>
      <c r="L115" s="59" t="n"/>
      <c r="M115" s="59" t="n"/>
      <c r="N115" s="59" t="n"/>
      <c r="O115" s="297" t="n"/>
      <c r="P115" s="297" t="n"/>
      <c r="Q115" s="297" t="n"/>
      <c r="R115" s="297" t="n"/>
      <c r="S115" s="297" t="n"/>
      <c r="T115" s="297" t="n"/>
      <c r="U115" s="297" t="n"/>
    </row>
    <row r="116" customFormat="1" s="106">
      <c r="A116" s="174" t="n"/>
      <c r="B116" s="52" t="n"/>
      <c r="C116" s="107">
        <f>IF(B116="", "", VLOOKUP(B116, 'CLIENT DATA'!A:S, 19, FALSE))</f>
        <v/>
      </c>
      <c r="D116" s="107">
        <f t="array" ref="D116">IF(B116="", "", _xlfn.TEXTJOIN(", ", TRUE, IF('CLIENT DATA'!$A$2:$A$205=B116, 'CLIENT DATA'!$C$2:$F$205, "")))</f>
        <v/>
      </c>
      <c r="E116" s="52" t="n"/>
      <c r="F116" s="52" t="n"/>
      <c r="G116" s="52" t="n"/>
      <c r="H116" s="52" t="n"/>
      <c r="I116" s="52" t="n"/>
      <c r="J116" s="59" t="n"/>
      <c r="K116" s="59" t="n"/>
      <c r="L116" s="59" t="n"/>
      <c r="M116" s="59" t="n"/>
      <c r="N116" s="59" t="n"/>
      <c r="O116" s="297" t="n"/>
      <c r="P116" s="297" t="n"/>
      <c r="Q116" s="297" t="n"/>
      <c r="R116" s="297" t="n"/>
      <c r="S116" s="297" t="n"/>
      <c r="T116" s="297" t="n"/>
      <c r="U116" s="297" t="n"/>
    </row>
    <row r="117" customFormat="1" s="106">
      <c r="A117" s="174" t="n"/>
      <c r="B117" s="52" t="n"/>
      <c r="C117" s="107">
        <f>IF(B117="", "", VLOOKUP(B117, 'CLIENT DATA'!A:S, 19, FALSE))</f>
        <v/>
      </c>
      <c r="D117" s="107">
        <f t="array" ref="D117">IF(B117="", "", _xlfn.TEXTJOIN(", ", TRUE, IF('CLIENT DATA'!$A$2:$A$205=B117, 'CLIENT DATA'!$C$2:$F$205, "")))</f>
        <v/>
      </c>
      <c r="E117" s="52" t="n"/>
      <c r="F117" s="52" t="n"/>
      <c r="G117" s="52" t="n"/>
      <c r="H117" s="52" t="n"/>
      <c r="I117" s="52" t="n"/>
      <c r="J117" s="59" t="n"/>
      <c r="K117" s="59" t="n"/>
      <c r="L117" s="59" t="n"/>
      <c r="M117" s="59" t="n"/>
      <c r="N117" s="59" t="n"/>
      <c r="O117" s="297" t="n"/>
      <c r="P117" s="297" t="n"/>
      <c r="Q117" s="297" t="n"/>
      <c r="R117" s="297" t="n"/>
      <c r="S117" s="297" t="n"/>
      <c r="T117" s="297" t="n"/>
      <c r="U117" s="297" t="n"/>
    </row>
    <row r="118" customFormat="1" s="106">
      <c r="A118" s="174" t="n"/>
      <c r="B118" s="52" t="n"/>
      <c r="C118" s="107">
        <f>IF(B118="", "", VLOOKUP(B118, 'CLIENT DATA'!A:S, 19, FALSE))</f>
        <v/>
      </c>
      <c r="D118" s="107">
        <f t="array" ref="D118">IF(B118="", "", _xlfn.TEXTJOIN(", ", TRUE, IF('CLIENT DATA'!$A$2:$A$205=B118, 'CLIENT DATA'!$C$2:$F$205, "")))</f>
        <v/>
      </c>
      <c r="E118" s="52" t="n"/>
      <c r="F118" s="52" t="n"/>
      <c r="G118" s="52" t="n"/>
      <c r="H118" s="52" t="n"/>
      <c r="I118" s="52" t="n"/>
      <c r="J118" s="59" t="n"/>
      <c r="K118" s="59" t="n"/>
      <c r="L118" s="59" t="n"/>
      <c r="M118" s="59" t="n"/>
      <c r="N118" s="59" t="n"/>
      <c r="O118" s="297" t="n"/>
      <c r="P118" s="297" t="n"/>
      <c r="Q118" s="297" t="n"/>
      <c r="R118" s="297" t="n"/>
      <c r="S118" s="297" t="n"/>
      <c r="T118" s="297" t="n"/>
      <c r="U118" s="297" t="n"/>
    </row>
    <row r="119" customFormat="1" s="106">
      <c r="A119" s="174" t="n"/>
      <c r="B119" s="52" t="n"/>
      <c r="C119" s="107">
        <f>IF(B119="", "", VLOOKUP(B119, 'CLIENT DATA'!A:S, 19, FALSE))</f>
        <v/>
      </c>
      <c r="D119" s="107">
        <f t="array" ref="D119">IF(B119="", "", _xlfn.TEXTJOIN(", ", TRUE, IF('CLIENT DATA'!$A$2:$A$205=B119, 'CLIENT DATA'!$C$2:$F$205, "")))</f>
        <v/>
      </c>
      <c r="E119" s="52" t="n"/>
      <c r="F119" s="52" t="n"/>
      <c r="G119" s="52" t="n"/>
      <c r="H119" s="52" t="n"/>
      <c r="I119" s="52" t="n"/>
      <c r="J119" s="59" t="n"/>
      <c r="K119" s="59" t="n"/>
      <c r="L119" s="59" t="n"/>
      <c r="M119" s="59" t="n"/>
      <c r="N119" s="59" t="n"/>
      <c r="O119" s="297" t="n"/>
      <c r="P119" s="297" t="n"/>
      <c r="Q119" s="297" t="n"/>
      <c r="R119" s="297" t="n"/>
      <c r="S119" s="297" t="n"/>
      <c r="T119" s="297" t="n"/>
      <c r="U119" s="297" t="n"/>
    </row>
    <row r="120" customFormat="1" s="106">
      <c r="A120" s="174" t="n"/>
      <c r="B120" s="298" t="n"/>
      <c r="C120" s="107">
        <f>IF(B120="", "", VLOOKUP(B120, 'CLIENT DATA'!A:S, 19, FALSE))</f>
        <v/>
      </c>
      <c r="D120" s="107">
        <f t="array" ref="D120">IF(B120="", "", _xlfn.TEXTJOIN(", ", TRUE, IF('CLIENT DATA'!$A$2:$A$205=B120, 'CLIENT DATA'!$C$2:$F$205, "")))</f>
        <v/>
      </c>
      <c r="E120" s="52" t="n"/>
      <c r="F120" s="52" t="n"/>
      <c r="G120" s="52" t="n"/>
      <c r="H120" s="52" t="n"/>
      <c r="I120" s="52" t="n"/>
      <c r="J120" s="59" t="n"/>
      <c r="K120" s="59" t="n"/>
      <c r="L120" s="59" t="n"/>
      <c r="M120" s="59" t="n"/>
      <c r="N120" s="59" t="n"/>
      <c r="O120" s="297" t="n"/>
      <c r="P120" s="297" t="n"/>
      <c r="Q120" s="297" t="n"/>
      <c r="R120" s="297" t="n"/>
      <c r="S120" s="297" t="n"/>
      <c r="T120" s="297" t="n"/>
      <c r="U120" s="297" t="n"/>
    </row>
    <row r="121" customFormat="1" s="106">
      <c r="A121" s="174" t="n"/>
      <c r="B121" s="298" t="n"/>
      <c r="C121" s="107">
        <f>IF(B121="", "", VLOOKUP(B121, 'CLIENT DATA'!A:S, 19, FALSE))</f>
        <v/>
      </c>
      <c r="D121" s="107">
        <f t="array" ref="D121">IF(B121="", "", _xlfn.TEXTJOIN(", ", TRUE, IF('CLIENT DATA'!$A$2:$A$205=B121, 'CLIENT DATA'!$C$2:$F$205, "")))</f>
        <v/>
      </c>
      <c r="E121" s="52" t="n"/>
      <c r="F121" s="52" t="n"/>
      <c r="G121" s="52" t="n"/>
      <c r="H121" s="52" t="n"/>
      <c r="I121" s="52" t="n"/>
      <c r="J121" s="59" t="n"/>
      <c r="K121" s="59" t="n"/>
      <c r="L121" s="59" t="n"/>
      <c r="M121" s="59" t="n"/>
      <c r="N121" s="59" t="n"/>
      <c r="O121" s="297" t="n"/>
      <c r="P121" s="297" t="n"/>
      <c r="Q121" s="297" t="n"/>
      <c r="R121" s="297" t="n"/>
      <c r="S121" s="297" t="n"/>
      <c r="T121" s="297" t="n"/>
      <c r="U121" s="297" t="n"/>
    </row>
    <row r="122" customFormat="1" s="106">
      <c r="A122" s="174" t="n"/>
      <c r="B122" s="298" t="n"/>
      <c r="C122" s="107">
        <f>IF(B122="", "", VLOOKUP(B122, 'CLIENT DATA'!A:S, 19, FALSE))</f>
        <v/>
      </c>
      <c r="D122" s="107">
        <f t="array" ref="D122">IF(B122="", "", _xlfn.TEXTJOIN(", ", TRUE, IF('CLIENT DATA'!$A$2:$A$205=B122, 'CLIENT DATA'!$C$2:$F$205, "")))</f>
        <v/>
      </c>
      <c r="E122" s="52" t="n"/>
      <c r="F122" s="52" t="n"/>
      <c r="G122" s="52" t="n"/>
      <c r="H122" s="52" t="n"/>
      <c r="I122" s="52" t="n"/>
      <c r="J122" s="59" t="n"/>
      <c r="K122" s="59" t="n"/>
      <c r="L122" s="59" t="n"/>
      <c r="M122" s="59" t="n"/>
      <c r="N122" s="59" t="n"/>
      <c r="O122" s="297" t="n"/>
      <c r="P122" s="297" t="n"/>
      <c r="Q122" s="297" t="n"/>
      <c r="R122" s="297" t="n"/>
      <c r="S122" s="297" t="n"/>
      <c r="T122" s="297" t="n"/>
      <c r="U122" s="297" t="n"/>
    </row>
    <row r="123" customFormat="1" s="106">
      <c r="A123" s="174" t="n"/>
      <c r="B123" s="298" t="n"/>
      <c r="C123" s="107">
        <f>IF(B123="", "", VLOOKUP(B123, 'CLIENT DATA'!A:S, 19, FALSE))</f>
        <v/>
      </c>
      <c r="D123" s="107">
        <f t="array" ref="D123">IF(B123="", "", _xlfn.TEXTJOIN(", ", TRUE, IF('CLIENT DATA'!$A$2:$A$205=B123, 'CLIENT DATA'!$C$2:$F$205, "")))</f>
        <v/>
      </c>
      <c r="E123" s="52" t="n"/>
      <c r="F123" s="52" t="n"/>
      <c r="G123" s="52" t="n"/>
      <c r="H123" s="52" t="n"/>
      <c r="I123" s="52" t="n"/>
      <c r="J123" s="59" t="n"/>
      <c r="K123" s="59" t="n"/>
      <c r="L123" s="59" t="n"/>
      <c r="M123" s="59" t="n"/>
      <c r="N123" s="59" t="n"/>
      <c r="O123" s="297" t="n"/>
      <c r="P123" s="297" t="n"/>
      <c r="Q123" s="297" t="n"/>
      <c r="R123" s="297" t="n"/>
      <c r="S123" s="297" t="n"/>
      <c r="T123" s="297" t="n"/>
      <c r="U123" s="297" t="n"/>
    </row>
    <row r="124" customFormat="1" s="106">
      <c r="A124" s="174" t="n"/>
      <c r="B124" s="298" t="n"/>
      <c r="C124" s="107">
        <f>IF(B124="", "", VLOOKUP(B124, 'CLIENT DATA'!A:S, 19, FALSE))</f>
        <v/>
      </c>
      <c r="D124" s="107">
        <f t="array" ref="D124">IF(B124="", "", _xlfn.TEXTJOIN(", ", TRUE, IF('CLIENT DATA'!$A$2:$A$205=B124, 'CLIENT DATA'!$C$2:$F$205, "")))</f>
        <v/>
      </c>
      <c r="E124" s="52" t="n"/>
      <c r="F124" s="52" t="n"/>
      <c r="G124" s="52" t="n"/>
      <c r="H124" s="52" t="n"/>
      <c r="I124" s="52" t="n"/>
      <c r="J124" s="59" t="n"/>
      <c r="K124" s="59" t="n"/>
      <c r="L124" s="59" t="n"/>
      <c r="M124" s="59" t="n"/>
      <c r="N124" s="59" t="n"/>
      <c r="O124" s="297" t="n"/>
      <c r="P124" s="297" t="n"/>
      <c r="Q124" s="297" t="n"/>
      <c r="R124" s="297" t="n"/>
      <c r="S124" s="297" t="n"/>
      <c r="T124" s="297" t="n"/>
      <c r="U124" s="297" t="n"/>
    </row>
    <row r="125" customFormat="1" s="106">
      <c r="A125" s="174" t="n"/>
      <c r="B125" s="298" t="n"/>
      <c r="C125" s="107">
        <f>IF(B125="", "", VLOOKUP(B125, 'CLIENT DATA'!A:S, 19, FALSE))</f>
        <v/>
      </c>
      <c r="D125" s="107">
        <f t="array" ref="D125">IF(B125="", "", _xlfn.TEXTJOIN(", ", TRUE, IF('CLIENT DATA'!$A$2:$A$205=B125, 'CLIENT DATA'!$C$2:$F$205, "")))</f>
        <v/>
      </c>
      <c r="E125" s="52" t="n"/>
      <c r="F125" s="52" t="n"/>
      <c r="G125" s="52" t="n"/>
      <c r="H125" s="52" t="n"/>
      <c r="I125" s="52" t="n"/>
      <c r="J125" s="59" t="n"/>
      <c r="K125" s="59" t="n"/>
      <c r="L125" s="59" t="n"/>
      <c r="M125" s="59" t="n"/>
      <c r="N125" s="59" t="n"/>
      <c r="O125" s="297" t="n"/>
      <c r="P125" s="297" t="n"/>
      <c r="Q125" s="297" t="n"/>
      <c r="R125" s="297" t="n"/>
      <c r="S125" s="297" t="n"/>
      <c r="T125" s="297" t="n"/>
      <c r="U125" s="297" t="n"/>
    </row>
    <row r="126" customFormat="1" s="106">
      <c r="A126" s="174" t="n"/>
      <c r="B126" s="298" t="n"/>
      <c r="C126" s="107">
        <f>IF(B126="", "", VLOOKUP(B126, 'CLIENT DATA'!A:S, 19, FALSE))</f>
        <v/>
      </c>
      <c r="D126" s="107">
        <f t="array" ref="D126">IF(B126="", "", _xlfn.TEXTJOIN(", ", TRUE, IF('CLIENT DATA'!$A$2:$A$205=B126, 'CLIENT DATA'!$C$2:$F$205, "")))</f>
        <v/>
      </c>
      <c r="E126" s="52" t="n"/>
      <c r="F126" s="52" t="n"/>
      <c r="G126" s="52" t="n"/>
      <c r="H126" s="52" t="n"/>
      <c r="I126" s="52" t="n"/>
      <c r="J126" s="59" t="n"/>
      <c r="K126" s="59" t="n"/>
      <c r="L126" s="59" t="n"/>
      <c r="M126" s="59" t="n"/>
      <c r="N126" s="59" t="n"/>
      <c r="O126" s="297" t="n"/>
      <c r="P126" s="297" t="n"/>
      <c r="Q126" s="297" t="n"/>
      <c r="R126" s="297" t="n"/>
      <c r="S126" s="297" t="n"/>
      <c r="T126" s="297" t="n"/>
      <c r="U126" s="297" t="n"/>
    </row>
    <row r="127" customFormat="1" s="106">
      <c r="A127" s="174" t="n"/>
      <c r="B127" s="298" t="n"/>
      <c r="C127" s="107">
        <f>IF(B127="", "", VLOOKUP(B127, 'CLIENT DATA'!A:S, 19, FALSE))</f>
        <v/>
      </c>
      <c r="D127" s="107">
        <f t="array" ref="D127">IF(B127="", "", _xlfn.TEXTJOIN(", ", TRUE, IF('CLIENT DATA'!$A$2:$A$205=B127, 'CLIENT DATA'!$C$2:$F$205, "")))</f>
        <v/>
      </c>
      <c r="E127" s="52" t="n"/>
      <c r="F127" s="52" t="n"/>
      <c r="G127" s="52" t="n"/>
      <c r="H127" s="52" t="n"/>
      <c r="I127" s="52" t="n"/>
      <c r="J127" s="59" t="n"/>
      <c r="K127" s="59" t="n"/>
      <c r="L127" s="59" t="n"/>
      <c r="M127" s="59" t="n"/>
      <c r="N127" s="59" t="n"/>
      <c r="O127" s="297" t="n"/>
      <c r="P127" s="297" t="n"/>
      <c r="Q127" s="297" t="n"/>
      <c r="R127" s="297" t="n"/>
      <c r="S127" s="297" t="n"/>
      <c r="T127" s="297" t="n"/>
      <c r="U127" s="297" t="n"/>
    </row>
    <row r="128" customFormat="1" s="106">
      <c r="A128" s="174" t="n"/>
      <c r="B128" s="298" t="n"/>
      <c r="C128" s="107">
        <f>IF(B128="", "", VLOOKUP(B128, 'CLIENT DATA'!A:S, 19, FALSE))</f>
        <v/>
      </c>
      <c r="D128" s="107">
        <f t="array" ref="D128">IF(B128="", "", _xlfn.TEXTJOIN(", ", TRUE, IF('CLIENT DATA'!$A$2:$A$205=B128, 'CLIENT DATA'!$C$2:$F$205, "")))</f>
        <v/>
      </c>
      <c r="E128" s="52" t="n"/>
      <c r="F128" s="52" t="n"/>
      <c r="G128" s="52" t="n"/>
      <c r="H128" s="52" t="n"/>
      <c r="I128" s="52" t="n"/>
      <c r="J128" s="59" t="n"/>
      <c r="K128" s="59" t="n"/>
      <c r="L128" s="59" t="n"/>
      <c r="M128" s="59" t="n"/>
      <c r="N128" s="59" t="n"/>
      <c r="O128" s="297" t="n"/>
      <c r="P128" s="297" t="n"/>
      <c r="Q128" s="297" t="n"/>
      <c r="R128" s="297" t="n"/>
      <c r="S128" s="297" t="n"/>
      <c r="T128" s="297" t="n"/>
      <c r="U128" s="297" t="n"/>
    </row>
    <row r="129" customFormat="1" s="106">
      <c r="A129" s="174" t="n"/>
      <c r="B129" s="298" t="n"/>
      <c r="C129" s="107">
        <f>IF(B129="", "", VLOOKUP(B129, 'CLIENT DATA'!A:S, 19, FALSE))</f>
        <v/>
      </c>
      <c r="D129" s="107">
        <f t="array" ref="D129">IF(B129="", "", _xlfn.TEXTJOIN(", ", TRUE, IF('CLIENT DATA'!$A$2:$A$205=B129, 'CLIENT DATA'!$C$2:$F$205, "")))</f>
        <v/>
      </c>
      <c r="E129" s="52" t="n"/>
      <c r="F129" s="52" t="n"/>
      <c r="G129" s="52" t="n"/>
      <c r="H129" s="52" t="n"/>
      <c r="I129" s="52" t="n"/>
      <c r="J129" s="59" t="n"/>
      <c r="K129" s="59" t="n"/>
      <c r="L129" s="59" t="n"/>
      <c r="M129" s="59" t="n"/>
      <c r="N129" s="59" t="n"/>
      <c r="O129" s="297" t="n"/>
      <c r="P129" s="297" t="n"/>
      <c r="Q129" s="297" t="n"/>
      <c r="R129" s="297" t="n"/>
      <c r="S129" s="297" t="n"/>
      <c r="T129" s="297" t="n"/>
      <c r="U129" s="297" t="n"/>
    </row>
    <row r="130" customFormat="1" s="106">
      <c r="A130" s="174" t="n"/>
      <c r="B130" s="298" t="n"/>
      <c r="C130" s="107">
        <f>IF(B130="", "", VLOOKUP(B130, 'CLIENT DATA'!A:S, 19, FALSE))</f>
        <v/>
      </c>
      <c r="D130" s="107">
        <f t="array" ref="D130">IF(B130="", "", _xlfn.TEXTJOIN(", ", TRUE, IF('CLIENT DATA'!$A$2:$A$205=B130, 'CLIENT DATA'!$C$2:$F$205, "")))</f>
        <v/>
      </c>
      <c r="E130" s="52" t="n"/>
      <c r="F130" s="52" t="n"/>
      <c r="G130" s="52" t="n"/>
      <c r="H130" s="52" t="n"/>
      <c r="I130" s="52" t="n"/>
      <c r="J130" s="59" t="n"/>
      <c r="K130" s="59" t="n"/>
      <c r="L130" s="59" t="n"/>
      <c r="M130" s="59" t="n"/>
      <c r="N130" s="59" t="n"/>
      <c r="O130" s="297" t="n"/>
      <c r="P130" s="297" t="n"/>
      <c r="Q130" s="297" t="n"/>
      <c r="R130" s="297" t="n"/>
      <c r="S130" s="297" t="n"/>
      <c r="T130" s="297" t="n"/>
      <c r="U130" s="297" t="n"/>
    </row>
    <row r="131" customFormat="1" s="106">
      <c r="A131" s="174" t="n"/>
      <c r="B131" s="298" t="n"/>
      <c r="C131" s="107">
        <f>IF(B131="", "", VLOOKUP(B131, 'CLIENT DATA'!A:S, 19, FALSE))</f>
        <v/>
      </c>
      <c r="D131" s="107">
        <f t="array" ref="D131">IF(B131="", "", _xlfn.TEXTJOIN(", ", TRUE, IF('CLIENT DATA'!$A$2:$A$205=B131, 'CLIENT DATA'!$C$2:$F$205, "")))</f>
        <v/>
      </c>
      <c r="E131" s="52" t="n"/>
      <c r="F131" s="52" t="n"/>
      <c r="G131" s="52" t="n"/>
      <c r="H131" s="52" t="n"/>
      <c r="I131" s="52" t="n"/>
      <c r="J131" s="59" t="n"/>
      <c r="K131" s="59" t="n"/>
      <c r="L131" s="59" t="n"/>
      <c r="M131" s="59" t="n"/>
      <c r="N131" s="59" t="n"/>
      <c r="O131" s="297" t="n"/>
      <c r="P131" s="297" t="n"/>
      <c r="Q131" s="297" t="n"/>
      <c r="R131" s="297" t="n"/>
      <c r="S131" s="297" t="n"/>
      <c r="T131" s="297" t="n"/>
      <c r="U131" s="297" t="n"/>
    </row>
    <row r="132" customFormat="1" s="106">
      <c r="A132" s="174" t="n"/>
      <c r="B132" s="298" t="n"/>
      <c r="C132" s="107">
        <f>IF(B132="", "", VLOOKUP(B132, 'CLIENT DATA'!A:S, 19, FALSE))</f>
        <v/>
      </c>
      <c r="D132" s="107">
        <f t="array" ref="D132">IF(B132="", "", _xlfn.TEXTJOIN(", ", TRUE, IF('CLIENT DATA'!$A$2:$A$205=B132, 'CLIENT DATA'!$C$2:$F$205, "")))</f>
        <v/>
      </c>
      <c r="E132" s="52" t="n"/>
      <c r="F132" s="52" t="n"/>
      <c r="G132" s="52" t="n"/>
      <c r="H132" s="52" t="n"/>
      <c r="I132" s="52" t="n"/>
      <c r="J132" s="59" t="n"/>
      <c r="K132" s="59" t="n"/>
      <c r="L132" s="59" t="n"/>
      <c r="M132" s="59" t="n"/>
      <c r="N132" s="59" t="n"/>
      <c r="O132" s="297" t="n"/>
      <c r="P132" s="297" t="n"/>
      <c r="Q132" s="297" t="n"/>
      <c r="R132" s="297" t="n"/>
      <c r="S132" s="297" t="n"/>
      <c r="T132" s="297" t="n"/>
      <c r="U132" s="297" t="n"/>
    </row>
    <row r="133" customFormat="1" s="106">
      <c r="A133" s="174" t="n"/>
      <c r="B133" s="52" t="n"/>
      <c r="C133" s="107">
        <f>IF(B133="", "", VLOOKUP(B133, 'CLIENT DATA'!A:S, 19, FALSE))</f>
        <v/>
      </c>
      <c r="D133" s="107">
        <f t="array" ref="D133">IF(B133="", "", _xlfn.TEXTJOIN(", ", TRUE, IF('CLIENT DATA'!$A$2:$A$205=B133, 'CLIENT DATA'!$C$2:$F$205, "")))</f>
        <v/>
      </c>
      <c r="E133" s="52" t="n"/>
      <c r="F133" s="52" t="n"/>
      <c r="G133" s="52" t="n"/>
      <c r="H133" s="52" t="n"/>
      <c r="I133" s="52" t="n"/>
      <c r="J133" s="59" t="n"/>
      <c r="K133" s="59" t="n"/>
      <c r="L133" s="59" t="n"/>
      <c r="M133" s="59" t="n"/>
      <c r="N133" s="59" t="n"/>
      <c r="O133" s="297" t="n"/>
      <c r="P133" s="297" t="n"/>
      <c r="Q133" s="297" t="n"/>
      <c r="R133" s="297" t="n"/>
      <c r="S133" s="297" t="n"/>
      <c r="T133" s="297" t="n"/>
      <c r="U133" s="297" t="n"/>
    </row>
    <row r="134" customFormat="1" s="106">
      <c r="A134" s="174" t="n"/>
      <c r="B134" s="52" t="n"/>
      <c r="C134" s="107">
        <f>IF(B134="", "", VLOOKUP(B134, 'CLIENT DATA'!A:S, 19, FALSE))</f>
        <v/>
      </c>
      <c r="D134" s="107">
        <f t="array" ref="D134">IF(B134="", "", _xlfn.TEXTJOIN(", ", TRUE, IF('CLIENT DATA'!$A$2:$A$205=B134, 'CLIENT DATA'!$C$2:$F$205, "")))</f>
        <v/>
      </c>
      <c r="E134" s="52" t="n"/>
      <c r="F134" s="52" t="n"/>
      <c r="G134" s="52" t="n"/>
      <c r="H134" s="52" t="n"/>
      <c r="I134" s="52" t="n"/>
      <c r="J134" s="59" t="n"/>
      <c r="K134" s="59" t="n"/>
      <c r="L134" s="59" t="n"/>
      <c r="M134" s="59" t="n"/>
      <c r="N134" s="59" t="n"/>
      <c r="O134" s="297" t="n"/>
      <c r="P134" s="297" t="n"/>
      <c r="Q134" s="297" t="n"/>
      <c r="R134" s="297" t="n"/>
      <c r="S134" s="297" t="n"/>
      <c r="T134" s="297" t="n"/>
      <c r="U134" s="297" t="n"/>
    </row>
    <row r="135" customFormat="1" s="106">
      <c r="A135" s="174" t="n"/>
      <c r="B135" s="52" t="n"/>
      <c r="C135" s="107">
        <f>IF(B135="", "", VLOOKUP(B135, 'CLIENT DATA'!A:S, 19, FALSE))</f>
        <v/>
      </c>
      <c r="D135" s="107">
        <f t="array" ref="D135">IF(B135="", "", _xlfn.TEXTJOIN(", ", TRUE, IF('CLIENT DATA'!$A$2:$A$205=B135, 'CLIENT DATA'!$C$2:$F$205, "")))</f>
        <v/>
      </c>
      <c r="E135" s="52" t="n"/>
      <c r="F135" s="52" t="n"/>
      <c r="G135" s="52" t="n"/>
      <c r="H135" s="52" t="n"/>
      <c r="I135" s="52" t="n"/>
      <c r="J135" s="59" t="n"/>
      <c r="K135" s="59" t="n"/>
      <c r="L135" s="59" t="n"/>
      <c r="M135" s="59" t="n"/>
      <c r="N135" s="59" t="n"/>
      <c r="O135" s="297" t="n"/>
      <c r="P135" s="297" t="n"/>
      <c r="Q135" s="297" t="n"/>
      <c r="R135" s="297" t="n"/>
      <c r="S135" s="297" t="n"/>
      <c r="T135" s="297" t="n"/>
      <c r="U135" s="297" t="n"/>
    </row>
    <row r="136" customFormat="1" s="106">
      <c r="A136" s="174" t="n"/>
      <c r="B136" s="52" t="n"/>
      <c r="C136" s="107">
        <f>IF(B136="", "", VLOOKUP(B136, 'CLIENT DATA'!A:S, 19, FALSE))</f>
        <v/>
      </c>
      <c r="D136" s="107">
        <f t="array" ref="D136">IF(B136="", "", _xlfn.TEXTJOIN(", ", TRUE, IF('CLIENT DATA'!$A$2:$A$205=B136, 'CLIENT DATA'!$C$2:$F$205, "")))</f>
        <v/>
      </c>
      <c r="E136" s="52" t="n"/>
      <c r="F136" s="52" t="n"/>
      <c r="G136" s="52" t="n"/>
      <c r="H136" s="52" t="n"/>
      <c r="I136" s="52" t="n"/>
      <c r="J136" s="59" t="n"/>
      <c r="K136" s="59" t="n"/>
      <c r="L136" s="59" t="n"/>
      <c r="M136" s="59" t="n"/>
      <c r="N136" s="59" t="n"/>
      <c r="O136" s="297" t="n"/>
      <c r="P136" s="297" t="n"/>
      <c r="Q136" s="297" t="n"/>
      <c r="R136" s="297" t="n"/>
      <c r="S136" s="297" t="n"/>
      <c r="T136" s="297" t="n"/>
      <c r="U136" s="297" t="n"/>
    </row>
    <row r="137" customFormat="1" s="106">
      <c r="A137" s="174" t="n"/>
      <c r="B137" s="52" t="n"/>
      <c r="C137" s="107">
        <f>IF(B137="", "", VLOOKUP(B137, 'CLIENT DATA'!A:S, 19, FALSE))</f>
        <v/>
      </c>
      <c r="D137" s="107">
        <f t="array" ref="D137">IF(B137="", "", _xlfn.TEXTJOIN(", ", TRUE, IF('CLIENT DATA'!$A$2:$A$205=B137, 'CLIENT DATA'!$C$2:$F$205, "")))</f>
        <v/>
      </c>
      <c r="E137" s="52" t="n"/>
      <c r="F137" s="52" t="n"/>
      <c r="G137" s="52" t="n"/>
      <c r="H137" s="52" t="n"/>
      <c r="I137" s="52" t="n"/>
      <c r="J137" s="59" t="n"/>
      <c r="K137" s="59" t="n"/>
      <c r="L137" s="59" t="n"/>
      <c r="M137" s="59" t="n"/>
      <c r="N137" s="59" t="n"/>
      <c r="O137" s="297" t="n"/>
      <c r="P137" s="297" t="n"/>
      <c r="Q137" s="297" t="n"/>
      <c r="R137" s="297" t="n"/>
      <c r="S137" s="297" t="n"/>
      <c r="T137" s="297" t="n"/>
      <c r="U137" s="297" t="n"/>
    </row>
    <row r="138" customFormat="1" s="106">
      <c r="A138" s="174" t="n"/>
      <c r="B138" s="52" t="n"/>
      <c r="C138" s="107">
        <f>IF(B138="", "", VLOOKUP(B138, 'CLIENT DATA'!A:S, 19, FALSE))</f>
        <v/>
      </c>
      <c r="D138" s="107">
        <f t="array" ref="D138">IF(B138="", "", _xlfn.TEXTJOIN(", ", TRUE, IF('CLIENT DATA'!$A$2:$A$205=B138, 'CLIENT DATA'!$C$2:$F$205, "")))</f>
        <v/>
      </c>
      <c r="E138" s="52" t="n"/>
      <c r="F138" s="52" t="n"/>
      <c r="G138" s="52" t="n"/>
      <c r="H138" s="52" t="n"/>
      <c r="I138" s="52" t="n"/>
      <c r="J138" s="59" t="n"/>
      <c r="K138" s="59" t="n"/>
      <c r="L138" s="59" t="n"/>
      <c r="M138" s="59" t="n"/>
      <c r="N138" s="59" t="n"/>
      <c r="O138" s="297" t="n"/>
      <c r="P138" s="297" t="n"/>
      <c r="Q138" s="297" t="n"/>
      <c r="R138" s="297" t="n"/>
      <c r="S138" s="297" t="n"/>
      <c r="T138" s="297" t="n"/>
      <c r="U138" s="297" t="n"/>
    </row>
    <row r="139" customFormat="1" s="106">
      <c r="A139" s="174" t="n"/>
      <c r="B139" s="52" t="n"/>
      <c r="C139" s="107">
        <f>IF(B139="", "", VLOOKUP(B139, 'CLIENT DATA'!A:S, 19, FALSE))</f>
        <v/>
      </c>
      <c r="D139" s="107">
        <f t="array" ref="D139">IF(B139="", "", _xlfn.TEXTJOIN(", ", TRUE, IF('CLIENT DATA'!$A$2:$A$205=B139, 'CLIENT DATA'!$C$2:$F$205, "")))</f>
        <v/>
      </c>
      <c r="E139" s="52" t="n"/>
      <c r="F139" s="52" t="n"/>
      <c r="G139" s="52" t="n"/>
      <c r="H139" s="52" t="n"/>
      <c r="I139" s="52" t="n"/>
      <c r="J139" s="59" t="n"/>
      <c r="K139" s="59" t="n"/>
      <c r="L139" s="59" t="n"/>
      <c r="M139" s="59" t="n"/>
      <c r="N139" s="59" t="n"/>
      <c r="O139" s="297" t="n"/>
      <c r="P139" s="297" t="n"/>
      <c r="Q139" s="297" t="n"/>
      <c r="R139" s="297" t="n"/>
      <c r="S139" s="297" t="n"/>
      <c r="T139" s="297" t="n"/>
      <c r="U139" s="297" t="n"/>
    </row>
    <row r="140" customFormat="1" s="106">
      <c r="A140" s="174" t="n"/>
      <c r="B140" s="52" t="n"/>
      <c r="C140" s="107">
        <f>IF(B140="", "", VLOOKUP(B140, 'CLIENT DATA'!A:S, 19, FALSE))</f>
        <v/>
      </c>
      <c r="D140" s="107">
        <f t="array" ref="D140">IF(B140="", "", _xlfn.TEXTJOIN(", ", TRUE, IF('CLIENT DATA'!$A$2:$A$205=B140, 'CLIENT DATA'!$C$2:$F$205, "")))</f>
        <v/>
      </c>
      <c r="E140" s="52" t="n"/>
      <c r="F140" s="52" t="n"/>
      <c r="G140" s="52" t="n"/>
      <c r="H140" s="52" t="n"/>
      <c r="I140" s="52" t="n"/>
      <c r="J140" s="59" t="n"/>
      <c r="K140" s="59" t="n"/>
      <c r="L140" s="59" t="n"/>
      <c r="M140" s="59" t="n"/>
      <c r="N140" s="59" t="n"/>
      <c r="O140" s="297" t="n"/>
      <c r="P140" s="297" t="n"/>
      <c r="Q140" s="297" t="n"/>
      <c r="R140" s="297" t="n"/>
      <c r="S140" s="297" t="n"/>
      <c r="T140" s="297" t="n"/>
      <c r="U140" s="297" t="n"/>
    </row>
    <row r="141" customFormat="1" s="106">
      <c r="A141" s="174" t="n"/>
      <c r="B141" s="298" t="n"/>
      <c r="C141" s="107">
        <f>IF(B141="", "", VLOOKUP(B141, 'CLIENT DATA'!A:S, 19, FALSE))</f>
        <v/>
      </c>
      <c r="D141" s="107">
        <f t="array" ref="D141">IF(B141="", "", _xlfn.TEXTJOIN(", ", TRUE, IF('CLIENT DATA'!$A$2:$A$205=B141, 'CLIENT DATA'!$C$2:$F$205, "")))</f>
        <v/>
      </c>
      <c r="E141" s="52" t="n"/>
      <c r="F141" s="52" t="n"/>
      <c r="G141" s="52" t="n"/>
      <c r="H141" s="52" t="n"/>
      <c r="I141" s="52" t="n"/>
      <c r="J141" s="59" t="n"/>
      <c r="K141" s="59" t="n"/>
      <c r="L141" s="59" t="n"/>
      <c r="M141" s="59" t="n"/>
      <c r="N141" s="59" t="n"/>
      <c r="O141" s="297" t="n"/>
      <c r="P141" s="297" t="n"/>
      <c r="Q141" s="297" t="n"/>
      <c r="R141" s="297" t="n"/>
      <c r="S141" s="297" t="n"/>
      <c r="T141" s="297" t="n"/>
      <c r="U141" s="297" t="n"/>
    </row>
    <row r="142" customFormat="1" s="106">
      <c r="A142" s="174" t="n"/>
      <c r="B142" s="298" t="n"/>
      <c r="C142" s="107">
        <f>IF(B142="", "", VLOOKUP(B142, 'CLIENT DATA'!A:S, 19, FALSE))</f>
        <v/>
      </c>
      <c r="D142" s="107">
        <f t="array" ref="D142">IF(B142="", "", _xlfn.TEXTJOIN(", ", TRUE, IF('CLIENT DATA'!$A$2:$A$205=B142, 'CLIENT DATA'!$C$2:$F$205, "")))</f>
        <v/>
      </c>
      <c r="E142" s="52" t="n"/>
      <c r="F142" s="52" t="n"/>
      <c r="G142" s="52" t="n"/>
      <c r="H142" s="52" t="n"/>
      <c r="I142" s="52" t="n"/>
      <c r="J142" s="59" t="n"/>
      <c r="K142" s="59" t="n"/>
      <c r="L142" s="59" t="n"/>
      <c r="M142" s="59" t="n"/>
      <c r="N142" s="59" t="n"/>
      <c r="O142" s="297" t="n"/>
      <c r="P142" s="297" t="n"/>
      <c r="Q142" s="297" t="n"/>
      <c r="R142" s="297" t="n"/>
      <c r="S142" s="297" t="n"/>
      <c r="T142" s="297" t="n"/>
      <c r="U142" s="297" t="n"/>
    </row>
    <row r="143" customFormat="1" s="106">
      <c r="A143" s="174" t="n"/>
      <c r="B143" s="298" t="n"/>
      <c r="C143" s="107">
        <f>IF(B143="", "", VLOOKUP(B143, 'CLIENT DATA'!A:S, 19, FALSE))</f>
        <v/>
      </c>
      <c r="D143" s="107">
        <f t="array" ref="D143">IF(B143="", "", _xlfn.TEXTJOIN(", ", TRUE, IF('CLIENT DATA'!$A$2:$A$205=B143, 'CLIENT DATA'!$C$2:$F$205, "")))</f>
        <v/>
      </c>
      <c r="E143" s="52" t="n"/>
      <c r="F143" s="52" t="n"/>
      <c r="G143" s="52" t="n"/>
      <c r="H143" s="52" t="n"/>
      <c r="I143" s="52" t="n"/>
      <c r="J143" s="59" t="n"/>
      <c r="K143" s="59" t="n"/>
      <c r="L143" s="59" t="n"/>
      <c r="M143" s="59" t="n"/>
      <c r="N143" s="59" t="n"/>
      <c r="O143" s="297" t="n"/>
      <c r="P143" s="297" t="n"/>
      <c r="Q143" s="297" t="n"/>
      <c r="R143" s="297" t="n"/>
      <c r="S143" s="297" t="n"/>
      <c r="T143" s="297" t="n"/>
      <c r="U143" s="297" t="n"/>
    </row>
    <row r="144" customFormat="1" s="106">
      <c r="A144" s="174" t="n"/>
      <c r="B144" s="298" t="n"/>
      <c r="C144" s="107">
        <f>IF(B144="", "", VLOOKUP(B144, 'CLIENT DATA'!A:S, 19, FALSE))</f>
        <v/>
      </c>
      <c r="D144" s="107">
        <f t="array" ref="D144">IF(B144="", "", _xlfn.TEXTJOIN(", ", TRUE, IF('CLIENT DATA'!$A$2:$A$205=B144, 'CLIENT DATA'!$C$2:$F$205, "")))</f>
        <v/>
      </c>
      <c r="E144" s="52" t="n"/>
      <c r="F144" s="52" t="n"/>
      <c r="G144" s="52" t="n"/>
      <c r="H144" s="52" t="n"/>
      <c r="I144" s="52" t="n"/>
      <c r="J144" s="59" t="n"/>
      <c r="K144" s="59" t="n"/>
      <c r="L144" s="59" t="n"/>
      <c r="M144" s="59" t="n"/>
      <c r="N144" s="59" t="n"/>
      <c r="O144" s="297" t="n"/>
      <c r="P144" s="297" t="n"/>
      <c r="Q144" s="297" t="n"/>
      <c r="R144" s="297" t="n"/>
      <c r="S144" s="297" t="n"/>
      <c r="T144" s="297" t="n"/>
      <c r="U144" s="297" t="n"/>
    </row>
    <row r="145" customFormat="1" s="106">
      <c r="A145" s="174" t="n"/>
      <c r="B145" s="298" t="n"/>
      <c r="C145" s="107">
        <f>IF(B145="", "", VLOOKUP(B145, 'CLIENT DATA'!A:S, 19, FALSE))</f>
        <v/>
      </c>
      <c r="D145" s="107">
        <f t="array" ref="D145">IF(B145="", "", _xlfn.TEXTJOIN(", ", TRUE, IF('CLIENT DATA'!$A$2:$A$205=B145, 'CLIENT DATA'!$C$2:$F$205, "")))</f>
        <v/>
      </c>
      <c r="E145" s="52" t="n"/>
      <c r="F145" s="52" t="n"/>
      <c r="G145" s="52" t="n"/>
      <c r="H145" s="52" t="n"/>
      <c r="I145" s="52" t="n"/>
      <c r="J145" s="59" t="n"/>
      <c r="K145" s="59" t="n"/>
      <c r="L145" s="59" t="n"/>
      <c r="M145" s="59" t="n"/>
      <c r="N145" s="59" t="n"/>
      <c r="O145" s="297" t="n"/>
      <c r="P145" s="297" t="n"/>
      <c r="Q145" s="297" t="n"/>
      <c r="R145" s="297" t="n"/>
      <c r="S145" s="297" t="n"/>
      <c r="T145" s="297" t="n"/>
      <c r="U145" s="297" t="n"/>
    </row>
    <row r="146" customFormat="1" s="106">
      <c r="A146" s="174" t="n"/>
      <c r="B146" s="298" t="n"/>
      <c r="C146" s="107">
        <f>IF(B146="", "", VLOOKUP(B146, 'CLIENT DATA'!A:S, 19, FALSE))</f>
        <v/>
      </c>
      <c r="D146" s="107">
        <f t="array" ref="D146">IF(B146="", "", _xlfn.TEXTJOIN(", ", TRUE, IF('CLIENT DATA'!$A$2:$A$205=B146, 'CLIENT DATA'!$C$2:$F$205, "")))</f>
        <v/>
      </c>
      <c r="E146" s="52" t="n"/>
      <c r="F146" s="52" t="n"/>
      <c r="G146" s="52" t="n"/>
      <c r="H146" s="52" t="n"/>
      <c r="I146" s="52" t="n"/>
      <c r="J146" s="59" t="n"/>
      <c r="K146" s="59" t="n"/>
      <c r="L146" s="59" t="n"/>
      <c r="M146" s="59" t="n"/>
      <c r="N146" s="59" t="n"/>
      <c r="O146" s="297" t="n"/>
      <c r="P146" s="297" t="n"/>
      <c r="Q146" s="297" t="n"/>
      <c r="R146" s="297" t="n"/>
      <c r="S146" s="297" t="n"/>
      <c r="T146" s="297" t="n"/>
      <c r="U146" s="297" t="n"/>
    </row>
    <row r="147" customFormat="1" s="106">
      <c r="A147" s="174" t="n"/>
      <c r="B147" s="298" t="n"/>
      <c r="C147" s="107">
        <f>IF(B147="", "", VLOOKUP(B147, 'CLIENT DATA'!A:S, 19, FALSE))</f>
        <v/>
      </c>
      <c r="D147" s="107">
        <f t="array" ref="D147">IF(B147="", "", _xlfn.TEXTJOIN(", ", TRUE, IF('CLIENT DATA'!$A$2:$A$205=B147, 'CLIENT DATA'!$C$2:$F$205, "")))</f>
        <v/>
      </c>
      <c r="E147" s="52" t="n"/>
      <c r="F147" s="52" t="n"/>
      <c r="G147" s="52" t="n"/>
      <c r="H147" s="52" t="n"/>
      <c r="I147" s="52" t="n"/>
      <c r="J147" s="59" t="n"/>
      <c r="K147" s="59" t="n"/>
      <c r="L147" s="59" t="n"/>
      <c r="M147" s="59" t="n"/>
      <c r="N147" s="59" t="n"/>
      <c r="O147" s="297" t="n"/>
      <c r="P147" s="297" t="n"/>
      <c r="Q147" s="297" t="n"/>
      <c r="R147" s="297" t="n"/>
      <c r="S147" s="297" t="n"/>
      <c r="T147" s="297" t="n"/>
      <c r="U147" s="297" t="n"/>
    </row>
    <row r="148" customFormat="1" s="106">
      <c r="A148" s="174" t="n"/>
      <c r="B148" s="298" t="n"/>
      <c r="C148" s="107">
        <f>IF(B148="", "", VLOOKUP(B148, 'CLIENT DATA'!A:S, 19, FALSE))</f>
        <v/>
      </c>
      <c r="D148" s="107">
        <f t="array" ref="D148">IF(B148="", "", _xlfn.TEXTJOIN(", ", TRUE, IF('CLIENT DATA'!$A$2:$A$205=B148, 'CLIENT DATA'!$C$2:$F$205, "")))</f>
        <v/>
      </c>
      <c r="E148" s="52" t="n"/>
      <c r="F148" s="52" t="n"/>
      <c r="G148" s="52" t="n"/>
      <c r="H148" s="52" t="n"/>
      <c r="I148" s="52" t="n"/>
      <c r="J148" s="59" t="n"/>
      <c r="K148" s="59" t="n"/>
      <c r="L148" s="59" t="n"/>
      <c r="M148" s="59" t="n"/>
      <c r="N148" s="59" t="n"/>
      <c r="O148" s="297" t="n"/>
      <c r="P148" s="297" t="n"/>
      <c r="Q148" s="297" t="n"/>
      <c r="R148" s="297" t="n"/>
      <c r="S148" s="297" t="n"/>
      <c r="T148" s="297" t="n"/>
      <c r="U148" s="297" t="n"/>
    </row>
    <row r="149" customFormat="1" s="106">
      <c r="A149" s="174" t="n"/>
      <c r="B149" s="298" t="n"/>
      <c r="C149" s="107">
        <f>IF(B149="", "", VLOOKUP(B149, 'CLIENT DATA'!A:S, 19, FALSE))</f>
        <v/>
      </c>
      <c r="D149" s="107">
        <f t="array" ref="D149">IF(B149="", "", _xlfn.TEXTJOIN(", ", TRUE, IF('CLIENT DATA'!$A$2:$A$205=B149, 'CLIENT DATA'!$C$2:$F$205, "")))</f>
        <v/>
      </c>
      <c r="E149" s="52" t="n"/>
      <c r="F149" s="52" t="n"/>
      <c r="G149" s="52" t="n"/>
      <c r="H149" s="52" t="n"/>
      <c r="I149" s="52" t="n"/>
      <c r="J149" s="59" t="n"/>
      <c r="K149" s="59" t="n"/>
      <c r="L149" s="59" t="n"/>
      <c r="M149" s="59" t="n"/>
      <c r="N149" s="59" t="n"/>
      <c r="O149" s="297" t="n"/>
      <c r="P149" s="297" t="n"/>
      <c r="Q149" s="297" t="n"/>
      <c r="R149" s="297" t="n"/>
      <c r="S149" s="297" t="n"/>
      <c r="T149" s="297" t="n"/>
      <c r="U149" s="297" t="n"/>
    </row>
    <row r="150" customFormat="1" s="106">
      <c r="A150" s="174" t="n"/>
      <c r="B150" s="298" t="n"/>
      <c r="C150" s="107">
        <f>IF(B150="", "", VLOOKUP(B150, 'CLIENT DATA'!A:S, 19, FALSE))</f>
        <v/>
      </c>
      <c r="D150" s="107">
        <f t="array" ref="D150">IF(B150="", "", _xlfn.TEXTJOIN(", ", TRUE, IF('CLIENT DATA'!$A$2:$A$205=B150, 'CLIENT DATA'!$C$2:$F$205, "")))</f>
        <v/>
      </c>
      <c r="E150" s="52" t="n"/>
      <c r="F150" s="52" t="n"/>
      <c r="G150" s="52" t="n"/>
      <c r="H150" s="52" t="n"/>
      <c r="I150" s="52" t="n"/>
      <c r="J150" s="59" t="n"/>
      <c r="K150" s="59" t="n"/>
      <c r="L150" s="59" t="n"/>
      <c r="M150" s="59" t="n"/>
      <c r="N150" s="59" t="n"/>
      <c r="O150" s="297" t="n"/>
      <c r="P150" s="297" t="n"/>
      <c r="Q150" s="297" t="n"/>
      <c r="R150" s="297" t="n"/>
      <c r="S150" s="297" t="n"/>
      <c r="T150" s="297" t="n"/>
      <c r="U150" s="297" t="n"/>
    </row>
    <row r="151" customFormat="1" s="106">
      <c r="A151" s="174" t="n"/>
      <c r="B151" s="298" t="n"/>
      <c r="C151" s="107">
        <f>IF(B151="", "", VLOOKUP(B151, 'CLIENT DATA'!A:S, 19, FALSE))</f>
        <v/>
      </c>
      <c r="D151" s="107">
        <f t="array" ref="D151">IF(B151="", "", _xlfn.TEXTJOIN(", ", TRUE, IF('CLIENT DATA'!$A$2:$A$205=B151, 'CLIENT DATA'!$C$2:$F$205, "")))</f>
        <v/>
      </c>
      <c r="E151" s="52" t="n"/>
      <c r="F151" s="52" t="n"/>
      <c r="G151" s="52" t="n"/>
      <c r="H151" s="52" t="n"/>
      <c r="I151" s="52" t="n"/>
      <c r="J151" s="59" t="n"/>
      <c r="K151" s="59" t="n"/>
      <c r="L151" s="59" t="n"/>
      <c r="M151" s="59" t="n"/>
      <c r="N151" s="59" t="n"/>
      <c r="O151" s="297" t="n"/>
      <c r="P151" s="297" t="n"/>
      <c r="Q151" s="297" t="n"/>
      <c r="R151" s="297" t="n"/>
      <c r="S151" s="297" t="n"/>
      <c r="T151" s="297" t="n"/>
      <c r="U151" s="297" t="n"/>
    </row>
    <row r="152" customFormat="1" s="106">
      <c r="A152" s="174" t="n"/>
      <c r="B152" s="298" t="n"/>
      <c r="C152" s="107">
        <f>IF(B152="", "", VLOOKUP(B152, 'CLIENT DATA'!A:S, 19, FALSE))</f>
        <v/>
      </c>
      <c r="D152" s="107">
        <f t="array" ref="D152">IF(B152="", "", _xlfn.TEXTJOIN(", ", TRUE, IF('CLIENT DATA'!$A$2:$A$205=B152, 'CLIENT DATA'!$C$2:$F$205, "")))</f>
        <v/>
      </c>
      <c r="E152" s="52" t="n"/>
      <c r="F152" s="52" t="n"/>
      <c r="G152" s="52" t="n"/>
      <c r="H152" s="52" t="n"/>
      <c r="I152" s="52" t="n"/>
      <c r="J152" s="59" t="n"/>
      <c r="K152" s="59" t="n"/>
      <c r="L152" s="59" t="n"/>
      <c r="M152" s="59" t="n"/>
      <c r="N152" s="59" t="n"/>
      <c r="O152" s="297" t="n"/>
      <c r="P152" s="297" t="n"/>
      <c r="Q152" s="297" t="n"/>
      <c r="R152" s="297" t="n"/>
      <c r="S152" s="297" t="n"/>
      <c r="T152" s="297" t="n"/>
      <c r="U152" s="297" t="n"/>
    </row>
    <row r="153" customFormat="1" s="106">
      <c r="A153" s="174" t="n"/>
      <c r="B153" s="298" t="n"/>
      <c r="C153" s="107">
        <f>IF(B153="", "", VLOOKUP(B153, 'CLIENT DATA'!A:S, 19, FALSE))</f>
        <v/>
      </c>
      <c r="D153" s="107">
        <f t="array" ref="D153">IF(B153="", "", _xlfn.TEXTJOIN(", ", TRUE, IF('CLIENT DATA'!$A$2:$A$205=B153, 'CLIENT DATA'!$C$2:$F$205, "")))</f>
        <v/>
      </c>
      <c r="E153" s="52" t="n"/>
      <c r="F153" s="52" t="n"/>
      <c r="G153" s="52" t="n"/>
      <c r="H153" s="52" t="n"/>
      <c r="I153" s="52" t="n"/>
      <c r="J153" s="59" t="n"/>
      <c r="K153" s="59" t="n"/>
      <c r="L153" s="59" t="n"/>
      <c r="M153" s="59" t="n"/>
      <c r="N153" s="59" t="n"/>
      <c r="O153" s="297" t="n"/>
      <c r="P153" s="297" t="n"/>
      <c r="Q153" s="297" t="n"/>
      <c r="R153" s="297" t="n"/>
      <c r="S153" s="297" t="n"/>
      <c r="T153" s="297" t="n"/>
      <c r="U153" s="297" t="n"/>
    </row>
    <row r="154" customFormat="1" s="106">
      <c r="A154" s="194" t="n"/>
      <c r="B154" s="298" t="n"/>
      <c r="C154" s="107">
        <f>IF(B154="", "", VLOOKUP(B154, 'CLIENT DATA'!A:S, 19, FALSE))</f>
        <v/>
      </c>
      <c r="D154" s="107">
        <f t="array" ref="D154">IF(B154="", "", _xlfn.TEXTJOIN(", ", TRUE, IF('CLIENT DATA'!$A$2:$A$205=B154, 'CLIENT DATA'!$C$2:$F$205, "")))</f>
        <v/>
      </c>
      <c r="E154" s="52" t="n"/>
      <c r="F154" s="52" t="n"/>
      <c r="G154" s="52" t="n"/>
      <c r="H154" s="52" t="n"/>
      <c r="I154" s="52" t="n"/>
      <c r="J154" s="59" t="n"/>
      <c r="K154" s="59" t="n"/>
      <c r="L154" s="59" t="n"/>
      <c r="M154" s="59" t="n"/>
      <c r="N154" s="59" t="n"/>
      <c r="O154" s="297" t="n"/>
      <c r="P154" s="297" t="n"/>
      <c r="Q154" s="297" t="n"/>
      <c r="R154" s="297" t="n"/>
      <c r="S154" s="297" t="n"/>
      <c r="T154" s="297" t="n"/>
      <c r="U154" s="297" t="n"/>
    </row>
    <row r="155" customFormat="1" s="106">
      <c r="A155" s="194" t="n"/>
      <c r="B155" s="298" t="n"/>
      <c r="C155" s="107">
        <f>IF(B155="", "", VLOOKUP(B155, 'CLIENT DATA'!A:S, 19, FALSE))</f>
        <v/>
      </c>
      <c r="D155" s="107">
        <f t="array" ref="D155">IF(B155="", "", _xlfn.TEXTJOIN(", ", TRUE, IF('CLIENT DATA'!$A$2:$A$205=B155, 'CLIENT DATA'!$C$2:$F$205, "")))</f>
        <v/>
      </c>
      <c r="E155" s="52" t="n"/>
      <c r="F155" s="52" t="n"/>
      <c r="G155" s="52" t="n"/>
      <c r="H155" s="52" t="n"/>
      <c r="I155" s="52" t="n"/>
      <c r="J155" s="59" t="n"/>
      <c r="K155" s="59" t="n"/>
      <c r="L155" s="59" t="n"/>
      <c r="M155" s="59" t="n"/>
      <c r="N155" s="59" t="n"/>
      <c r="O155" s="297" t="n"/>
      <c r="P155" s="297" t="n"/>
      <c r="Q155" s="297" t="n"/>
      <c r="R155" s="297" t="n"/>
      <c r="S155" s="297" t="n"/>
      <c r="T155" s="297" t="n"/>
      <c r="U155" s="297" t="n"/>
    </row>
    <row r="156" customFormat="1" s="106">
      <c r="A156" s="194" t="n"/>
      <c r="B156" s="298" t="n"/>
      <c r="C156" s="107">
        <f>IF(B156="", "", VLOOKUP(B156, 'CLIENT DATA'!A:S, 19, FALSE))</f>
        <v/>
      </c>
      <c r="D156" s="107">
        <f t="array" ref="D156">IF(B156="", "", _xlfn.TEXTJOIN(", ", TRUE, IF('CLIENT DATA'!$A$2:$A$205=B156, 'CLIENT DATA'!$C$2:$F$205, "")))</f>
        <v/>
      </c>
      <c r="E156" s="52" t="n"/>
      <c r="F156" s="52" t="n"/>
      <c r="G156" s="52" t="n"/>
      <c r="H156" s="52" t="n"/>
      <c r="I156" s="52" t="n"/>
      <c r="J156" s="59" t="n"/>
      <c r="K156" s="59" t="n"/>
      <c r="L156" s="59" t="n"/>
      <c r="M156" s="59" t="n"/>
      <c r="N156" s="59" t="n"/>
      <c r="O156" s="297" t="n"/>
      <c r="P156" s="297" t="n"/>
      <c r="Q156" s="297" t="n"/>
      <c r="R156" s="297" t="n"/>
      <c r="S156" s="297" t="n"/>
      <c r="T156" s="297" t="n"/>
      <c r="U156" s="297" t="n"/>
    </row>
    <row r="157" customFormat="1" s="106">
      <c r="A157" s="194" t="n"/>
      <c r="B157" s="298" t="n"/>
      <c r="C157" s="107">
        <f>IF(B157="", "", VLOOKUP(B157, 'CLIENT DATA'!A:S, 19, FALSE))</f>
        <v/>
      </c>
      <c r="D157" s="107">
        <f t="array" ref="D157">IF(B157="", "", _xlfn.TEXTJOIN(", ", TRUE, IF('CLIENT DATA'!$A$2:$A$205=B157, 'CLIENT DATA'!$C$2:$F$205, "")))</f>
        <v/>
      </c>
      <c r="E157" s="52" t="n"/>
      <c r="F157" s="52" t="n"/>
      <c r="G157" s="52" t="n"/>
      <c r="H157" s="52" t="n"/>
      <c r="I157" s="52" t="n"/>
      <c r="J157" s="59" t="n"/>
      <c r="K157" s="59" t="n"/>
      <c r="L157" s="59" t="n"/>
      <c r="M157" s="59" t="n"/>
      <c r="N157" s="59" t="n"/>
      <c r="O157" s="297" t="n"/>
      <c r="P157" s="297" t="n"/>
      <c r="Q157" s="297" t="n"/>
      <c r="R157" s="297" t="n"/>
      <c r="S157" s="297" t="n"/>
      <c r="T157" s="297" t="n"/>
      <c r="U157" s="297" t="n"/>
    </row>
    <row r="158" customFormat="1" s="106">
      <c r="A158" s="194" t="n"/>
      <c r="B158" s="298" t="n"/>
      <c r="C158" s="107">
        <f>IF(B158="", "", VLOOKUP(B158, 'CLIENT DATA'!A:S, 19, FALSE))</f>
        <v/>
      </c>
      <c r="D158" s="107">
        <f t="array" ref="D158">IF(B158="", "", _xlfn.TEXTJOIN(", ", TRUE, IF('CLIENT DATA'!$A$2:$A$205=B158, 'CLIENT DATA'!$C$2:$F$205, "")))</f>
        <v/>
      </c>
      <c r="E158" s="52" t="n"/>
      <c r="F158" s="52" t="n"/>
      <c r="G158" s="52" t="n"/>
      <c r="H158" s="52" t="n"/>
      <c r="I158" s="52" t="n"/>
      <c r="J158" s="59" t="n"/>
      <c r="K158" s="59" t="n"/>
      <c r="L158" s="59" t="n"/>
      <c r="M158" s="59" t="n"/>
      <c r="N158" s="59" t="n"/>
      <c r="O158" s="297" t="n"/>
      <c r="P158" s="297" t="n"/>
      <c r="Q158" s="297" t="n"/>
      <c r="R158" s="297" t="n"/>
      <c r="S158" s="297" t="n"/>
      <c r="T158" s="297" t="n"/>
      <c r="U158" s="297" t="n"/>
    </row>
    <row r="159" customFormat="1" s="106">
      <c r="A159" s="194" t="n"/>
      <c r="B159" s="298" t="n"/>
      <c r="C159" s="107">
        <f>IF(B159="", "", VLOOKUP(B159, 'CLIENT DATA'!A:S, 19, FALSE))</f>
        <v/>
      </c>
      <c r="D159" s="107">
        <f t="array" ref="D159">IF(B159="", "", _xlfn.TEXTJOIN(", ", TRUE, IF('CLIENT DATA'!$A$2:$A$205=B159, 'CLIENT DATA'!$C$2:$F$205, "")))</f>
        <v/>
      </c>
      <c r="E159" s="52" t="n"/>
      <c r="F159" s="52" t="n"/>
      <c r="G159" s="52" t="n"/>
      <c r="H159" s="52" t="n"/>
      <c r="I159" s="52" t="n"/>
      <c r="J159" s="59" t="n"/>
      <c r="K159" s="59" t="n"/>
      <c r="L159" s="59" t="n"/>
      <c r="M159" s="59" t="n"/>
      <c r="N159" s="59" t="n"/>
      <c r="O159" s="297" t="n"/>
      <c r="P159" s="297" t="n"/>
      <c r="Q159" s="297" t="n"/>
      <c r="R159" s="297" t="n"/>
      <c r="S159" s="297" t="n"/>
      <c r="T159" s="297" t="n"/>
      <c r="U159" s="297" t="n"/>
    </row>
    <row r="160" customFormat="1" s="106">
      <c r="A160" s="194" t="n"/>
      <c r="B160" s="298" t="n"/>
      <c r="C160" s="107">
        <f>IF(B160="", "", VLOOKUP(B160, 'CLIENT DATA'!A:S, 19, FALSE))</f>
        <v/>
      </c>
      <c r="D160" s="107">
        <f t="array" ref="D160">IF(B160="", "", _xlfn.TEXTJOIN(", ", TRUE, IF('CLIENT DATA'!$A$2:$A$205=B160, 'CLIENT DATA'!$C$2:$F$205, "")))</f>
        <v/>
      </c>
      <c r="E160" s="52" t="n"/>
      <c r="F160" s="52" t="n"/>
      <c r="G160" s="52" t="n"/>
      <c r="H160" s="52" t="n"/>
      <c r="I160" s="52" t="n"/>
      <c r="J160" s="59" t="n"/>
      <c r="K160" s="59" t="n"/>
      <c r="L160" s="59" t="n"/>
      <c r="M160" s="59" t="n"/>
      <c r="N160" s="59" t="n"/>
      <c r="O160" s="297" t="n"/>
      <c r="P160" s="297" t="n"/>
      <c r="Q160" s="297" t="n"/>
      <c r="R160" s="297" t="n"/>
      <c r="S160" s="297" t="n"/>
      <c r="T160" s="297" t="n"/>
      <c r="U160" s="297" t="n"/>
    </row>
    <row r="161" customFormat="1" s="106">
      <c r="A161" s="194" t="n"/>
      <c r="B161" s="298" t="n"/>
      <c r="C161" s="107">
        <f>IF(B161="", "", VLOOKUP(B161, 'CLIENT DATA'!A:S, 19, FALSE))</f>
        <v/>
      </c>
      <c r="D161" s="107">
        <f t="array" ref="D161">IF(B161="", "", _xlfn.TEXTJOIN(", ", TRUE, IF('CLIENT DATA'!$A$2:$A$205=B161, 'CLIENT DATA'!$C$2:$F$205, "")))</f>
        <v/>
      </c>
      <c r="E161" s="52" t="n"/>
      <c r="F161" s="52" t="n"/>
      <c r="G161" s="52" t="n"/>
      <c r="H161" s="52" t="n"/>
      <c r="I161" s="52" t="n"/>
      <c r="J161" s="59" t="n"/>
      <c r="K161" s="59" t="n"/>
      <c r="L161" s="59" t="n"/>
      <c r="M161" s="59" t="n"/>
      <c r="N161" s="59" t="n"/>
      <c r="O161" s="297" t="n"/>
      <c r="P161" s="297" t="n"/>
      <c r="Q161" s="297" t="n"/>
      <c r="R161" s="297" t="n"/>
      <c r="S161" s="297" t="n"/>
      <c r="T161" s="297" t="n"/>
      <c r="U161" s="297" t="n"/>
    </row>
    <row r="162" customFormat="1" s="106">
      <c r="A162" s="194" t="n"/>
      <c r="B162" s="298" t="n"/>
      <c r="C162" s="107">
        <f>IF(B162="", "", VLOOKUP(B162, 'CLIENT DATA'!A:S, 19, FALSE))</f>
        <v/>
      </c>
      <c r="D162" s="107">
        <f t="array" ref="D162">IF(B162="", "", _xlfn.TEXTJOIN(", ", TRUE, IF('CLIENT DATA'!$A$2:$A$205=B162, 'CLIENT DATA'!$C$2:$F$205, "")))</f>
        <v/>
      </c>
      <c r="E162" s="52" t="n"/>
      <c r="F162" s="52" t="n"/>
      <c r="G162" s="52" t="n"/>
      <c r="H162" s="52" t="n"/>
      <c r="I162" s="52" t="n"/>
      <c r="J162" s="59" t="n"/>
      <c r="K162" s="59" t="n"/>
      <c r="L162" s="59" t="n"/>
      <c r="M162" s="59" t="n"/>
      <c r="N162" s="59" t="n"/>
      <c r="O162" s="297" t="n"/>
      <c r="P162" s="297" t="n"/>
      <c r="Q162" s="297" t="n"/>
      <c r="R162" s="297" t="n"/>
      <c r="S162" s="297" t="n"/>
      <c r="T162" s="297" t="n"/>
      <c r="U162" s="297" t="n"/>
    </row>
    <row r="163" customFormat="1" s="106">
      <c r="A163" s="194" t="n"/>
      <c r="B163" s="298" t="n"/>
      <c r="C163" s="107">
        <f>IF(B163="", "", VLOOKUP(B163, 'CLIENT DATA'!A:S, 19, FALSE))</f>
        <v/>
      </c>
      <c r="D163" s="107">
        <f t="array" ref="D163">IF(B163="", "", _xlfn.TEXTJOIN(", ", TRUE, IF('CLIENT DATA'!$A$2:$A$205=B163, 'CLIENT DATA'!$C$2:$F$205, "")))</f>
        <v/>
      </c>
      <c r="E163" s="52" t="n"/>
      <c r="F163" s="52" t="n"/>
      <c r="G163" s="52" t="n"/>
      <c r="H163" s="52" t="n"/>
      <c r="I163" s="52" t="n"/>
      <c r="J163" s="59" t="n"/>
      <c r="K163" s="59" t="n"/>
      <c r="L163" s="59" t="n"/>
      <c r="M163" s="59" t="n"/>
      <c r="N163" s="59" t="n"/>
      <c r="O163" s="297" t="n"/>
      <c r="P163" s="297" t="n"/>
      <c r="Q163" s="297" t="n"/>
      <c r="R163" s="297" t="n"/>
      <c r="S163" s="297" t="n"/>
      <c r="T163" s="297" t="n"/>
      <c r="U163" s="297" t="n"/>
    </row>
    <row r="164" customFormat="1" s="106">
      <c r="A164" s="194" t="n"/>
      <c r="B164" s="298" t="n"/>
      <c r="C164" s="107">
        <f>IF(B164="", "", VLOOKUP(B164, 'CLIENT DATA'!A:S, 19, FALSE))</f>
        <v/>
      </c>
      <c r="D164" s="107">
        <f t="array" ref="D164">IF(B164="", "", _xlfn.TEXTJOIN(", ", TRUE, IF('CLIENT DATA'!$A$2:$A$205=B164, 'CLIENT DATA'!$C$2:$F$205, "")))</f>
        <v/>
      </c>
      <c r="E164" s="52" t="n"/>
      <c r="F164" s="52" t="n"/>
      <c r="G164" s="52" t="n"/>
      <c r="H164" s="52" t="n"/>
      <c r="I164" s="52" t="n"/>
      <c r="J164" s="59" t="n"/>
      <c r="K164" s="59" t="n"/>
      <c r="L164" s="59" t="n"/>
      <c r="M164" s="59" t="n"/>
      <c r="N164" s="59" t="n"/>
      <c r="O164" s="297" t="n"/>
      <c r="P164" s="297" t="n"/>
      <c r="Q164" s="297" t="n"/>
      <c r="R164" s="297" t="n"/>
      <c r="S164" s="297" t="n"/>
      <c r="T164" s="297" t="n"/>
      <c r="U164" s="297" t="n"/>
    </row>
    <row r="165" customFormat="1" s="106">
      <c r="A165" s="194" t="n"/>
      <c r="B165" s="298" t="n"/>
      <c r="C165" s="107">
        <f>IF(B165="", "", VLOOKUP(B165, 'CLIENT DATA'!A:S, 19, FALSE))</f>
        <v/>
      </c>
      <c r="D165" s="107">
        <f t="array" ref="D165">IF(B165="", "", _xlfn.TEXTJOIN(", ", TRUE, IF('CLIENT DATA'!$A$2:$A$205=B165, 'CLIENT DATA'!$C$2:$F$205, "")))</f>
        <v/>
      </c>
      <c r="E165" s="52" t="n"/>
      <c r="F165" s="52" t="n"/>
      <c r="G165" s="52" t="n"/>
      <c r="H165" s="52" t="n"/>
      <c r="I165" s="52" t="n"/>
      <c r="J165" s="59" t="n"/>
      <c r="K165" s="59" t="n"/>
      <c r="L165" s="59" t="n"/>
      <c r="M165" s="59" t="n"/>
      <c r="N165" s="59" t="n"/>
      <c r="O165" s="297" t="n"/>
      <c r="P165" s="297" t="n"/>
      <c r="Q165" s="297" t="n"/>
      <c r="R165" s="297" t="n"/>
      <c r="S165" s="297" t="n"/>
      <c r="T165" s="297" t="n"/>
      <c r="U165" s="297" t="n"/>
    </row>
    <row r="166" customFormat="1" s="106">
      <c r="A166" s="194" t="n"/>
      <c r="B166" s="298" t="n"/>
      <c r="C166" s="107">
        <f>IF(B166="", "", VLOOKUP(B166, 'CLIENT DATA'!A:S, 19, FALSE))</f>
        <v/>
      </c>
      <c r="D166" s="107">
        <f t="array" ref="D166">IF(B166="", "", _xlfn.TEXTJOIN(", ", TRUE, IF('CLIENT DATA'!$A$2:$A$205=B166, 'CLIENT DATA'!$C$2:$F$205, "")))</f>
        <v/>
      </c>
      <c r="E166" s="52" t="n"/>
      <c r="F166" s="52" t="n"/>
      <c r="G166" s="52" t="n"/>
      <c r="H166" s="52" t="n"/>
      <c r="I166" s="52" t="n"/>
      <c r="J166" s="59" t="n"/>
      <c r="K166" s="59" t="n"/>
      <c r="L166" s="59" t="n"/>
      <c r="M166" s="59" t="n"/>
      <c r="N166" s="59" t="n"/>
      <c r="O166" s="297" t="n"/>
      <c r="P166" s="297" t="n"/>
      <c r="Q166" s="297" t="n"/>
      <c r="R166" s="297" t="n"/>
      <c r="S166" s="297" t="n"/>
      <c r="T166" s="297" t="n"/>
      <c r="U166" s="297" t="n"/>
    </row>
    <row r="167" customFormat="1" s="106">
      <c r="A167" s="194" t="n"/>
      <c r="B167" s="298" t="n"/>
      <c r="C167" s="107">
        <f>IF(B167="", "", VLOOKUP(B167, 'CLIENT DATA'!A:S, 19, FALSE))</f>
        <v/>
      </c>
      <c r="D167" s="107">
        <f t="array" ref="D167">IF(B167="", "", _xlfn.TEXTJOIN(", ", TRUE, IF('CLIENT DATA'!$A$2:$A$205=B167, 'CLIENT DATA'!$C$2:$F$205, "")))</f>
        <v/>
      </c>
      <c r="E167" s="52" t="n"/>
      <c r="F167" s="52" t="n"/>
      <c r="G167" s="52" t="n"/>
      <c r="H167" s="52" t="n"/>
      <c r="I167" s="52" t="n"/>
      <c r="J167" s="59" t="n"/>
      <c r="K167" s="59" t="n"/>
      <c r="L167" s="59" t="n"/>
      <c r="M167" s="59" t="n"/>
      <c r="N167" s="59" t="n"/>
      <c r="O167" s="297" t="n"/>
      <c r="P167" s="297" t="n"/>
      <c r="Q167" s="297" t="n"/>
      <c r="R167" s="297" t="n"/>
      <c r="S167" s="297" t="n"/>
      <c r="T167" s="297" t="n"/>
      <c r="U167" s="297" t="n"/>
    </row>
    <row r="168" customFormat="1" s="106">
      <c r="A168" s="194" t="n"/>
      <c r="B168" s="298" t="n"/>
      <c r="C168" s="107">
        <f>IF(B168="", "", VLOOKUP(B168, 'CLIENT DATA'!A:S, 19, FALSE))</f>
        <v/>
      </c>
      <c r="D168" s="107">
        <f t="array" ref="D168">IF(B168="", "", _xlfn.TEXTJOIN(", ", TRUE, IF('CLIENT DATA'!$A$2:$A$205=B168, 'CLIENT DATA'!$C$2:$F$205, "")))</f>
        <v/>
      </c>
      <c r="E168" s="52" t="n"/>
      <c r="F168" s="52" t="n"/>
      <c r="G168" s="52" t="n"/>
      <c r="H168" s="52" t="n"/>
      <c r="I168" s="52" t="n"/>
      <c r="J168" s="59" t="n"/>
      <c r="K168" s="59" t="n"/>
      <c r="L168" s="59" t="n"/>
      <c r="M168" s="59" t="n"/>
      <c r="N168" s="59" t="n"/>
      <c r="O168" s="297" t="n"/>
      <c r="P168" s="297" t="n"/>
      <c r="Q168" s="297" t="n"/>
      <c r="R168" s="297" t="n"/>
      <c r="S168" s="297" t="n"/>
      <c r="T168" s="297" t="n"/>
      <c r="U168" s="297" t="n"/>
    </row>
    <row r="169" customFormat="1" s="106">
      <c r="A169" s="194" t="n"/>
      <c r="B169" s="298" t="n"/>
      <c r="C169" s="107">
        <f>IF(B169="", "", VLOOKUP(B169, 'CLIENT DATA'!A:S, 19, FALSE))</f>
        <v/>
      </c>
      <c r="D169" s="107">
        <f t="array" ref="D169">IF(B169="", "", _xlfn.TEXTJOIN(", ", TRUE, IF('CLIENT DATA'!$A$2:$A$205=B169, 'CLIENT DATA'!$C$2:$F$205, "")))</f>
        <v/>
      </c>
      <c r="E169" s="52" t="n"/>
      <c r="F169" s="52" t="n"/>
      <c r="G169" s="52" t="n"/>
      <c r="H169" s="52" t="n"/>
      <c r="I169" s="52" t="n"/>
      <c r="J169" s="59" t="n"/>
      <c r="K169" s="59" t="n"/>
      <c r="L169" s="59" t="n"/>
      <c r="M169" s="59" t="n"/>
      <c r="N169" s="59" t="n"/>
      <c r="O169" s="297" t="n"/>
      <c r="P169" s="297" t="n"/>
      <c r="Q169" s="297" t="n"/>
      <c r="R169" s="297" t="n"/>
      <c r="S169" s="297" t="n"/>
      <c r="T169" s="297" t="n"/>
      <c r="U169" s="297" t="n"/>
    </row>
    <row r="170" customFormat="1" s="106">
      <c r="A170" s="194" t="n"/>
      <c r="B170" s="298" t="n"/>
      <c r="C170" s="107">
        <f>IF(B170="", "", VLOOKUP(B170, 'CLIENT DATA'!A:S, 19, FALSE))</f>
        <v/>
      </c>
      <c r="D170" s="107">
        <f t="array" ref="D170">IF(B170="", "", _xlfn.TEXTJOIN(", ", TRUE, IF('CLIENT DATA'!$A$2:$A$205=B170, 'CLIENT DATA'!$C$2:$F$205, "")))</f>
        <v/>
      </c>
      <c r="E170" s="52" t="n"/>
      <c r="F170" s="52" t="n"/>
      <c r="G170" s="52" t="n"/>
      <c r="H170" s="52" t="n"/>
      <c r="I170" s="52" t="n"/>
      <c r="J170" s="59" t="n"/>
      <c r="K170" s="59" t="n"/>
      <c r="L170" s="59" t="n"/>
      <c r="M170" s="59" t="n"/>
      <c r="N170" s="59" t="n"/>
      <c r="O170" s="297" t="n"/>
      <c r="P170" s="297" t="n"/>
      <c r="Q170" s="297" t="n"/>
      <c r="R170" s="297" t="n"/>
      <c r="S170" s="297" t="n"/>
      <c r="T170" s="297" t="n"/>
      <c r="U170" s="297" t="n"/>
    </row>
    <row r="171" customFormat="1" s="106">
      <c r="A171" s="194" t="n"/>
      <c r="B171" s="298" t="n"/>
      <c r="C171" s="107">
        <f>IF(B171="", "", VLOOKUP(B171, 'CLIENT DATA'!A:S, 19, FALSE))</f>
        <v/>
      </c>
      <c r="D171" s="107">
        <f t="array" ref="D171">IF(B171="", "", _xlfn.TEXTJOIN(", ", TRUE, IF('CLIENT DATA'!$A$2:$A$205=B171, 'CLIENT DATA'!$C$2:$F$205, "")))</f>
        <v/>
      </c>
      <c r="E171" s="52" t="n"/>
      <c r="F171" s="52" t="n"/>
      <c r="G171" s="52" t="n"/>
      <c r="H171" s="52" t="n"/>
      <c r="I171" s="52" t="n"/>
      <c r="J171" s="59" t="n"/>
      <c r="K171" s="59" t="n"/>
      <c r="L171" s="59" t="n"/>
      <c r="M171" s="59" t="n"/>
      <c r="N171" s="59" t="n"/>
      <c r="O171" s="297" t="n"/>
      <c r="P171" s="297" t="n"/>
      <c r="Q171" s="297" t="n"/>
      <c r="R171" s="297" t="n"/>
      <c r="S171" s="297" t="n"/>
      <c r="T171" s="297" t="n"/>
      <c r="U171" s="297" t="n"/>
    </row>
    <row r="172" customFormat="1" s="106">
      <c r="A172" s="194" t="n"/>
      <c r="B172" s="298" t="n"/>
      <c r="C172" s="107">
        <f>IF(B172="", "", VLOOKUP(B172, 'CLIENT DATA'!A:S, 19, FALSE))</f>
        <v/>
      </c>
      <c r="D172" s="107">
        <f t="array" ref="D172">IF(B172="", "", _xlfn.TEXTJOIN(", ", TRUE, IF('CLIENT DATA'!$A$2:$A$205=B172, 'CLIENT DATA'!$C$2:$F$205, "")))</f>
        <v/>
      </c>
      <c r="E172" s="52" t="n"/>
      <c r="F172" s="52" t="n"/>
      <c r="G172" s="52" t="n"/>
      <c r="H172" s="52" t="n"/>
      <c r="I172" s="52" t="n"/>
      <c r="J172" s="59" t="n"/>
      <c r="K172" s="59" t="n"/>
      <c r="L172" s="59" t="n"/>
      <c r="M172" s="59" t="n"/>
      <c r="N172" s="59" t="n"/>
      <c r="O172" s="297" t="n"/>
      <c r="P172" s="297" t="n"/>
      <c r="Q172" s="297" t="n"/>
      <c r="R172" s="297" t="n"/>
      <c r="S172" s="297" t="n"/>
      <c r="T172" s="297" t="n"/>
      <c r="U172" s="297" t="n"/>
    </row>
    <row r="173" customFormat="1" s="106">
      <c r="A173" s="194" t="n"/>
      <c r="B173" s="298" t="n"/>
      <c r="C173" s="107">
        <f>IF(B173="", "", VLOOKUP(B173, 'CLIENT DATA'!A:S, 19, FALSE))</f>
        <v/>
      </c>
      <c r="D173" s="107">
        <f t="array" ref="D173">IF(B173="", "", _xlfn.TEXTJOIN(", ", TRUE, IF('CLIENT DATA'!$A$2:$A$205=B173, 'CLIENT DATA'!$C$2:$F$205, "")))</f>
        <v/>
      </c>
      <c r="E173" s="52" t="n"/>
      <c r="F173" s="52" t="n"/>
      <c r="G173" s="52" t="n"/>
      <c r="H173" s="52" t="n"/>
      <c r="I173" s="52" t="n"/>
      <c r="J173" s="59" t="n"/>
      <c r="K173" s="59" t="n"/>
      <c r="L173" s="59" t="n"/>
      <c r="M173" s="59" t="n"/>
      <c r="N173" s="59" t="n"/>
      <c r="O173" s="297" t="n"/>
      <c r="P173" s="297" t="n"/>
      <c r="Q173" s="297" t="n"/>
      <c r="R173" s="297" t="n"/>
      <c r="S173" s="297" t="n"/>
      <c r="T173" s="297" t="n"/>
      <c r="U173" s="297" t="n"/>
    </row>
    <row r="174" customFormat="1" s="106">
      <c r="A174" s="194" t="n"/>
      <c r="B174" s="298" t="n"/>
      <c r="C174" s="107">
        <f>IF(B174="", "", VLOOKUP(B174, 'CLIENT DATA'!A:S, 19, FALSE))</f>
        <v/>
      </c>
      <c r="D174" s="107">
        <f t="array" ref="D174">IF(B174="", "", _xlfn.TEXTJOIN(", ", TRUE, IF('CLIENT DATA'!$A$2:$A$205=B174, 'CLIENT DATA'!$C$2:$F$205, "")))</f>
        <v/>
      </c>
      <c r="E174" s="52" t="n"/>
      <c r="F174" s="52" t="n"/>
      <c r="G174" s="52" t="n"/>
      <c r="H174" s="52" t="n"/>
      <c r="I174" s="52" t="n"/>
      <c r="J174" s="59" t="n"/>
      <c r="K174" s="59" t="n"/>
      <c r="L174" s="59" t="n"/>
      <c r="M174" s="59" t="n"/>
      <c r="N174" s="59" t="n"/>
      <c r="O174" s="297" t="n"/>
      <c r="P174" s="297" t="n"/>
      <c r="Q174" s="297" t="n"/>
      <c r="R174" s="297" t="n"/>
      <c r="S174" s="297" t="n"/>
      <c r="T174" s="297" t="n"/>
      <c r="U174" s="297" t="n"/>
    </row>
    <row r="175" customFormat="1" s="106">
      <c r="A175" s="174" t="n"/>
      <c r="B175" s="52" t="n"/>
      <c r="C175" s="107">
        <f>IF(B175="", "", VLOOKUP(B175, 'CLIENT DATA'!A:S, 19, FALSE))</f>
        <v/>
      </c>
      <c r="D175" s="107">
        <f t="array" ref="D175">IF(B175="", "", _xlfn.TEXTJOIN(", ", TRUE, IF('CLIENT DATA'!$A$2:$A$205=B175, 'CLIENT DATA'!$C$2:$F$205, "")))</f>
        <v/>
      </c>
      <c r="E175" s="52" t="n"/>
      <c r="F175" s="52" t="n"/>
      <c r="G175" s="52" t="n"/>
      <c r="H175" s="52" t="n"/>
      <c r="I175" s="52" t="n"/>
      <c r="J175" s="59" t="n"/>
      <c r="K175" s="59" t="n"/>
      <c r="L175" s="59" t="n"/>
      <c r="M175" s="59" t="n"/>
      <c r="N175" s="59" t="n"/>
      <c r="O175" s="297" t="n"/>
      <c r="P175" s="297" t="n"/>
      <c r="Q175" s="297" t="n"/>
      <c r="R175" s="297" t="n"/>
      <c r="S175" s="297" t="n"/>
      <c r="T175" s="297" t="n"/>
      <c r="U175" s="297" t="n"/>
    </row>
    <row r="176" customFormat="1" s="106">
      <c r="A176" s="174" t="n"/>
      <c r="B176" s="52" t="n"/>
      <c r="C176" s="107">
        <f>IF(B176="", "", VLOOKUP(B176, 'CLIENT DATA'!A:S, 19, FALSE))</f>
        <v/>
      </c>
      <c r="D176" s="107">
        <f t="array" ref="D176">IF(B176="", "", _xlfn.TEXTJOIN(", ", TRUE, IF('CLIENT DATA'!$A$2:$A$205=B176, 'CLIENT DATA'!$C$2:$F$205, "")))</f>
        <v/>
      </c>
      <c r="E176" s="52" t="n"/>
      <c r="F176" s="52" t="n"/>
      <c r="G176" s="52" t="n"/>
      <c r="H176" s="52" t="n"/>
      <c r="I176" s="52" t="n"/>
      <c r="J176" s="59" t="n"/>
      <c r="K176" s="59" t="n"/>
      <c r="L176" s="59" t="n"/>
      <c r="M176" s="59" t="n"/>
      <c r="N176" s="59" t="n"/>
      <c r="O176" s="297" t="n"/>
      <c r="P176" s="297" t="n"/>
      <c r="Q176" s="297" t="n"/>
      <c r="R176" s="297" t="n"/>
      <c r="S176" s="297" t="n"/>
      <c r="T176" s="297" t="n"/>
      <c r="U176" s="297" t="n"/>
    </row>
    <row r="177" customFormat="1" s="106">
      <c r="A177" s="174" t="n"/>
      <c r="B177" s="52" t="n"/>
      <c r="C177" s="107">
        <f>IF(B177="", "", VLOOKUP(B177, 'CLIENT DATA'!A:S, 19, FALSE))</f>
        <v/>
      </c>
      <c r="D177" s="107">
        <f t="array" ref="D177">IF(B177="", "", _xlfn.TEXTJOIN(", ", TRUE, IF('CLIENT DATA'!$A$2:$A$205=B177, 'CLIENT DATA'!$C$2:$F$205, "")))</f>
        <v/>
      </c>
      <c r="E177" s="52" t="n"/>
      <c r="F177" s="52" t="n"/>
      <c r="G177" s="52" t="n"/>
      <c r="H177" s="52" t="n"/>
      <c r="I177" s="52" t="n"/>
      <c r="J177" s="59" t="n"/>
      <c r="K177" s="59" t="n"/>
      <c r="L177" s="59" t="n"/>
      <c r="M177" s="59" t="n"/>
      <c r="N177" s="59" t="n"/>
      <c r="O177" s="297" t="n"/>
      <c r="P177" s="297" t="n"/>
      <c r="Q177" s="297" t="n"/>
      <c r="R177" s="297" t="n"/>
      <c r="S177" s="297" t="n"/>
      <c r="T177" s="297" t="n"/>
      <c r="U177" s="297" t="n"/>
    </row>
    <row r="178" customFormat="1" s="106">
      <c r="A178" s="174" t="n"/>
      <c r="B178" s="52" t="n"/>
      <c r="C178" s="107">
        <f>IF(B178="", "", VLOOKUP(B178, 'CLIENT DATA'!A:S, 19, FALSE))</f>
        <v/>
      </c>
      <c r="D178" s="107">
        <f t="array" ref="D178">IF(B178="", "", _xlfn.TEXTJOIN(", ", TRUE, IF('CLIENT DATA'!$A$2:$A$205=B178, 'CLIENT DATA'!$C$2:$F$205, "")))</f>
        <v/>
      </c>
      <c r="E178" s="52" t="n"/>
      <c r="F178" s="52" t="n"/>
      <c r="G178" s="52" t="n"/>
      <c r="H178" s="52" t="n"/>
      <c r="I178" s="52" t="n"/>
      <c r="J178" s="59" t="n"/>
      <c r="K178" s="59" t="n"/>
      <c r="L178" s="59" t="n"/>
      <c r="M178" s="59" t="n"/>
      <c r="N178" s="59" t="n"/>
      <c r="O178" s="297" t="n"/>
      <c r="P178" s="297" t="n"/>
      <c r="Q178" s="297" t="n"/>
      <c r="R178" s="297" t="n"/>
      <c r="S178" s="297" t="n"/>
      <c r="T178" s="297" t="n"/>
      <c r="U178" s="297" t="n"/>
    </row>
    <row r="179" customFormat="1" s="106">
      <c r="A179" s="174" t="n"/>
      <c r="B179" s="52" t="n"/>
      <c r="C179" s="107">
        <f>IF(B179="", "", VLOOKUP(B179, 'CLIENT DATA'!A:S, 19, FALSE))</f>
        <v/>
      </c>
      <c r="D179" s="107">
        <f t="array" ref="D179">IF(B179="", "", _xlfn.TEXTJOIN(", ", TRUE, IF('CLIENT DATA'!$A$2:$A$205=B179, 'CLIENT DATA'!$C$2:$F$205, "")))</f>
        <v/>
      </c>
      <c r="E179" s="52" t="n"/>
      <c r="F179" s="52" t="n"/>
      <c r="G179" s="52" t="n"/>
      <c r="H179" s="52" t="n"/>
      <c r="I179" s="52" t="n"/>
      <c r="J179" s="59" t="n"/>
      <c r="K179" s="59" t="n"/>
      <c r="L179" s="59" t="n"/>
      <c r="M179" s="59" t="n"/>
      <c r="N179" s="59" t="n"/>
      <c r="O179" s="297" t="n"/>
      <c r="P179" s="297" t="n"/>
      <c r="Q179" s="297" t="n"/>
      <c r="R179" s="297" t="n"/>
      <c r="S179" s="297" t="n"/>
      <c r="T179" s="297" t="n"/>
      <c r="U179" s="297" t="n"/>
    </row>
    <row r="180" customFormat="1" s="106">
      <c r="A180" s="174" t="n"/>
      <c r="B180" s="52" t="n"/>
      <c r="C180" s="107">
        <f>IF(B180="", "", VLOOKUP(B180, 'CLIENT DATA'!A:S, 19, FALSE))</f>
        <v/>
      </c>
      <c r="D180" s="107">
        <f t="array" ref="D180">IF(B180="", "", _xlfn.TEXTJOIN(", ", TRUE, IF('CLIENT DATA'!$A$2:$A$205=B180, 'CLIENT DATA'!$C$2:$F$205, "")))</f>
        <v/>
      </c>
      <c r="E180" s="52" t="n"/>
      <c r="F180" s="52" t="n"/>
      <c r="G180" s="52" t="n"/>
      <c r="H180" s="52" t="n"/>
      <c r="I180" s="52" t="n"/>
      <c r="J180" s="59" t="n"/>
      <c r="K180" s="59" t="n"/>
      <c r="L180" s="59" t="n"/>
      <c r="M180" s="59" t="n"/>
      <c r="N180" s="59" t="n"/>
      <c r="O180" s="297" t="n"/>
      <c r="P180" s="297" t="n"/>
      <c r="Q180" s="297" t="n"/>
      <c r="R180" s="297" t="n"/>
      <c r="S180" s="297" t="n"/>
      <c r="T180" s="297" t="n"/>
      <c r="U180" s="297" t="n"/>
    </row>
    <row r="181" customFormat="1" s="106">
      <c r="A181" s="174" t="n"/>
      <c r="B181" s="52" t="n"/>
      <c r="C181" s="107">
        <f>IF(B181="", "", VLOOKUP(B181, 'CLIENT DATA'!A:S, 19, FALSE))</f>
        <v/>
      </c>
      <c r="D181" s="107">
        <f t="array" ref="D181">IF(B181="", "", _xlfn.TEXTJOIN(", ", TRUE, IF('CLIENT DATA'!$A$2:$A$205=B181, 'CLIENT DATA'!$C$2:$F$205, "")))</f>
        <v/>
      </c>
      <c r="E181" s="52" t="n"/>
      <c r="F181" s="52" t="n"/>
      <c r="G181" s="52" t="n"/>
      <c r="H181" s="52" t="n"/>
      <c r="I181" s="52" t="n"/>
      <c r="J181" s="59" t="n"/>
      <c r="K181" s="59" t="n"/>
      <c r="L181" s="59" t="n"/>
      <c r="M181" s="59" t="n"/>
      <c r="N181" s="59" t="n"/>
      <c r="O181" s="297" t="n"/>
      <c r="P181" s="297" t="n"/>
      <c r="Q181" s="297" t="n"/>
      <c r="R181" s="297" t="n"/>
      <c r="S181" s="297" t="n"/>
      <c r="T181" s="297" t="n"/>
      <c r="U181" s="297" t="n"/>
    </row>
    <row r="182" customFormat="1" s="106">
      <c r="A182" s="174" t="n"/>
      <c r="B182" s="52" t="n"/>
      <c r="C182" s="107">
        <f>IF(B182="", "", VLOOKUP(B182, 'CLIENT DATA'!A:S, 19, FALSE))</f>
        <v/>
      </c>
      <c r="D182" s="107">
        <f t="array" ref="D182">IF(B182="", "", _xlfn.TEXTJOIN(", ", TRUE, IF('CLIENT DATA'!$A$2:$A$205=B182, 'CLIENT DATA'!$C$2:$F$205, "")))</f>
        <v/>
      </c>
      <c r="E182" s="52" t="n"/>
      <c r="F182" s="52" t="n"/>
      <c r="G182" s="52" t="n"/>
      <c r="H182" s="52" t="n"/>
      <c r="I182" s="52" t="n"/>
      <c r="J182" s="59" t="n"/>
      <c r="K182" s="59" t="n"/>
      <c r="L182" s="59" t="n"/>
      <c r="M182" s="59" t="n"/>
      <c r="N182" s="59" t="n"/>
      <c r="O182" s="297" t="n"/>
      <c r="P182" s="297" t="n"/>
      <c r="Q182" s="297" t="n"/>
      <c r="R182" s="297" t="n"/>
      <c r="S182" s="297" t="n"/>
      <c r="T182" s="297" t="n"/>
      <c r="U182" s="297" t="n"/>
    </row>
    <row r="183" customFormat="1" s="106">
      <c r="A183" s="174" t="n"/>
      <c r="B183" s="298" t="n"/>
      <c r="C183" s="107">
        <f>IF(B183="", "", VLOOKUP(B183, 'CLIENT DATA'!A:S, 19, FALSE))</f>
        <v/>
      </c>
      <c r="D183" s="107">
        <f t="array" ref="D183">IF(B183="", "", _xlfn.TEXTJOIN(", ", TRUE, IF('CLIENT DATA'!$A$2:$A$205=B183, 'CLIENT DATA'!$C$2:$F$205, "")))</f>
        <v/>
      </c>
      <c r="E183" s="52" t="n"/>
      <c r="F183" s="52" t="n"/>
      <c r="G183" s="52" t="n"/>
      <c r="H183" s="52" t="n"/>
      <c r="I183" s="52" t="n"/>
      <c r="J183" s="59" t="n"/>
      <c r="K183" s="59" t="n"/>
      <c r="L183" s="59" t="n"/>
      <c r="M183" s="59" t="n"/>
      <c r="N183" s="59" t="n"/>
      <c r="O183" s="297" t="n"/>
      <c r="P183" s="297" t="n"/>
      <c r="Q183" s="297" t="n"/>
      <c r="R183" s="297" t="n"/>
      <c r="S183" s="297" t="n"/>
      <c r="T183" s="297" t="n"/>
      <c r="U183" s="297" t="n"/>
    </row>
    <row r="184" customFormat="1" s="106">
      <c r="A184" s="174" t="n"/>
      <c r="B184" s="298" t="n"/>
      <c r="C184" s="107">
        <f>IF(B184="", "", VLOOKUP(B184, 'CLIENT DATA'!A:S, 19, FALSE))</f>
        <v/>
      </c>
      <c r="D184" s="107">
        <f t="array" ref="D184">IF(B184="", "", _xlfn.TEXTJOIN(", ", TRUE, IF('CLIENT DATA'!$A$2:$A$205=B184, 'CLIENT DATA'!$C$2:$F$205, "")))</f>
        <v/>
      </c>
      <c r="E184" s="52" t="n"/>
      <c r="F184" s="52" t="n"/>
      <c r="G184" s="52" t="n"/>
      <c r="H184" s="52" t="n"/>
      <c r="I184" s="52" t="n"/>
      <c r="J184" s="59" t="n"/>
      <c r="K184" s="59" t="n"/>
      <c r="L184" s="59" t="n"/>
      <c r="M184" s="59" t="n"/>
      <c r="N184" s="59" t="n"/>
      <c r="O184" s="297" t="n"/>
      <c r="P184" s="297" t="n"/>
      <c r="Q184" s="297" t="n"/>
      <c r="R184" s="297" t="n"/>
      <c r="S184" s="297" t="n"/>
      <c r="T184" s="297" t="n"/>
      <c r="U184" s="297" t="n"/>
    </row>
    <row r="185" customFormat="1" s="106">
      <c r="A185" s="174" t="n"/>
      <c r="B185" s="298" t="n"/>
      <c r="C185" s="107">
        <f>IF(B185="", "", VLOOKUP(B185, 'CLIENT DATA'!A:S, 19, FALSE))</f>
        <v/>
      </c>
      <c r="D185" s="107">
        <f t="array" ref="D185">IF(B185="", "", _xlfn.TEXTJOIN(", ", TRUE, IF('CLIENT DATA'!$A$2:$A$205=B185, 'CLIENT DATA'!$C$2:$F$205, "")))</f>
        <v/>
      </c>
      <c r="E185" s="52" t="n"/>
      <c r="F185" s="52" t="n"/>
      <c r="G185" s="52" t="n"/>
      <c r="H185" s="52" t="n"/>
      <c r="I185" s="52" t="n"/>
      <c r="J185" s="59" t="n"/>
      <c r="K185" s="59" t="n"/>
      <c r="L185" s="59" t="n"/>
      <c r="M185" s="59" t="n"/>
      <c r="N185" s="59" t="n"/>
      <c r="O185" s="297" t="n"/>
      <c r="P185" s="297" t="n"/>
      <c r="Q185" s="297" t="n"/>
      <c r="R185" s="297" t="n"/>
      <c r="S185" s="297" t="n"/>
      <c r="T185" s="297" t="n"/>
      <c r="U185" s="297" t="n"/>
    </row>
    <row r="186" customFormat="1" s="106">
      <c r="A186" s="174" t="n"/>
      <c r="B186" s="298" t="n"/>
      <c r="C186" s="107">
        <f>IF(B186="", "", VLOOKUP(B186, 'CLIENT DATA'!A:S, 19, FALSE))</f>
        <v/>
      </c>
      <c r="D186" s="107">
        <f t="array" ref="D186">IF(B186="", "", _xlfn.TEXTJOIN(", ", TRUE, IF('CLIENT DATA'!$A$2:$A$205=B186, 'CLIENT DATA'!$C$2:$F$205, "")))</f>
        <v/>
      </c>
      <c r="E186" s="52" t="n"/>
      <c r="F186" s="52" t="n"/>
      <c r="G186" s="52" t="n"/>
      <c r="H186" s="52" t="n"/>
      <c r="I186" s="52" t="n"/>
      <c r="J186" s="59" t="n"/>
      <c r="K186" s="59" t="n"/>
      <c r="L186" s="59" t="n"/>
      <c r="M186" s="59" t="n"/>
      <c r="N186" s="59" t="n"/>
      <c r="O186" s="297" t="n"/>
      <c r="P186" s="297" t="n"/>
      <c r="Q186" s="297" t="n"/>
      <c r="R186" s="297" t="n"/>
      <c r="S186" s="297" t="n"/>
      <c r="T186" s="297" t="n"/>
      <c r="U186" s="297" t="n"/>
    </row>
    <row r="187" customFormat="1" s="106">
      <c r="A187" s="174" t="n"/>
      <c r="B187" s="298" t="n"/>
      <c r="C187" s="107">
        <f>IF(B187="", "", VLOOKUP(B187, 'CLIENT DATA'!A:S, 19, FALSE))</f>
        <v/>
      </c>
      <c r="D187" s="107">
        <f t="array" ref="D187">IF(B187="", "", _xlfn.TEXTJOIN(", ", TRUE, IF('CLIENT DATA'!$A$2:$A$205=B187, 'CLIENT DATA'!$C$2:$F$205, "")))</f>
        <v/>
      </c>
      <c r="E187" s="52" t="n"/>
      <c r="F187" s="52" t="n"/>
      <c r="G187" s="52" t="n"/>
      <c r="H187" s="52" t="n"/>
      <c r="I187" s="52" t="n"/>
      <c r="J187" s="59" t="n"/>
      <c r="K187" s="59" t="n"/>
      <c r="L187" s="59" t="n"/>
      <c r="M187" s="59" t="n"/>
      <c r="N187" s="59" t="n"/>
      <c r="O187" s="297" t="n"/>
      <c r="P187" s="297" t="n"/>
      <c r="Q187" s="297" t="n"/>
      <c r="R187" s="297" t="n"/>
      <c r="S187" s="297" t="n"/>
      <c r="T187" s="297" t="n"/>
      <c r="U187" s="297" t="n"/>
    </row>
    <row r="188" customFormat="1" s="106">
      <c r="A188" s="174" t="n"/>
      <c r="B188" s="298" t="n"/>
      <c r="C188" s="107">
        <f>IF(B188="", "", VLOOKUP(B188, 'CLIENT DATA'!A:S, 19, FALSE))</f>
        <v/>
      </c>
      <c r="D188" s="107">
        <f t="array" ref="D188">IF(B188="", "", _xlfn.TEXTJOIN(", ", TRUE, IF('CLIENT DATA'!$A$2:$A$205=B188, 'CLIENT DATA'!$C$2:$F$205, "")))</f>
        <v/>
      </c>
      <c r="E188" s="52" t="n"/>
      <c r="F188" s="52" t="n"/>
      <c r="G188" s="52" t="n"/>
      <c r="H188" s="52" t="n"/>
      <c r="I188" s="52" t="n"/>
      <c r="J188" s="59" t="n"/>
      <c r="K188" s="59" t="n"/>
      <c r="L188" s="59" t="n"/>
      <c r="M188" s="59" t="n"/>
      <c r="N188" s="59" t="n"/>
      <c r="O188" s="297" t="n"/>
      <c r="P188" s="297" t="n"/>
      <c r="Q188" s="297" t="n"/>
      <c r="R188" s="297" t="n"/>
      <c r="S188" s="297" t="n"/>
      <c r="T188" s="297" t="n"/>
      <c r="U188" s="297" t="n"/>
    </row>
    <row r="189" customFormat="1" s="106">
      <c r="A189" s="174" t="n"/>
      <c r="B189" s="298" t="n"/>
      <c r="C189" s="107">
        <f>IF(B189="", "", VLOOKUP(B189, 'CLIENT DATA'!A:S, 19, FALSE))</f>
        <v/>
      </c>
      <c r="D189" s="107">
        <f t="array" ref="D189">IF(B189="", "", _xlfn.TEXTJOIN(", ", TRUE, IF('CLIENT DATA'!$A$2:$A$205=B189, 'CLIENT DATA'!$C$2:$F$205, "")))</f>
        <v/>
      </c>
      <c r="E189" s="52" t="n"/>
      <c r="F189" s="52" t="n"/>
      <c r="G189" s="52" t="n"/>
      <c r="H189" s="52" t="n"/>
      <c r="I189" s="52" t="n"/>
      <c r="J189" s="59" t="n"/>
      <c r="K189" s="59" t="n"/>
      <c r="L189" s="59" t="n"/>
      <c r="M189" s="59" t="n"/>
      <c r="N189" s="59" t="n"/>
      <c r="O189" s="297" t="n"/>
      <c r="P189" s="297" t="n"/>
      <c r="Q189" s="297" t="n"/>
      <c r="R189" s="297" t="n"/>
      <c r="S189" s="297" t="n"/>
      <c r="T189" s="297" t="n"/>
      <c r="U189" s="297" t="n"/>
    </row>
    <row r="190" customFormat="1" s="106">
      <c r="A190" s="174" t="n"/>
      <c r="B190" s="298" t="n"/>
      <c r="C190" s="107">
        <f>IF(B190="", "", VLOOKUP(B190, 'CLIENT DATA'!A:S, 19, FALSE))</f>
        <v/>
      </c>
      <c r="D190" s="107">
        <f t="array" ref="D190">IF(B190="", "", _xlfn.TEXTJOIN(", ", TRUE, IF('CLIENT DATA'!$A$2:$A$205=B190, 'CLIENT DATA'!$C$2:$F$205, "")))</f>
        <v/>
      </c>
      <c r="E190" s="52" t="n"/>
      <c r="F190" s="52" t="n"/>
      <c r="G190" s="52" t="n"/>
      <c r="H190" s="52" t="n"/>
      <c r="I190" s="52" t="n"/>
      <c r="J190" s="59" t="n"/>
      <c r="K190" s="59" t="n"/>
      <c r="L190" s="59" t="n"/>
      <c r="M190" s="59" t="n"/>
      <c r="N190" s="59" t="n"/>
      <c r="O190" s="297" t="n"/>
      <c r="P190" s="297" t="n"/>
      <c r="Q190" s="297" t="n"/>
      <c r="R190" s="297" t="n"/>
      <c r="S190" s="297" t="n"/>
      <c r="T190" s="297" t="n"/>
      <c r="U190" s="297" t="n"/>
    </row>
    <row r="191" customFormat="1" s="106">
      <c r="A191" s="174" t="n"/>
      <c r="B191" s="298" t="n"/>
      <c r="C191" s="107">
        <f>IF(B191="", "", VLOOKUP(B191, 'CLIENT DATA'!A:S, 19, FALSE))</f>
        <v/>
      </c>
      <c r="D191" s="107">
        <f t="array" ref="D191">IF(B191="", "", _xlfn.TEXTJOIN(", ", TRUE, IF('CLIENT DATA'!$A$2:$A$205=B191, 'CLIENT DATA'!$C$2:$F$205, "")))</f>
        <v/>
      </c>
      <c r="E191" s="52" t="n"/>
      <c r="F191" s="52" t="n"/>
      <c r="G191" s="52" t="n"/>
      <c r="H191" s="52" t="n"/>
      <c r="I191" s="52" t="n"/>
      <c r="J191" s="59" t="n"/>
      <c r="K191" s="59" t="n"/>
      <c r="L191" s="59" t="n"/>
      <c r="M191" s="59" t="n"/>
      <c r="N191" s="59" t="n"/>
      <c r="O191" s="297" t="n"/>
      <c r="P191" s="297" t="n"/>
      <c r="Q191" s="297" t="n"/>
      <c r="R191" s="297" t="n"/>
      <c r="S191" s="297" t="n"/>
      <c r="T191" s="297" t="n"/>
      <c r="U191" s="297" t="n"/>
    </row>
    <row r="192" customFormat="1" s="106">
      <c r="A192" s="174" t="n"/>
      <c r="B192" s="298" t="n"/>
      <c r="C192" s="107">
        <f>IF(B192="", "", VLOOKUP(B192, 'CLIENT DATA'!A:S, 19, FALSE))</f>
        <v/>
      </c>
      <c r="D192" s="107">
        <f t="array" ref="D192">IF(B192="", "", _xlfn.TEXTJOIN(", ", TRUE, IF('CLIENT DATA'!$A$2:$A$205=B192, 'CLIENT DATA'!$C$2:$F$205, "")))</f>
        <v/>
      </c>
      <c r="E192" s="52" t="n"/>
      <c r="F192" s="52" t="n"/>
      <c r="G192" s="52" t="n"/>
      <c r="H192" s="52" t="n"/>
      <c r="I192" s="52" t="n"/>
      <c r="J192" s="59" t="n"/>
      <c r="K192" s="59" t="n"/>
      <c r="L192" s="59" t="n"/>
      <c r="M192" s="59" t="n"/>
      <c r="N192" s="59" t="n"/>
      <c r="O192" s="297" t="n"/>
      <c r="P192" s="297" t="n"/>
      <c r="Q192" s="297" t="n"/>
      <c r="R192" s="297" t="n"/>
      <c r="S192" s="297" t="n"/>
      <c r="T192" s="297" t="n"/>
      <c r="U192" s="297" t="n"/>
    </row>
    <row r="193" customFormat="1" s="106">
      <c r="A193" s="174" t="n"/>
      <c r="B193" s="298" t="n"/>
      <c r="C193" s="107">
        <f>IF(B193="", "", VLOOKUP(B193, 'CLIENT DATA'!A:S, 19, FALSE))</f>
        <v/>
      </c>
      <c r="D193" s="107">
        <f t="array" ref="D193">IF(B193="", "", _xlfn.TEXTJOIN(", ", TRUE, IF('CLIENT DATA'!$A$2:$A$205=B193, 'CLIENT DATA'!$C$2:$F$205, "")))</f>
        <v/>
      </c>
      <c r="E193" s="52" t="n"/>
      <c r="F193" s="52" t="n"/>
      <c r="G193" s="52" t="n"/>
      <c r="H193" s="52" t="n"/>
      <c r="I193" s="52" t="n"/>
      <c r="J193" s="59" t="n"/>
      <c r="K193" s="59" t="n"/>
      <c r="L193" s="59" t="n"/>
      <c r="M193" s="59" t="n"/>
      <c r="N193" s="59" t="n"/>
      <c r="O193" s="297" t="n"/>
      <c r="P193" s="297" t="n"/>
      <c r="Q193" s="297" t="n"/>
      <c r="R193" s="297" t="n"/>
      <c r="S193" s="297" t="n"/>
      <c r="T193" s="297" t="n"/>
      <c r="U193" s="297" t="n"/>
    </row>
    <row r="194" customFormat="1" s="106">
      <c r="A194" s="174" t="n"/>
      <c r="B194" s="298" t="n"/>
      <c r="C194" s="107">
        <f>IF(B194="", "", VLOOKUP(B194, 'CLIENT DATA'!A:S, 19, FALSE))</f>
        <v/>
      </c>
      <c r="D194" s="107">
        <f t="array" ref="D194">IF(B194="", "", _xlfn.TEXTJOIN(", ", TRUE, IF('CLIENT DATA'!$A$2:$A$205=B194, 'CLIENT DATA'!$C$2:$F$205, "")))</f>
        <v/>
      </c>
      <c r="E194" s="52" t="n"/>
      <c r="F194" s="52" t="n"/>
      <c r="G194" s="52" t="n"/>
      <c r="H194" s="52" t="n"/>
      <c r="I194" s="52" t="n"/>
      <c r="J194" s="59" t="n"/>
      <c r="K194" s="59" t="n"/>
      <c r="L194" s="59" t="n"/>
      <c r="M194" s="59" t="n"/>
      <c r="N194" s="59" t="n"/>
      <c r="O194" s="297" t="n"/>
      <c r="P194" s="297" t="n"/>
      <c r="Q194" s="297" t="n"/>
      <c r="R194" s="297" t="n"/>
      <c r="S194" s="297" t="n"/>
      <c r="T194" s="297" t="n"/>
      <c r="U194" s="297" t="n"/>
    </row>
    <row r="195" customFormat="1" s="106">
      <c r="A195" s="174" t="n"/>
      <c r="B195" s="298" t="n"/>
      <c r="C195" s="107">
        <f>IF(B195="", "", VLOOKUP(B195, 'CLIENT DATA'!A:S, 19, FALSE))</f>
        <v/>
      </c>
      <c r="D195" s="107">
        <f t="array" ref="D195">IF(B195="", "", _xlfn.TEXTJOIN(", ", TRUE, IF('CLIENT DATA'!$A$2:$A$205=B195, 'CLIENT DATA'!$C$2:$F$205, "")))</f>
        <v/>
      </c>
      <c r="E195" s="52" t="n"/>
      <c r="F195" s="52" t="n"/>
      <c r="G195" s="52" t="n"/>
      <c r="H195" s="52" t="n"/>
      <c r="I195" s="52" t="n"/>
      <c r="J195" s="59" t="n"/>
      <c r="K195" s="59" t="n"/>
      <c r="L195" s="59" t="n"/>
      <c r="M195" s="59" t="n"/>
      <c r="N195" s="59" t="n"/>
      <c r="O195" s="297" t="n"/>
      <c r="P195" s="297" t="n"/>
      <c r="Q195" s="297" t="n"/>
      <c r="R195" s="297" t="n"/>
      <c r="S195" s="297" t="n"/>
      <c r="T195" s="297" t="n"/>
      <c r="U195" s="297" t="n"/>
    </row>
    <row r="196" customFormat="1" s="106">
      <c r="A196" s="174" t="n"/>
      <c r="B196" s="52" t="n"/>
      <c r="C196" s="107">
        <f>IF(B196="", "", VLOOKUP(B196, 'CLIENT DATA'!A:S, 19, FALSE))</f>
        <v/>
      </c>
      <c r="D196" s="107">
        <f t="array" ref="D196">IF(B196="", "", _xlfn.TEXTJOIN(", ", TRUE, IF('CLIENT DATA'!$A$2:$A$205=B196, 'CLIENT DATA'!$C$2:$F$205, "")))</f>
        <v/>
      </c>
      <c r="E196" s="52" t="n"/>
      <c r="F196" s="52" t="n"/>
      <c r="G196" s="52" t="n"/>
      <c r="H196" s="52" t="n"/>
      <c r="I196" s="52" t="n"/>
      <c r="J196" s="59" t="n"/>
      <c r="K196" s="59" t="n"/>
      <c r="L196" s="59" t="n"/>
      <c r="M196" s="59" t="n"/>
      <c r="N196" s="59" t="n"/>
      <c r="O196" s="297" t="n"/>
      <c r="P196" s="297" t="n"/>
      <c r="Q196" s="297" t="n"/>
      <c r="R196" s="297" t="n"/>
      <c r="S196" s="297" t="n"/>
      <c r="T196" s="297" t="n"/>
      <c r="U196" s="297" t="n"/>
    </row>
    <row r="197" customFormat="1" s="106">
      <c r="A197" s="174" t="n"/>
      <c r="B197" s="52" t="n"/>
      <c r="C197" s="107">
        <f>IF(B197="", "", VLOOKUP(B197, 'CLIENT DATA'!A:S, 19, FALSE))</f>
        <v/>
      </c>
      <c r="D197" s="107">
        <f t="array" ref="D197">IF(B197="", "", _xlfn.TEXTJOIN(", ", TRUE, IF('CLIENT DATA'!$A$2:$A$205=B197, 'CLIENT DATA'!$C$2:$F$205, "")))</f>
        <v/>
      </c>
      <c r="E197" s="52" t="n"/>
      <c r="F197" s="52" t="n"/>
      <c r="G197" s="52" t="n"/>
      <c r="H197" s="52" t="n"/>
      <c r="I197" s="52" t="n"/>
      <c r="J197" s="59" t="n"/>
      <c r="K197" s="59" t="n"/>
      <c r="L197" s="59" t="n"/>
      <c r="M197" s="59" t="n"/>
      <c r="N197" s="59" t="n"/>
      <c r="O197" s="297" t="n"/>
      <c r="P197" s="297" t="n"/>
      <c r="Q197" s="297" t="n"/>
      <c r="R197" s="297" t="n"/>
      <c r="S197" s="297" t="n"/>
      <c r="T197" s="297" t="n"/>
      <c r="U197" s="297" t="n"/>
    </row>
    <row r="198" customFormat="1" s="106">
      <c r="A198" s="174" t="n"/>
      <c r="B198" s="52" t="n"/>
      <c r="C198" s="107">
        <f>IF(B198="", "", VLOOKUP(B198, 'CLIENT DATA'!A:S, 19, FALSE))</f>
        <v/>
      </c>
      <c r="D198" s="107">
        <f t="array" ref="D198">IF(B198="", "", _xlfn.TEXTJOIN(", ", TRUE, IF('CLIENT DATA'!$A$2:$A$205=B198, 'CLIENT DATA'!$C$2:$F$205, "")))</f>
        <v/>
      </c>
      <c r="E198" s="52" t="n"/>
      <c r="F198" s="52" t="n"/>
      <c r="G198" s="52" t="n"/>
      <c r="H198" s="52" t="n"/>
      <c r="I198" s="52" t="n"/>
      <c r="J198" s="59" t="n"/>
      <c r="K198" s="59" t="n"/>
      <c r="L198" s="59" t="n"/>
      <c r="M198" s="59" t="n"/>
      <c r="N198" s="59" t="n"/>
      <c r="O198" s="297" t="n"/>
      <c r="P198" s="297" t="n"/>
      <c r="Q198" s="297" t="n"/>
      <c r="R198" s="297" t="n"/>
      <c r="S198" s="297" t="n"/>
      <c r="T198" s="297" t="n"/>
      <c r="U198" s="297" t="n"/>
    </row>
    <row r="199" customFormat="1" s="106">
      <c r="A199" s="174" t="n"/>
      <c r="B199" s="52" t="n"/>
      <c r="C199" s="107">
        <f>IF(B199="", "", VLOOKUP(B199, 'CLIENT DATA'!A:S, 19, FALSE))</f>
        <v/>
      </c>
      <c r="D199" s="107">
        <f t="array" ref="D199">IF(B199="", "", _xlfn.TEXTJOIN(", ", TRUE, IF('CLIENT DATA'!$A$2:$A$205=B199, 'CLIENT DATA'!$C$2:$F$205, "")))</f>
        <v/>
      </c>
      <c r="E199" s="52" t="n"/>
      <c r="F199" s="52" t="n"/>
      <c r="G199" s="52" t="n"/>
      <c r="H199" s="52" t="n"/>
      <c r="I199" s="52" t="n"/>
      <c r="J199" s="59" t="n"/>
      <c r="K199" s="59" t="n"/>
      <c r="L199" s="59" t="n"/>
      <c r="M199" s="59" t="n"/>
      <c r="N199" s="59" t="n"/>
      <c r="O199" s="297" t="n"/>
      <c r="P199" s="297" t="n"/>
      <c r="Q199" s="297" t="n"/>
      <c r="R199" s="297" t="n"/>
      <c r="S199" s="297" t="n"/>
      <c r="T199" s="297" t="n"/>
      <c r="U199" s="297" t="n"/>
    </row>
    <row r="200" customFormat="1" s="106">
      <c r="A200" s="174" t="n"/>
      <c r="B200" s="52" t="n"/>
      <c r="C200" s="107">
        <f>IF(B200="", "", VLOOKUP(B200, 'CLIENT DATA'!A:S, 19, FALSE))</f>
        <v/>
      </c>
      <c r="D200" s="107">
        <f t="array" ref="D200">IF(B200="", "", _xlfn.TEXTJOIN(", ", TRUE, IF('CLIENT DATA'!$A$2:$A$205=B200, 'CLIENT DATA'!$C$2:$F$205, "")))</f>
        <v/>
      </c>
      <c r="E200" s="52" t="n"/>
      <c r="F200" s="52" t="n"/>
      <c r="G200" s="52" t="n"/>
      <c r="H200" s="52" t="n"/>
      <c r="I200" s="52" t="n"/>
      <c r="J200" s="59" t="n"/>
      <c r="K200" s="59" t="n"/>
      <c r="L200" s="59" t="n"/>
      <c r="M200" s="59" t="n"/>
      <c r="N200" s="59" t="n"/>
      <c r="O200" s="297" t="n"/>
      <c r="P200" s="297" t="n"/>
      <c r="Q200" s="297" t="n"/>
      <c r="R200" s="297" t="n"/>
      <c r="S200" s="297" t="n"/>
      <c r="T200" s="297" t="n"/>
      <c r="U200" s="297" t="n"/>
    </row>
    <row r="201" customFormat="1" s="106">
      <c r="A201" s="174" t="n"/>
      <c r="B201" s="52" t="n"/>
      <c r="C201" s="107">
        <f>IF(B201="", "", VLOOKUP(B201, 'CLIENT DATA'!A:S, 19, FALSE))</f>
        <v/>
      </c>
      <c r="D201" s="107">
        <f t="array" ref="D201">IF(B201="", "", _xlfn.TEXTJOIN(", ", TRUE, IF('CLIENT DATA'!$A$2:$A$205=B201, 'CLIENT DATA'!$C$2:$F$205, "")))</f>
        <v/>
      </c>
      <c r="E201" s="52" t="n"/>
      <c r="F201" s="52" t="n"/>
      <c r="G201" s="52" t="n"/>
      <c r="H201" s="52" t="n"/>
      <c r="I201" s="52" t="n"/>
      <c r="J201" s="59" t="n"/>
      <c r="K201" s="59" t="n"/>
      <c r="L201" s="59" t="n"/>
      <c r="M201" s="59" t="n"/>
      <c r="N201" s="59" t="n"/>
      <c r="O201" s="297" t="n"/>
      <c r="P201" s="297" t="n"/>
      <c r="Q201" s="297" t="n"/>
      <c r="R201" s="297" t="n"/>
      <c r="S201" s="297" t="n"/>
      <c r="T201" s="297" t="n"/>
      <c r="U201" s="297" t="n"/>
    </row>
    <row r="202" customFormat="1" s="106">
      <c r="A202" s="174" t="n"/>
      <c r="B202" s="52" t="n"/>
      <c r="C202" s="107">
        <f>IF(B202="", "", VLOOKUP(B202, 'CLIENT DATA'!A:S, 19, FALSE))</f>
        <v/>
      </c>
      <c r="D202" s="107">
        <f t="array" ref="D202">IF(B202="", "", _xlfn.TEXTJOIN(", ", TRUE, IF('CLIENT DATA'!$A$2:$A$205=B202, 'CLIENT DATA'!$C$2:$F$205, "")))</f>
        <v/>
      </c>
      <c r="E202" s="52" t="n"/>
      <c r="F202" s="52" t="n"/>
      <c r="G202" s="52" t="n"/>
      <c r="H202" s="52" t="n"/>
      <c r="I202" s="52" t="n"/>
      <c r="J202" s="59" t="n"/>
      <c r="K202" s="59" t="n"/>
      <c r="L202" s="59" t="n"/>
      <c r="M202" s="59" t="n"/>
      <c r="N202" s="59" t="n"/>
      <c r="O202" s="297" t="n"/>
      <c r="P202" s="297" t="n"/>
      <c r="Q202" s="297" t="n"/>
      <c r="R202" s="297" t="n"/>
      <c r="S202" s="297" t="n"/>
      <c r="T202" s="297" t="n"/>
      <c r="U202" s="297" t="n"/>
    </row>
    <row r="203" customFormat="1" s="106">
      <c r="A203" s="174" t="n"/>
      <c r="B203" s="52" t="n"/>
      <c r="C203" s="107">
        <f>IF(B203="", "", VLOOKUP(B203, 'CLIENT DATA'!A:S, 19, FALSE))</f>
        <v/>
      </c>
      <c r="D203" s="107">
        <f t="array" ref="D203">IF(B203="", "", _xlfn.TEXTJOIN(", ", TRUE, IF('CLIENT DATA'!$A$2:$A$205=B203, 'CLIENT DATA'!$C$2:$F$205, "")))</f>
        <v/>
      </c>
      <c r="E203" s="52" t="n"/>
      <c r="F203" s="52" t="n"/>
      <c r="G203" s="52" t="n"/>
      <c r="H203" s="52" t="n"/>
      <c r="I203" s="52" t="n"/>
      <c r="J203" s="59" t="n"/>
      <c r="K203" s="59" t="n"/>
      <c r="L203" s="59" t="n"/>
      <c r="M203" s="59" t="n"/>
      <c r="N203" s="59" t="n"/>
      <c r="O203" s="297" t="n"/>
      <c r="P203" s="297" t="n"/>
      <c r="Q203" s="297" t="n"/>
      <c r="R203" s="297" t="n"/>
      <c r="S203" s="297" t="n"/>
      <c r="T203" s="297" t="n"/>
      <c r="U203" s="297" t="n"/>
    </row>
    <row r="204" customFormat="1" s="106">
      <c r="A204" s="174" t="n"/>
      <c r="B204" s="298" t="n"/>
      <c r="C204" s="107">
        <f>IF(B204="", "", VLOOKUP(B204, 'CLIENT DATA'!A:S, 19, FALSE))</f>
        <v/>
      </c>
      <c r="D204" s="107">
        <f t="array" ref="D204">IF(B204="", "", _xlfn.TEXTJOIN(", ", TRUE, IF('CLIENT DATA'!$A$2:$A$205=B204, 'CLIENT DATA'!$C$2:$F$205, "")))</f>
        <v/>
      </c>
      <c r="E204" s="52" t="n"/>
      <c r="F204" s="52" t="n"/>
      <c r="G204" s="52" t="n"/>
      <c r="H204" s="52" t="n"/>
      <c r="I204" s="52" t="n"/>
      <c r="J204" s="59" t="n"/>
      <c r="K204" s="59" t="n"/>
      <c r="L204" s="59" t="n"/>
      <c r="M204" s="59" t="n"/>
      <c r="N204" s="59" t="n"/>
      <c r="O204" s="297" t="n"/>
      <c r="P204" s="297" t="n"/>
      <c r="Q204" s="297" t="n"/>
      <c r="R204" s="297" t="n"/>
      <c r="S204" s="297" t="n"/>
      <c r="T204" s="297" t="n"/>
      <c r="U204" s="297" t="n"/>
    </row>
    <row r="205" customFormat="1" s="106">
      <c r="A205" s="174" t="n"/>
      <c r="B205" s="298" t="n"/>
      <c r="C205" s="107">
        <f>IF(B205="", "", VLOOKUP(B205, 'CLIENT DATA'!A:S, 19, FALSE))</f>
        <v/>
      </c>
      <c r="D205" s="107">
        <f t="array" ref="D205">IF(B205="", "", _xlfn.TEXTJOIN(", ", TRUE, IF('CLIENT DATA'!$A$2:$A$205=B205, 'CLIENT DATA'!$C$2:$F$205, "")))</f>
        <v/>
      </c>
      <c r="E205" s="52" t="n"/>
      <c r="F205" s="52" t="n"/>
      <c r="G205" s="52" t="n"/>
      <c r="H205" s="52" t="n"/>
      <c r="I205" s="52" t="n"/>
      <c r="J205" s="59" t="n"/>
      <c r="K205" s="59" t="n"/>
      <c r="L205" s="59" t="n"/>
      <c r="M205" s="59" t="n"/>
      <c r="N205" s="59" t="n"/>
      <c r="O205" s="297" t="n"/>
      <c r="P205" s="297" t="n"/>
      <c r="Q205" s="297" t="n"/>
      <c r="R205" s="297" t="n"/>
      <c r="S205" s="297" t="n"/>
      <c r="T205" s="297" t="n"/>
      <c r="U205" s="297" t="n"/>
    </row>
    <row r="206" customFormat="1" s="106">
      <c r="A206" s="174" t="n"/>
      <c r="B206" s="298" t="n"/>
      <c r="C206" s="107">
        <f>IF(B206="", "", VLOOKUP(B206, 'CLIENT DATA'!A:S, 19, FALSE))</f>
        <v/>
      </c>
      <c r="D206" s="107">
        <f t="array" ref="D206">IF(B206="", "", _xlfn.TEXTJOIN(", ", TRUE, IF('CLIENT DATA'!$A$2:$A$205=B206, 'CLIENT DATA'!$C$2:$F$205, "")))</f>
        <v/>
      </c>
      <c r="E206" s="52" t="n"/>
      <c r="F206" s="52" t="n"/>
      <c r="G206" s="52" t="n"/>
      <c r="H206" s="52" t="n"/>
      <c r="I206" s="52" t="n"/>
      <c r="J206" s="59" t="n"/>
      <c r="K206" s="59" t="n"/>
      <c r="L206" s="59" t="n"/>
      <c r="M206" s="59" t="n"/>
      <c r="N206" s="59" t="n"/>
      <c r="O206" s="297" t="n"/>
      <c r="P206" s="297" t="n"/>
      <c r="Q206" s="297" t="n"/>
      <c r="R206" s="297" t="n"/>
      <c r="S206" s="297" t="n"/>
      <c r="T206" s="297" t="n"/>
      <c r="U206" s="297" t="n"/>
    </row>
    <row r="207" customFormat="1" s="106">
      <c r="A207" s="174" t="n"/>
      <c r="B207" s="298" t="n"/>
      <c r="C207" s="107">
        <f>IF(B207="", "", VLOOKUP(B207, 'CLIENT DATA'!A:S, 19, FALSE))</f>
        <v/>
      </c>
      <c r="D207" s="107">
        <f t="array" ref="D207">IF(B207="", "", _xlfn.TEXTJOIN(", ", TRUE, IF('CLIENT DATA'!$A$2:$A$205=B207, 'CLIENT DATA'!$C$2:$F$205, "")))</f>
        <v/>
      </c>
      <c r="E207" s="52" t="n"/>
      <c r="F207" s="52" t="n"/>
      <c r="G207" s="52" t="n"/>
      <c r="H207" s="52" t="n"/>
      <c r="I207" s="52" t="n"/>
      <c r="J207" s="59" t="n"/>
      <c r="K207" s="59" t="n"/>
      <c r="L207" s="59" t="n"/>
      <c r="M207" s="59" t="n"/>
      <c r="N207" s="59" t="n"/>
      <c r="O207" s="297" t="n"/>
      <c r="P207" s="297" t="n"/>
      <c r="Q207" s="297" t="n"/>
      <c r="R207" s="297" t="n"/>
      <c r="S207" s="297" t="n"/>
      <c r="T207" s="297" t="n"/>
      <c r="U207" s="297" t="n"/>
    </row>
    <row r="208" customFormat="1" s="106">
      <c r="A208" s="174" t="n"/>
      <c r="B208" s="298" t="n"/>
      <c r="C208" s="107">
        <f>IF(B208="", "", VLOOKUP(B208, 'CLIENT DATA'!A:S, 19, FALSE))</f>
        <v/>
      </c>
      <c r="D208" s="107">
        <f t="array" ref="D208">IF(B208="", "", _xlfn.TEXTJOIN(", ", TRUE, IF('CLIENT DATA'!$A$2:$A$205=B208, 'CLIENT DATA'!$C$2:$F$205, "")))</f>
        <v/>
      </c>
      <c r="E208" s="52" t="n"/>
      <c r="F208" s="52" t="n"/>
      <c r="G208" s="52" t="n"/>
      <c r="H208" s="52" t="n"/>
      <c r="I208" s="52" t="n"/>
      <c r="J208" s="59" t="n"/>
      <c r="K208" s="59" t="n"/>
      <c r="L208" s="59" t="n"/>
      <c r="M208" s="59" t="n"/>
      <c r="N208" s="59" t="n"/>
      <c r="O208" s="297" t="n"/>
      <c r="P208" s="297" t="n"/>
      <c r="Q208" s="297" t="n"/>
      <c r="R208" s="297" t="n"/>
      <c r="S208" s="297" t="n"/>
      <c r="T208" s="297" t="n"/>
      <c r="U208" s="297" t="n"/>
    </row>
    <row r="209" customFormat="1" s="106">
      <c r="A209" s="174" t="n"/>
      <c r="B209" s="298" t="n"/>
      <c r="C209" s="107">
        <f>IF(B209="", "", VLOOKUP(B209, 'CLIENT DATA'!A:S, 19, FALSE))</f>
        <v/>
      </c>
      <c r="D209" s="107">
        <f t="array" ref="D209">IF(B209="", "", _xlfn.TEXTJOIN(", ", TRUE, IF('CLIENT DATA'!$A$2:$A$205=B209, 'CLIENT DATA'!$C$2:$F$205, "")))</f>
        <v/>
      </c>
      <c r="E209" s="52" t="n"/>
      <c r="F209" s="52" t="n"/>
      <c r="G209" s="52" t="n"/>
      <c r="H209" s="52" t="n"/>
      <c r="I209" s="52" t="n"/>
      <c r="J209" s="59" t="n"/>
      <c r="K209" s="59" t="n"/>
      <c r="L209" s="59" t="n"/>
      <c r="M209" s="59" t="n"/>
      <c r="N209" s="59" t="n"/>
      <c r="O209" s="297" t="n"/>
      <c r="P209" s="297" t="n"/>
      <c r="Q209" s="297" t="n"/>
      <c r="R209" s="297" t="n"/>
      <c r="S209" s="297" t="n"/>
      <c r="T209" s="297" t="n"/>
      <c r="U209" s="297" t="n"/>
    </row>
    <row r="210" customFormat="1" s="106">
      <c r="A210" s="174" t="n"/>
      <c r="B210" s="298" t="n"/>
      <c r="C210" s="107">
        <f>IF(B210="", "", VLOOKUP(B210, 'CLIENT DATA'!A:S, 19, FALSE))</f>
        <v/>
      </c>
      <c r="D210" s="107">
        <f t="array" ref="D210">IF(B210="", "", _xlfn.TEXTJOIN(", ", TRUE, IF('CLIENT DATA'!$A$2:$A$205=B210, 'CLIENT DATA'!$C$2:$F$205, "")))</f>
        <v/>
      </c>
      <c r="E210" s="52" t="n"/>
      <c r="F210" s="52" t="n"/>
      <c r="G210" s="52" t="n"/>
      <c r="H210" s="52" t="n"/>
      <c r="I210" s="52" t="n"/>
      <c r="J210" s="59" t="n"/>
      <c r="K210" s="59" t="n"/>
      <c r="L210" s="59" t="n"/>
      <c r="M210" s="59" t="n"/>
      <c r="N210" s="59" t="n"/>
      <c r="O210" s="297" t="n"/>
      <c r="P210" s="297" t="n"/>
      <c r="Q210" s="297" t="n"/>
      <c r="R210" s="297" t="n"/>
      <c r="S210" s="297" t="n"/>
      <c r="T210" s="297" t="n"/>
      <c r="U210" s="297" t="n"/>
    </row>
    <row r="211" customFormat="1" s="106">
      <c r="A211" s="174" t="n"/>
      <c r="B211" s="298" t="n"/>
      <c r="C211" s="107">
        <f>IF(B211="", "", VLOOKUP(B211, 'CLIENT DATA'!A:S, 19, FALSE))</f>
        <v/>
      </c>
      <c r="D211" s="107">
        <f t="array" ref="D211">IF(B211="", "", _xlfn.TEXTJOIN(", ", TRUE, IF('CLIENT DATA'!$A$2:$A$205=B211, 'CLIENT DATA'!$C$2:$F$205, "")))</f>
        <v/>
      </c>
      <c r="E211" s="52" t="n"/>
      <c r="F211" s="52" t="n"/>
      <c r="G211" s="52" t="n"/>
      <c r="H211" s="52" t="n"/>
      <c r="I211" s="52" t="n"/>
      <c r="J211" s="59" t="n"/>
      <c r="K211" s="59" t="n"/>
      <c r="L211" s="59" t="n"/>
      <c r="M211" s="59" t="n"/>
      <c r="N211" s="59" t="n"/>
      <c r="O211" s="297" t="n"/>
      <c r="P211" s="297" t="n"/>
      <c r="Q211" s="297" t="n"/>
      <c r="R211" s="297" t="n"/>
      <c r="S211" s="297" t="n"/>
      <c r="T211" s="297" t="n"/>
      <c r="U211" s="297" t="n"/>
    </row>
    <row r="212" customFormat="1" s="106">
      <c r="A212" s="174" t="n"/>
      <c r="B212" s="298" t="n"/>
      <c r="C212" s="107">
        <f>IF(B212="", "", VLOOKUP(B212, 'CLIENT DATA'!A:S, 19, FALSE))</f>
        <v/>
      </c>
      <c r="D212" s="107">
        <f t="array" ref="D212">IF(B212="", "", _xlfn.TEXTJOIN(", ", TRUE, IF('CLIENT DATA'!$A$2:$A$205=B212, 'CLIENT DATA'!$C$2:$F$205, "")))</f>
        <v/>
      </c>
      <c r="E212" s="52" t="n"/>
      <c r="F212" s="52" t="n"/>
      <c r="G212" s="52" t="n"/>
      <c r="H212" s="52" t="n"/>
      <c r="I212" s="52" t="n"/>
      <c r="J212" s="59" t="n"/>
      <c r="K212" s="59" t="n"/>
      <c r="L212" s="59" t="n"/>
      <c r="M212" s="59" t="n"/>
      <c r="N212" s="59" t="n"/>
      <c r="O212" s="297" t="n"/>
      <c r="P212" s="297" t="n"/>
      <c r="Q212" s="297" t="n"/>
      <c r="R212" s="297" t="n"/>
      <c r="S212" s="297" t="n"/>
      <c r="T212" s="297" t="n"/>
      <c r="U212" s="297" t="n"/>
    </row>
    <row r="213" customFormat="1" s="106">
      <c r="A213" s="174" t="n"/>
      <c r="B213" s="298" t="n"/>
      <c r="C213" s="107">
        <f>IF(B213="", "", VLOOKUP(B213, 'CLIENT DATA'!A:S, 19, FALSE))</f>
        <v/>
      </c>
      <c r="D213" s="107">
        <f t="array" ref="D213">IF(B213="", "", _xlfn.TEXTJOIN(", ", TRUE, IF('CLIENT DATA'!$A$2:$A$205=B213, 'CLIENT DATA'!$C$2:$F$205, "")))</f>
        <v/>
      </c>
      <c r="E213" s="52" t="n"/>
      <c r="F213" s="52" t="n"/>
      <c r="G213" s="52" t="n"/>
      <c r="H213" s="52" t="n"/>
      <c r="I213" s="52" t="n"/>
      <c r="J213" s="59" t="n"/>
      <c r="K213" s="59" t="n"/>
      <c r="L213" s="59" t="n"/>
      <c r="M213" s="59" t="n"/>
      <c r="N213" s="59" t="n"/>
      <c r="O213" s="297" t="n"/>
      <c r="P213" s="297" t="n"/>
      <c r="Q213" s="297" t="n"/>
      <c r="R213" s="297" t="n"/>
      <c r="S213" s="297" t="n"/>
      <c r="T213" s="297" t="n"/>
      <c r="U213" s="297" t="n"/>
    </row>
    <row r="214" customFormat="1" s="106">
      <c r="A214" s="174" t="n"/>
      <c r="B214" s="298" t="n"/>
      <c r="C214" s="107">
        <f>IF(B214="", "", VLOOKUP(B214, 'CLIENT DATA'!A:S, 19, FALSE))</f>
        <v/>
      </c>
      <c r="D214" s="107">
        <f t="array" ref="D214">IF(B214="", "", _xlfn.TEXTJOIN(", ", TRUE, IF('CLIENT DATA'!$A$2:$A$205=B214, 'CLIENT DATA'!$C$2:$F$205, "")))</f>
        <v/>
      </c>
      <c r="E214" s="52" t="n"/>
      <c r="F214" s="52" t="n"/>
      <c r="G214" s="52" t="n"/>
      <c r="H214" s="52" t="n"/>
      <c r="I214" s="52" t="n"/>
      <c r="J214" s="59" t="n"/>
      <c r="K214" s="59" t="n"/>
      <c r="L214" s="59" t="n"/>
      <c r="M214" s="59" t="n"/>
      <c r="N214" s="59" t="n"/>
      <c r="O214" s="297" t="n"/>
      <c r="P214" s="297" t="n"/>
      <c r="Q214" s="297" t="n"/>
      <c r="R214" s="297" t="n"/>
      <c r="S214" s="297" t="n"/>
      <c r="T214" s="297" t="n"/>
      <c r="U214" s="297" t="n"/>
    </row>
    <row r="215" customFormat="1" s="106">
      <c r="A215" s="174" t="n"/>
      <c r="B215" s="298" t="n"/>
      <c r="C215" s="107">
        <f>IF(B215="", "", VLOOKUP(B215, 'CLIENT DATA'!A:S, 19, FALSE))</f>
        <v/>
      </c>
      <c r="D215" s="107">
        <f t="array" ref="D215">IF(B215="", "", _xlfn.TEXTJOIN(", ", TRUE, IF('CLIENT DATA'!$A$2:$A$205=B215, 'CLIENT DATA'!$C$2:$F$205, "")))</f>
        <v/>
      </c>
      <c r="E215" s="52" t="n"/>
      <c r="F215" s="52" t="n"/>
      <c r="G215" s="52" t="n"/>
      <c r="H215" s="52" t="n"/>
      <c r="I215" s="52" t="n"/>
      <c r="J215" s="59" t="n"/>
      <c r="K215" s="59" t="n"/>
      <c r="L215" s="59" t="n"/>
      <c r="M215" s="59" t="n"/>
      <c r="N215" s="59" t="n"/>
      <c r="O215" s="297" t="n"/>
      <c r="P215" s="297" t="n"/>
      <c r="Q215" s="297" t="n"/>
      <c r="R215" s="297" t="n"/>
      <c r="S215" s="297" t="n"/>
      <c r="T215" s="297" t="n"/>
      <c r="U215" s="297" t="n"/>
    </row>
    <row r="216" customFormat="1" s="106">
      <c r="A216" s="174" t="n"/>
      <c r="B216" s="298" t="n"/>
      <c r="C216" s="107">
        <f>IF(B216="", "", VLOOKUP(B216, 'CLIENT DATA'!A:S, 19, FALSE))</f>
        <v/>
      </c>
      <c r="D216" s="107">
        <f t="array" ref="D216">IF(B216="", "", _xlfn.TEXTJOIN(", ", TRUE, IF('CLIENT DATA'!$A$2:$A$205=B216, 'CLIENT DATA'!$C$2:$F$205, "")))</f>
        <v/>
      </c>
      <c r="E216" s="52" t="n"/>
      <c r="F216" s="52" t="n"/>
      <c r="G216" s="52" t="n"/>
      <c r="H216" s="52" t="n"/>
      <c r="I216" s="52" t="n"/>
      <c r="J216" s="59" t="n"/>
      <c r="K216" s="59" t="n"/>
      <c r="L216" s="59" t="n"/>
      <c r="M216" s="59" t="n"/>
      <c r="N216" s="59" t="n"/>
      <c r="O216" s="297" t="n"/>
      <c r="P216" s="297" t="n"/>
      <c r="Q216" s="297" t="n"/>
      <c r="R216" s="297" t="n"/>
      <c r="S216" s="297" t="n"/>
      <c r="T216" s="297" t="n"/>
      <c r="U216" s="297" t="n"/>
    </row>
    <row r="217" customFormat="1" s="106">
      <c r="A217" s="174" t="n"/>
      <c r="B217" s="52" t="n"/>
      <c r="C217" s="107">
        <f>IF(B217="", "", VLOOKUP(B217, 'CLIENT DATA'!A:S, 19, FALSE))</f>
        <v/>
      </c>
      <c r="D217" s="107">
        <f t="array" ref="D217">IF(B217="", "", _xlfn.TEXTJOIN(", ", TRUE, IF('CLIENT DATA'!$A$2:$A$205=B217, 'CLIENT DATA'!$C$2:$F$205, "")))</f>
        <v/>
      </c>
      <c r="E217" s="52" t="n"/>
      <c r="F217" s="52" t="n"/>
      <c r="G217" s="52" t="n"/>
      <c r="H217" s="52" t="n"/>
      <c r="I217" s="52" t="n"/>
      <c r="J217" s="59" t="n"/>
      <c r="K217" s="59" t="n"/>
      <c r="L217" s="59" t="n"/>
      <c r="M217" s="59" t="n"/>
      <c r="N217" s="59" t="n"/>
      <c r="O217" s="297" t="n"/>
      <c r="P217" s="297" t="n"/>
      <c r="Q217" s="297" t="n"/>
      <c r="R217" s="297" t="n"/>
      <c r="S217" s="297" t="n"/>
      <c r="T217" s="297" t="n"/>
      <c r="U217" s="297" t="n"/>
    </row>
    <row r="218" customFormat="1" s="106">
      <c r="A218" s="174" t="n"/>
      <c r="B218" s="52" t="n"/>
      <c r="C218" s="107">
        <f>IF(B218="", "", VLOOKUP(B218, 'CLIENT DATA'!A:S, 19, FALSE))</f>
        <v/>
      </c>
      <c r="D218" s="107">
        <f t="array" ref="D218">IF(B218="", "", _xlfn.TEXTJOIN(", ", TRUE, IF('CLIENT DATA'!$A$2:$A$205=B218, 'CLIENT DATA'!$C$2:$F$205, "")))</f>
        <v/>
      </c>
      <c r="E218" s="52" t="n"/>
      <c r="F218" s="52" t="n"/>
      <c r="G218" s="52" t="n"/>
      <c r="H218" s="52" t="n"/>
      <c r="I218" s="52" t="n"/>
      <c r="J218" s="59" t="n"/>
      <c r="K218" s="59" t="n"/>
      <c r="L218" s="59" t="n"/>
      <c r="M218" s="59" t="n"/>
      <c r="N218" s="59" t="n"/>
      <c r="O218" s="297" t="n"/>
      <c r="P218" s="297" t="n"/>
      <c r="Q218" s="297" t="n"/>
      <c r="R218" s="297" t="n"/>
      <c r="S218" s="297" t="n"/>
      <c r="T218" s="297" t="n"/>
      <c r="U218" s="297" t="n"/>
    </row>
    <row r="219" customFormat="1" s="106">
      <c r="A219" s="174" t="n"/>
      <c r="B219" s="52" t="n"/>
      <c r="C219" s="107">
        <f>IF(B219="", "", VLOOKUP(B219, 'CLIENT DATA'!A:S, 19, FALSE))</f>
        <v/>
      </c>
      <c r="D219" s="107">
        <f t="array" ref="D219">IF(B219="", "", _xlfn.TEXTJOIN(", ", TRUE, IF('CLIENT DATA'!$A$2:$A$205=B219, 'CLIENT DATA'!$C$2:$F$205, "")))</f>
        <v/>
      </c>
      <c r="E219" s="52" t="n"/>
      <c r="F219" s="52" t="n"/>
      <c r="G219" s="52" t="n"/>
      <c r="H219" s="52" t="n"/>
      <c r="I219" s="52" t="n"/>
      <c r="J219" s="59" t="n"/>
      <c r="K219" s="59" t="n"/>
      <c r="L219" s="59" t="n"/>
      <c r="M219" s="59" t="n"/>
      <c r="N219" s="59" t="n"/>
      <c r="O219" s="297" t="n"/>
      <c r="P219" s="297" t="n"/>
      <c r="Q219" s="297" t="n"/>
      <c r="R219" s="297" t="n"/>
      <c r="S219" s="297" t="n"/>
      <c r="T219" s="297" t="n"/>
      <c r="U219" s="297" t="n"/>
    </row>
    <row r="220" customFormat="1" s="106">
      <c r="A220" s="174" t="n"/>
      <c r="B220" s="52" t="n"/>
      <c r="C220" s="107">
        <f>IF(B220="", "", VLOOKUP(B220, 'CLIENT DATA'!A:S, 19, FALSE))</f>
        <v/>
      </c>
      <c r="D220" s="107">
        <f t="array" ref="D220">IF(B220="", "", _xlfn.TEXTJOIN(", ", TRUE, IF('CLIENT DATA'!$A$2:$A$205=B220, 'CLIENT DATA'!$C$2:$F$205, "")))</f>
        <v/>
      </c>
      <c r="E220" s="52" t="n"/>
      <c r="F220" s="52" t="n"/>
      <c r="G220" s="52" t="n"/>
      <c r="H220" s="52" t="n"/>
      <c r="I220" s="52" t="n"/>
      <c r="J220" s="59" t="n"/>
      <c r="K220" s="59" t="n"/>
      <c r="L220" s="59" t="n"/>
      <c r="M220" s="59" t="n"/>
      <c r="N220" s="59" t="n"/>
      <c r="O220" s="297" t="n"/>
      <c r="P220" s="297" t="n"/>
      <c r="Q220" s="297" t="n"/>
      <c r="R220" s="297" t="n"/>
      <c r="S220" s="297" t="n"/>
      <c r="T220" s="297" t="n"/>
      <c r="U220" s="297" t="n"/>
    </row>
    <row r="221" customFormat="1" s="106">
      <c r="A221" s="174" t="n"/>
      <c r="B221" s="52" t="n"/>
      <c r="C221" s="107">
        <f>IF(B221="", "", VLOOKUP(B221, 'CLIENT DATA'!A:S, 19, FALSE))</f>
        <v/>
      </c>
      <c r="D221" s="107">
        <f t="array" ref="D221">IF(B221="", "", _xlfn.TEXTJOIN(", ", TRUE, IF('CLIENT DATA'!$A$2:$A$205=B221, 'CLIENT DATA'!$C$2:$F$205, "")))</f>
        <v/>
      </c>
      <c r="E221" s="52" t="n"/>
      <c r="F221" s="52" t="n"/>
      <c r="G221" s="52" t="n"/>
      <c r="H221" s="52" t="n"/>
      <c r="I221" s="52" t="n"/>
      <c r="J221" s="59" t="n"/>
      <c r="K221" s="59" t="n"/>
      <c r="L221" s="59" t="n"/>
      <c r="M221" s="59" t="n"/>
      <c r="N221" s="59" t="n"/>
      <c r="O221" s="297" t="n"/>
      <c r="P221" s="297" t="n"/>
      <c r="Q221" s="297" t="n"/>
      <c r="R221" s="297" t="n"/>
      <c r="S221" s="297" t="n"/>
      <c r="T221" s="297" t="n"/>
      <c r="U221" s="297" t="n"/>
    </row>
    <row r="222" customFormat="1" s="106">
      <c r="A222" s="174" t="n"/>
      <c r="B222" s="52" t="n"/>
      <c r="C222" s="107">
        <f>IF(B222="", "", VLOOKUP(B222, 'CLIENT DATA'!A:S, 19, FALSE))</f>
        <v/>
      </c>
      <c r="D222" s="107">
        <f t="array" ref="D222">IF(B222="", "", _xlfn.TEXTJOIN(", ", TRUE, IF('CLIENT DATA'!$A$2:$A$205=B222, 'CLIENT DATA'!$C$2:$F$205, "")))</f>
        <v/>
      </c>
      <c r="E222" s="52" t="n"/>
      <c r="F222" s="52" t="n"/>
      <c r="G222" s="52" t="n"/>
      <c r="H222" s="52" t="n"/>
      <c r="I222" s="52" t="n"/>
      <c r="J222" s="59" t="n"/>
      <c r="K222" s="59" t="n"/>
      <c r="L222" s="59" t="n"/>
      <c r="M222" s="59" t="n"/>
      <c r="N222" s="59" t="n"/>
      <c r="O222" s="297" t="n"/>
      <c r="P222" s="297" t="n"/>
      <c r="Q222" s="297" t="n"/>
      <c r="R222" s="297" t="n"/>
      <c r="S222" s="297" t="n"/>
      <c r="T222" s="297" t="n"/>
      <c r="U222" s="297" t="n"/>
    </row>
    <row r="223" customFormat="1" s="106">
      <c r="A223" s="174" t="n"/>
      <c r="B223" s="52" t="n"/>
      <c r="C223" s="107">
        <f>IF(B223="", "", VLOOKUP(B223, 'CLIENT DATA'!A:S, 19, FALSE))</f>
        <v/>
      </c>
      <c r="D223" s="107">
        <f t="array" ref="D223">IF(B223="", "", _xlfn.TEXTJOIN(", ", TRUE, IF('CLIENT DATA'!$A$2:$A$205=B223, 'CLIENT DATA'!$C$2:$F$205, "")))</f>
        <v/>
      </c>
      <c r="E223" s="52" t="n"/>
      <c r="F223" s="52" t="n"/>
      <c r="G223" s="52" t="n"/>
      <c r="H223" s="52" t="n"/>
      <c r="I223" s="52" t="n"/>
      <c r="J223" s="59" t="n"/>
      <c r="K223" s="59" t="n"/>
      <c r="L223" s="59" t="n"/>
      <c r="M223" s="59" t="n"/>
      <c r="N223" s="59" t="n"/>
      <c r="O223" s="297" t="n"/>
      <c r="P223" s="297" t="n"/>
      <c r="Q223" s="297" t="n"/>
      <c r="R223" s="297" t="n"/>
      <c r="S223" s="297" t="n"/>
      <c r="T223" s="297" t="n"/>
      <c r="U223" s="297" t="n"/>
    </row>
    <row r="224" customFormat="1" s="106">
      <c r="A224" s="174" t="n"/>
      <c r="B224" s="52" t="n"/>
      <c r="C224" s="107">
        <f>IF(B224="", "", VLOOKUP(B224, 'CLIENT DATA'!A:S, 19, FALSE))</f>
        <v/>
      </c>
      <c r="D224" s="107">
        <f t="array" ref="D224">IF(B224="", "", _xlfn.TEXTJOIN(", ", TRUE, IF('CLIENT DATA'!$A$2:$A$205=B224, 'CLIENT DATA'!$C$2:$F$205, "")))</f>
        <v/>
      </c>
      <c r="E224" s="52" t="n"/>
      <c r="F224" s="52" t="n"/>
      <c r="G224" s="52" t="n"/>
      <c r="H224" s="52" t="n"/>
      <c r="I224" s="52" t="n"/>
      <c r="J224" s="59" t="n"/>
      <c r="K224" s="59" t="n"/>
      <c r="L224" s="59" t="n"/>
      <c r="M224" s="59" t="n"/>
      <c r="N224" s="59" t="n"/>
      <c r="O224" s="297" t="n"/>
      <c r="P224" s="297" t="n"/>
      <c r="Q224" s="297" t="n"/>
      <c r="R224" s="297" t="n"/>
      <c r="S224" s="297" t="n"/>
      <c r="T224" s="297" t="n"/>
      <c r="U224" s="297" t="n"/>
    </row>
    <row r="225" customFormat="1" s="106">
      <c r="A225" s="174" t="n"/>
      <c r="B225" s="298" t="n"/>
      <c r="C225" s="107">
        <f>IF(B225="", "", VLOOKUP(B225, 'CLIENT DATA'!A:S, 19, FALSE))</f>
        <v/>
      </c>
      <c r="D225" s="107">
        <f t="array" ref="D225">IF(B225="", "", _xlfn.TEXTJOIN(", ", TRUE, IF('CLIENT DATA'!$A$2:$A$205=B225, 'CLIENT DATA'!$C$2:$F$205, "")))</f>
        <v/>
      </c>
      <c r="E225" s="52" t="n"/>
      <c r="F225" s="52" t="n"/>
      <c r="G225" s="52" t="n"/>
      <c r="H225" s="52" t="n"/>
      <c r="I225" s="52" t="n"/>
      <c r="J225" s="59" t="n"/>
      <c r="K225" s="59" t="n"/>
      <c r="L225" s="59" t="n"/>
      <c r="M225" s="59" t="n"/>
      <c r="N225" s="59" t="n"/>
      <c r="O225" s="297" t="n"/>
      <c r="P225" s="297" t="n"/>
      <c r="Q225" s="297" t="n"/>
      <c r="R225" s="297" t="n"/>
      <c r="S225" s="297" t="n"/>
      <c r="T225" s="297" t="n"/>
      <c r="U225" s="297" t="n"/>
    </row>
    <row r="226" customFormat="1" s="106">
      <c r="A226" s="174" t="n"/>
      <c r="B226" s="298" t="n"/>
      <c r="C226" s="107">
        <f>IF(B226="", "", VLOOKUP(B226, 'CLIENT DATA'!A:S, 19, FALSE))</f>
        <v/>
      </c>
      <c r="D226" s="107">
        <f t="array" ref="D226">IF(B226="", "", _xlfn.TEXTJOIN(", ", TRUE, IF('CLIENT DATA'!$A$2:$A$205=B226, 'CLIENT DATA'!$C$2:$F$205, "")))</f>
        <v/>
      </c>
      <c r="E226" s="52" t="n"/>
      <c r="F226" s="52" t="n"/>
      <c r="G226" s="52" t="n"/>
      <c r="H226" s="52" t="n"/>
      <c r="I226" s="52" t="n"/>
      <c r="J226" s="59" t="n"/>
      <c r="K226" s="59" t="n"/>
      <c r="L226" s="59" t="n"/>
      <c r="M226" s="59" t="n"/>
      <c r="N226" s="59" t="n"/>
      <c r="O226" s="297" t="n"/>
      <c r="P226" s="297" t="n"/>
      <c r="Q226" s="297" t="n"/>
      <c r="R226" s="297" t="n"/>
      <c r="S226" s="297" t="n"/>
      <c r="T226" s="297" t="n"/>
      <c r="U226" s="297" t="n"/>
    </row>
    <row r="227" customFormat="1" s="106">
      <c r="A227" s="174" t="n"/>
      <c r="B227" s="298" t="n"/>
      <c r="C227" s="107">
        <f>IF(B227="", "", VLOOKUP(B227, 'CLIENT DATA'!A:S, 19, FALSE))</f>
        <v/>
      </c>
      <c r="D227" s="107">
        <f t="array" ref="D227">IF(B227="", "", _xlfn.TEXTJOIN(", ", TRUE, IF('CLIENT DATA'!$A$2:$A$205=B227, 'CLIENT DATA'!$C$2:$F$205, "")))</f>
        <v/>
      </c>
      <c r="E227" s="52" t="n"/>
      <c r="F227" s="52" t="n"/>
      <c r="G227" s="52" t="n"/>
      <c r="H227" s="52" t="n"/>
      <c r="I227" s="52" t="n"/>
      <c r="J227" s="59" t="n"/>
      <c r="K227" s="59" t="n"/>
      <c r="L227" s="59" t="n"/>
      <c r="M227" s="59" t="n"/>
      <c r="N227" s="59" t="n"/>
      <c r="O227" s="297" t="n"/>
      <c r="P227" s="297" t="n"/>
      <c r="Q227" s="297" t="n"/>
      <c r="R227" s="297" t="n"/>
      <c r="S227" s="297" t="n"/>
      <c r="T227" s="297" t="n"/>
      <c r="U227" s="297" t="n"/>
    </row>
    <row r="228" customFormat="1" s="106">
      <c r="A228" s="174" t="n"/>
      <c r="B228" s="298" t="n"/>
      <c r="C228" s="107">
        <f>IF(B228="", "", VLOOKUP(B228, 'CLIENT DATA'!A:S, 19, FALSE))</f>
        <v/>
      </c>
      <c r="D228" s="107">
        <f t="array" ref="D228">IF(B228="", "", _xlfn.TEXTJOIN(", ", TRUE, IF('CLIENT DATA'!$A$2:$A$205=B228, 'CLIENT DATA'!$C$2:$F$205, "")))</f>
        <v/>
      </c>
      <c r="E228" s="52" t="n"/>
      <c r="F228" s="52" t="n"/>
      <c r="G228" s="52" t="n"/>
      <c r="H228" s="52" t="n"/>
      <c r="I228" s="52" t="n"/>
      <c r="J228" s="59" t="n"/>
      <c r="K228" s="59" t="n"/>
      <c r="L228" s="59" t="n"/>
      <c r="M228" s="59" t="n"/>
      <c r="N228" s="59" t="n"/>
      <c r="O228" s="297" t="n"/>
      <c r="P228" s="297" t="n"/>
      <c r="Q228" s="297" t="n"/>
      <c r="R228" s="297" t="n"/>
      <c r="S228" s="297" t="n"/>
      <c r="T228" s="297" t="n"/>
      <c r="U228" s="297" t="n"/>
    </row>
    <row r="229" customFormat="1" s="106">
      <c r="A229" s="174" t="n"/>
      <c r="B229" s="298" t="n"/>
      <c r="C229" s="107">
        <f>IF(B229="", "", VLOOKUP(B229, 'CLIENT DATA'!A:S, 19, FALSE))</f>
        <v/>
      </c>
      <c r="D229" s="107">
        <f t="array" ref="D229">IF(B229="", "", _xlfn.TEXTJOIN(", ", TRUE, IF('CLIENT DATA'!$A$2:$A$205=B229, 'CLIENT DATA'!$C$2:$F$205, "")))</f>
        <v/>
      </c>
      <c r="E229" s="52" t="n"/>
      <c r="F229" s="52" t="n"/>
      <c r="G229" s="52" t="n"/>
      <c r="H229" s="52" t="n"/>
      <c r="I229" s="52" t="n"/>
      <c r="J229" s="59" t="n"/>
      <c r="K229" s="59" t="n"/>
      <c r="L229" s="59" t="n"/>
      <c r="M229" s="59" t="n"/>
      <c r="N229" s="59" t="n"/>
      <c r="O229" s="297" t="n"/>
      <c r="P229" s="297" t="n"/>
      <c r="Q229" s="297" t="n"/>
      <c r="R229" s="297" t="n"/>
      <c r="S229" s="297" t="n"/>
      <c r="T229" s="297" t="n"/>
      <c r="U229" s="297" t="n"/>
    </row>
    <row r="230" customFormat="1" s="106">
      <c r="A230" s="174" t="n"/>
      <c r="B230" s="298" t="n"/>
      <c r="C230" s="107">
        <f>IF(B230="", "", VLOOKUP(B230, 'CLIENT DATA'!A:S, 19, FALSE))</f>
        <v/>
      </c>
      <c r="D230" s="107">
        <f t="array" ref="D230">IF(B230="", "", _xlfn.TEXTJOIN(", ", TRUE, IF('CLIENT DATA'!$A$2:$A$205=B230, 'CLIENT DATA'!$C$2:$F$205, "")))</f>
        <v/>
      </c>
      <c r="E230" s="52" t="n"/>
      <c r="F230" s="52" t="n"/>
      <c r="G230" s="52" t="n"/>
      <c r="H230" s="52" t="n"/>
      <c r="I230" s="52" t="n"/>
      <c r="J230" s="59" t="n"/>
      <c r="K230" s="59" t="n"/>
      <c r="L230" s="59" t="n"/>
      <c r="M230" s="59" t="n"/>
      <c r="N230" s="59" t="n"/>
      <c r="O230" s="297" t="n"/>
      <c r="P230" s="297" t="n"/>
      <c r="Q230" s="297" t="n"/>
      <c r="R230" s="297" t="n"/>
      <c r="S230" s="297" t="n"/>
      <c r="T230" s="297" t="n"/>
      <c r="U230" s="297" t="n"/>
    </row>
    <row r="231" customFormat="1" s="106">
      <c r="A231" s="174" t="n"/>
      <c r="B231" s="298" t="n"/>
      <c r="C231" s="107">
        <f>IF(B231="", "", VLOOKUP(B231, 'CLIENT DATA'!A:S, 19, FALSE))</f>
        <v/>
      </c>
      <c r="D231" s="107">
        <f t="array" ref="D231">IF(B231="", "", _xlfn.TEXTJOIN(", ", TRUE, IF('CLIENT DATA'!$A$2:$A$205=B231, 'CLIENT DATA'!$C$2:$F$205, "")))</f>
        <v/>
      </c>
      <c r="E231" s="52" t="n"/>
      <c r="F231" s="52" t="n"/>
      <c r="G231" s="52" t="n"/>
      <c r="H231" s="52" t="n"/>
      <c r="I231" s="52" t="n"/>
      <c r="J231" s="59" t="n"/>
      <c r="K231" s="59" t="n"/>
      <c r="L231" s="59" t="n"/>
      <c r="M231" s="59" t="n"/>
      <c r="N231" s="59" t="n"/>
      <c r="O231" s="297" t="n"/>
      <c r="P231" s="297" t="n"/>
      <c r="Q231" s="297" t="n"/>
      <c r="R231" s="297" t="n"/>
      <c r="S231" s="297" t="n"/>
      <c r="T231" s="297" t="n"/>
      <c r="U231" s="297" t="n"/>
    </row>
    <row r="232" customFormat="1" s="106">
      <c r="A232" s="174" t="n"/>
      <c r="B232" s="298" t="n"/>
      <c r="C232" s="107">
        <f>IF(B232="", "", VLOOKUP(B232, 'CLIENT DATA'!A:S, 19, FALSE))</f>
        <v/>
      </c>
      <c r="D232" s="107">
        <f t="array" ref="D232">IF(B232="", "", _xlfn.TEXTJOIN(", ", TRUE, IF('CLIENT DATA'!$A$2:$A$205=B232, 'CLIENT DATA'!$C$2:$F$205, "")))</f>
        <v/>
      </c>
      <c r="E232" s="52" t="n"/>
      <c r="F232" s="52" t="n"/>
      <c r="G232" s="52" t="n"/>
      <c r="H232" s="52" t="n"/>
      <c r="I232" s="52" t="n"/>
      <c r="J232" s="59" t="n"/>
      <c r="K232" s="59" t="n"/>
      <c r="L232" s="59" t="n"/>
      <c r="M232" s="59" t="n"/>
      <c r="N232" s="59" t="n"/>
      <c r="O232" s="297" t="n"/>
      <c r="P232" s="297" t="n"/>
      <c r="Q232" s="297" t="n"/>
      <c r="R232" s="297" t="n"/>
      <c r="S232" s="297" t="n"/>
      <c r="T232" s="297" t="n"/>
      <c r="U232" s="297" t="n"/>
    </row>
    <row r="233" customFormat="1" s="106">
      <c r="A233" s="174" t="n"/>
      <c r="B233" s="298" t="n"/>
      <c r="C233" s="107">
        <f>IF(B233="", "", VLOOKUP(B233, 'CLIENT DATA'!A:S, 19, FALSE))</f>
        <v/>
      </c>
      <c r="D233" s="107">
        <f t="array" ref="D233">IF(B233="", "", _xlfn.TEXTJOIN(", ", TRUE, IF('CLIENT DATA'!$A$2:$A$205=B233, 'CLIENT DATA'!$C$2:$F$205, "")))</f>
        <v/>
      </c>
      <c r="E233" s="52" t="n"/>
      <c r="F233" s="52" t="n"/>
      <c r="G233" s="52" t="n"/>
      <c r="H233" s="52" t="n"/>
      <c r="I233" s="52" t="n"/>
      <c r="J233" s="59" t="n"/>
      <c r="K233" s="59" t="n"/>
      <c r="L233" s="59" t="n"/>
      <c r="M233" s="59" t="n"/>
      <c r="N233" s="59" t="n"/>
      <c r="O233" s="297" t="n"/>
      <c r="P233" s="297" t="n"/>
      <c r="Q233" s="297" t="n"/>
      <c r="R233" s="297" t="n"/>
      <c r="S233" s="297" t="n"/>
      <c r="T233" s="297" t="n"/>
      <c r="U233" s="297" t="n"/>
    </row>
    <row r="234" customFormat="1" s="106">
      <c r="A234" s="174" t="n"/>
      <c r="B234" s="298" t="n"/>
      <c r="C234" s="107">
        <f>IF(B234="", "", VLOOKUP(B234, 'CLIENT DATA'!A:S, 19, FALSE))</f>
        <v/>
      </c>
      <c r="D234" s="107">
        <f t="array" ref="D234">IF(B234="", "", _xlfn.TEXTJOIN(", ", TRUE, IF('CLIENT DATA'!$A$2:$A$205=B234, 'CLIENT DATA'!$C$2:$F$205, "")))</f>
        <v/>
      </c>
      <c r="E234" s="52" t="n"/>
      <c r="F234" s="52" t="n"/>
      <c r="G234" s="52" t="n"/>
      <c r="H234" s="52" t="n"/>
      <c r="I234" s="52" t="n"/>
      <c r="J234" s="59" t="n"/>
      <c r="K234" s="59" t="n"/>
      <c r="L234" s="59" t="n"/>
      <c r="M234" s="59" t="n"/>
      <c r="N234" s="59" t="n"/>
      <c r="O234" s="297" t="n"/>
      <c r="P234" s="297" t="n"/>
      <c r="Q234" s="297" t="n"/>
      <c r="R234" s="297" t="n"/>
      <c r="S234" s="297" t="n"/>
      <c r="T234" s="297" t="n"/>
      <c r="U234" s="297" t="n"/>
    </row>
    <row r="235" customFormat="1" s="106">
      <c r="A235" s="174" t="n"/>
      <c r="B235" s="298" t="n"/>
      <c r="C235" s="107">
        <f>IF(B235="", "", VLOOKUP(B235, 'CLIENT DATA'!A:S, 19, FALSE))</f>
        <v/>
      </c>
      <c r="D235" s="107">
        <f t="array" ref="D235">IF(B235="", "", _xlfn.TEXTJOIN(", ", TRUE, IF('CLIENT DATA'!$A$2:$A$205=B235, 'CLIENT DATA'!$C$2:$F$205, "")))</f>
        <v/>
      </c>
      <c r="E235" s="52" t="n"/>
      <c r="F235" s="52" t="n"/>
      <c r="G235" s="52" t="n"/>
      <c r="H235" s="52" t="n"/>
      <c r="I235" s="52" t="n"/>
      <c r="J235" s="59" t="n"/>
      <c r="K235" s="59" t="n"/>
      <c r="L235" s="59" t="n"/>
      <c r="M235" s="59" t="n"/>
      <c r="N235" s="59" t="n"/>
      <c r="O235" s="297" t="n"/>
      <c r="P235" s="297" t="n"/>
      <c r="Q235" s="297" t="n"/>
      <c r="R235" s="297" t="n"/>
      <c r="S235" s="297" t="n"/>
      <c r="T235" s="297" t="n"/>
      <c r="U235" s="297" t="n"/>
    </row>
    <row r="236" customFormat="1" s="106">
      <c r="A236" s="174" t="n"/>
      <c r="B236" s="298" t="n"/>
      <c r="C236" s="107">
        <f>IF(B236="", "", VLOOKUP(B236, 'CLIENT DATA'!A:S, 19, FALSE))</f>
        <v/>
      </c>
      <c r="D236" s="107">
        <f t="array" ref="D236">IF(B236="", "", _xlfn.TEXTJOIN(", ", TRUE, IF('CLIENT DATA'!$A$2:$A$205=B236, 'CLIENT DATA'!$C$2:$F$205, "")))</f>
        <v/>
      </c>
      <c r="E236" s="52" t="n"/>
      <c r="F236" s="52" t="n"/>
      <c r="G236" s="52" t="n"/>
      <c r="H236" s="52" t="n"/>
      <c r="I236" s="52" t="n"/>
      <c r="J236" s="59" t="n"/>
      <c r="K236" s="59" t="n"/>
      <c r="L236" s="59" t="n"/>
      <c r="M236" s="59" t="n"/>
      <c r="N236" s="59" t="n"/>
      <c r="O236" s="297" t="n"/>
      <c r="P236" s="297" t="n"/>
      <c r="Q236" s="297" t="n"/>
      <c r="R236" s="297" t="n"/>
      <c r="S236" s="297" t="n"/>
      <c r="T236" s="297" t="n"/>
      <c r="U236" s="297" t="n"/>
    </row>
    <row r="237" customFormat="1" s="106">
      <c r="A237" s="174" t="n"/>
      <c r="B237" s="298" t="n"/>
      <c r="C237" s="107">
        <f>IF(B237="", "", VLOOKUP(B237, 'CLIENT DATA'!A:S, 19, FALSE))</f>
        <v/>
      </c>
      <c r="D237" s="107">
        <f t="array" ref="D237">IF(B237="", "", _xlfn.TEXTJOIN(", ", TRUE, IF('CLIENT DATA'!$A$2:$A$205=B237, 'CLIENT DATA'!$C$2:$F$205, "")))</f>
        <v/>
      </c>
      <c r="E237" s="52" t="n"/>
      <c r="F237" s="52" t="n"/>
      <c r="G237" s="52" t="n"/>
      <c r="H237" s="52" t="n"/>
      <c r="I237" s="52" t="n"/>
      <c r="J237" s="59" t="n"/>
      <c r="K237" s="59" t="n"/>
      <c r="L237" s="59" t="n"/>
      <c r="M237" s="59" t="n"/>
      <c r="N237" s="59" t="n"/>
      <c r="O237" s="297" t="n"/>
      <c r="P237" s="297" t="n"/>
      <c r="Q237" s="297" t="n"/>
      <c r="R237" s="297" t="n"/>
      <c r="S237" s="297" t="n"/>
      <c r="T237" s="297" t="n"/>
      <c r="U237" s="297" t="n"/>
    </row>
    <row r="238" customFormat="1" s="106">
      <c r="A238" s="174" t="n"/>
      <c r="B238" s="52" t="n"/>
      <c r="C238" s="107">
        <f>IF(B238="", "", VLOOKUP(B238, 'CLIENT DATA'!A:S, 19, FALSE))</f>
        <v/>
      </c>
      <c r="D238" s="107">
        <f t="array" ref="D238">IF(B238="", "", _xlfn.TEXTJOIN(", ", TRUE, IF('CLIENT DATA'!$A$2:$A$205=B238, 'CLIENT DATA'!$C$2:$F$205, "")))</f>
        <v/>
      </c>
      <c r="E238" s="52" t="n"/>
      <c r="F238" s="52" t="n"/>
      <c r="G238" s="52" t="n"/>
      <c r="H238" s="52" t="n"/>
      <c r="I238" s="52" t="n"/>
      <c r="J238" s="59" t="n"/>
      <c r="K238" s="59" t="n"/>
      <c r="L238" s="59" t="n"/>
      <c r="M238" s="59" t="n"/>
      <c r="N238" s="59" t="n"/>
      <c r="O238" s="297" t="n"/>
      <c r="P238" s="297" t="n"/>
      <c r="Q238" s="297" t="n"/>
      <c r="R238" s="297" t="n"/>
      <c r="S238" s="297" t="n"/>
      <c r="T238" s="297" t="n"/>
      <c r="U238" s="297" t="n"/>
    </row>
    <row r="239" customFormat="1" s="106">
      <c r="A239" s="174" t="n"/>
      <c r="B239" s="52" t="n"/>
      <c r="C239" s="107">
        <f>IF(B239="", "", VLOOKUP(B239, 'CLIENT DATA'!A:S, 19, FALSE))</f>
        <v/>
      </c>
      <c r="D239" s="107">
        <f t="array" ref="D239">IF(B239="", "", _xlfn.TEXTJOIN(", ", TRUE, IF('CLIENT DATA'!$A$2:$A$205=B239, 'CLIENT DATA'!$C$2:$F$205, "")))</f>
        <v/>
      </c>
      <c r="E239" s="52" t="n"/>
      <c r="F239" s="52" t="n"/>
      <c r="G239" s="52" t="n"/>
      <c r="H239" s="52" t="n"/>
      <c r="I239" s="52" t="n"/>
      <c r="J239" s="59" t="n"/>
      <c r="K239" s="59" t="n"/>
      <c r="L239" s="59" t="n"/>
      <c r="M239" s="59" t="n"/>
      <c r="N239" s="59" t="n"/>
      <c r="O239" s="297" t="n"/>
      <c r="P239" s="297" t="n"/>
      <c r="Q239" s="297" t="n"/>
      <c r="R239" s="297" t="n"/>
      <c r="S239" s="297" t="n"/>
      <c r="T239" s="297" t="n"/>
      <c r="U239" s="297" t="n"/>
    </row>
    <row r="240" customFormat="1" s="106">
      <c r="A240" s="174" t="n"/>
      <c r="B240" s="52" t="n"/>
      <c r="C240" s="107">
        <f>IF(B240="", "", VLOOKUP(B240, 'CLIENT DATA'!A:S, 19, FALSE))</f>
        <v/>
      </c>
      <c r="D240" s="107">
        <f t="array" ref="D240">IF(B240="", "", _xlfn.TEXTJOIN(", ", TRUE, IF('CLIENT DATA'!$A$2:$A$205=B240, 'CLIENT DATA'!$C$2:$F$205, "")))</f>
        <v/>
      </c>
      <c r="E240" s="52" t="n"/>
      <c r="F240" s="52" t="n"/>
      <c r="G240" s="52" t="n"/>
      <c r="H240" s="52" t="n"/>
      <c r="I240" s="52" t="n"/>
      <c r="J240" s="59" t="n"/>
      <c r="K240" s="59" t="n"/>
      <c r="L240" s="59" t="n"/>
      <c r="M240" s="59" t="n"/>
      <c r="N240" s="59" t="n"/>
      <c r="O240" s="297" t="n"/>
      <c r="P240" s="297" t="n"/>
      <c r="Q240" s="297" t="n"/>
      <c r="R240" s="297" t="n"/>
      <c r="S240" s="297" t="n"/>
      <c r="T240" s="297" t="n"/>
      <c r="U240" s="297" t="n"/>
    </row>
    <row r="241" customFormat="1" s="106">
      <c r="A241" s="174" t="n"/>
      <c r="B241" s="52" t="n"/>
      <c r="C241" s="107">
        <f>IF(B241="", "", VLOOKUP(B241, 'CLIENT DATA'!A:S, 19, FALSE))</f>
        <v/>
      </c>
      <c r="D241" s="107">
        <f t="array" ref="D241">IF(B241="", "", _xlfn.TEXTJOIN(", ", TRUE, IF('CLIENT DATA'!$A$2:$A$205=B241, 'CLIENT DATA'!$C$2:$F$205, "")))</f>
        <v/>
      </c>
      <c r="E241" s="52" t="n"/>
      <c r="F241" s="52" t="n"/>
      <c r="G241" s="52" t="n"/>
      <c r="H241" s="52" t="n"/>
      <c r="I241" s="52" t="n"/>
      <c r="J241" s="59" t="n"/>
      <c r="K241" s="59" t="n"/>
      <c r="L241" s="59" t="n"/>
      <c r="M241" s="59" t="n"/>
      <c r="N241" s="59" t="n"/>
      <c r="O241" s="297" t="n"/>
      <c r="P241" s="297" t="n"/>
      <c r="Q241" s="297" t="n"/>
      <c r="R241" s="297" t="n"/>
      <c r="S241" s="297" t="n"/>
      <c r="T241" s="297" t="n"/>
      <c r="U241" s="297" t="n"/>
    </row>
    <row r="242" customFormat="1" s="106">
      <c r="A242" s="174" t="n"/>
      <c r="B242" s="52" t="n"/>
      <c r="C242" s="107">
        <f>IF(B242="", "", VLOOKUP(B242, 'CLIENT DATA'!A:S, 19, FALSE))</f>
        <v/>
      </c>
      <c r="D242" s="107">
        <f t="array" ref="D242">IF(B242="", "", _xlfn.TEXTJOIN(", ", TRUE, IF('CLIENT DATA'!$A$2:$A$205=B242, 'CLIENT DATA'!$C$2:$F$205, "")))</f>
        <v/>
      </c>
      <c r="E242" s="52" t="n"/>
      <c r="F242" s="52" t="n"/>
      <c r="G242" s="52" t="n"/>
      <c r="H242" s="52" t="n"/>
      <c r="I242" s="52" t="n"/>
      <c r="J242" s="59" t="n"/>
      <c r="K242" s="59" t="n"/>
      <c r="L242" s="59" t="n"/>
      <c r="M242" s="59" t="n"/>
      <c r="N242" s="59" t="n"/>
      <c r="O242" s="297" t="n"/>
      <c r="P242" s="297" t="n"/>
      <c r="Q242" s="297" t="n"/>
      <c r="R242" s="297" t="n"/>
      <c r="S242" s="297" t="n"/>
      <c r="T242" s="297" t="n"/>
      <c r="U242" s="297" t="n"/>
    </row>
    <row r="243" customFormat="1" s="106">
      <c r="A243" s="174" t="n"/>
      <c r="B243" s="52" t="n"/>
      <c r="C243" s="107">
        <f>IF(B243="", "", VLOOKUP(B243, 'CLIENT DATA'!A:S, 19, FALSE))</f>
        <v/>
      </c>
      <c r="D243" s="107">
        <f t="array" ref="D243">IF(B243="", "", _xlfn.TEXTJOIN(", ", TRUE, IF('CLIENT DATA'!$A$2:$A$205=B243, 'CLIENT DATA'!$C$2:$F$205, "")))</f>
        <v/>
      </c>
      <c r="E243" s="52" t="n"/>
      <c r="F243" s="52" t="n"/>
      <c r="G243" s="52" t="n"/>
      <c r="H243" s="52" t="n"/>
      <c r="I243" s="52" t="n"/>
      <c r="J243" s="59" t="n"/>
      <c r="K243" s="59" t="n"/>
      <c r="L243" s="59" t="n"/>
      <c r="M243" s="59" t="n"/>
      <c r="N243" s="59" t="n"/>
      <c r="O243" s="297" t="n"/>
      <c r="P243" s="297" t="n"/>
      <c r="Q243" s="297" t="n"/>
      <c r="R243" s="297" t="n"/>
      <c r="S243" s="297" t="n"/>
      <c r="T243" s="297" t="n"/>
      <c r="U243" s="297" t="n"/>
    </row>
    <row r="244" customFormat="1" s="106">
      <c r="A244" s="174" t="n"/>
      <c r="B244" s="52" t="n"/>
      <c r="C244" s="107">
        <f>IF(B244="", "", VLOOKUP(B244, 'CLIENT DATA'!A:S, 19, FALSE))</f>
        <v/>
      </c>
      <c r="D244" s="107">
        <f t="array" ref="D244">IF(B244="", "", _xlfn.TEXTJOIN(", ", TRUE, IF('CLIENT DATA'!$A$2:$A$205=B244, 'CLIENT DATA'!$C$2:$F$205, "")))</f>
        <v/>
      </c>
      <c r="E244" s="52" t="n"/>
      <c r="F244" s="52" t="n"/>
      <c r="G244" s="52" t="n"/>
      <c r="H244" s="52" t="n"/>
      <c r="I244" s="52" t="n"/>
      <c r="J244" s="59" t="n"/>
      <c r="K244" s="59" t="n"/>
      <c r="L244" s="59" t="n"/>
      <c r="M244" s="59" t="n"/>
      <c r="N244" s="59" t="n"/>
      <c r="O244" s="297" t="n"/>
      <c r="P244" s="297" t="n"/>
      <c r="Q244" s="297" t="n"/>
      <c r="R244" s="297" t="n"/>
      <c r="S244" s="297" t="n"/>
      <c r="T244" s="297" t="n"/>
      <c r="U244" s="297" t="n"/>
    </row>
    <row r="245" customFormat="1" s="106">
      <c r="A245" s="174" t="n"/>
      <c r="B245" s="52" t="n"/>
      <c r="C245" s="107">
        <f>IF(B245="", "", VLOOKUP(B245, 'CLIENT DATA'!A:S, 19, FALSE))</f>
        <v/>
      </c>
      <c r="D245" s="107">
        <f t="array" ref="D245">IF(B245="", "", _xlfn.TEXTJOIN(", ", TRUE, IF('CLIENT DATA'!$A$2:$A$205=B245, 'CLIENT DATA'!$C$2:$F$205, "")))</f>
        <v/>
      </c>
      <c r="E245" s="52" t="n"/>
      <c r="F245" s="52" t="n"/>
      <c r="G245" s="52" t="n"/>
      <c r="H245" s="52" t="n"/>
      <c r="I245" s="52" t="n"/>
      <c r="J245" s="59" t="n"/>
      <c r="K245" s="59" t="n"/>
      <c r="L245" s="59" t="n"/>
      <c r="M245" s="59" t="n"/>
      <c r="N245" s="59" t="n"/>
      <c r="O245" s="297" t="n"/>
      <c r="P245" s="297" t="n"/>
      <c r="Q245" s="297" t="n"/>
      <c r="R245" s="297" t="n"/>
      <c r="S245" s="297" t="n"/>
      <c r="T245" s="297" t="n"/>
      <c r="U245" s="297" t="n"/>
    </row>
    <row r="246" customFormat="1" s="106">
      <c r="A246" s="174" t="n"/>
      <c r="B246" s="298" t="n"/>
      <c r="C246" s="107">
        <f>IF(B246="", "", VLOOKUP(B246, 'CLIENT DATA'!A:S, 19, FALSE))</f>
        <v/>
      </c>
      <c r="D246" s="107">
        <f t="array" ref="D246">IF(B246="", "", _xlfn.TEXTJOIN(", ", TRUE, IF('CLIENT DATA'!$A$2:$A$205=B246, 'CLIENT DATA'!$C$2:$F$205, "")))</f>
        <v/>
      </c>
      <c r="E246" s="52" t="n"/>
      <c r="F246" s="52" t="n"/>
      <c r="G246" s="52" t="n"/>
      <c r="H246" s="52" t="n"/>
      <c r="I246" s="52" t="n"/>
      <c r="J246" s="59" t="n"/>
      <c r="K246" s="59" t="n"/>
      <c r="L246" s="59" t="n"/>
      <c r="M246" s="59" t="n"/>
      <c r="N246" s="59" t="n"/>
      <c r="O246" s="297" t="n"/>
      <c r="P246" s="297" t="n"/>
      <c r="Q246" s="297" t="n"/>
      <c r="R246" s="297" t="n"/>
      <c r="S246" s="297" t="n"/>
      <c r="T246" s="297" t="n"/>
      <c r="U246" s="297" t="n"/>
    </row>
    <row r="247" customFormat="1" s="106">
      <c r="A247" s="174" t="n"/>
      <c r="B247" s="298" t="n"/>
      <c r="C247" s="107">
        <f>IF(B247="", "", VLOOKUP(B247, 'CLIENT DATA'!A:S, 19, FALSE))</f>
        <v/>
      </c>
      <c r="D247" s="107">
        <f t="array" ref="D247">IF(B247="", "", _xlfn.TEXTJOIN(", ", TRUE, IF('CLIENT DATA'!$A$2:$A$205=B247, 'CLIENT DATA'!$C$2:$F$205, "")))</f>
        <v/>
      </c>
      <c r="E247" s="52" t="n"/>
      <c r="F247" s="52" t="n"/>
      <c r="G247" s="52" t="n"/>
      <c r="H247" s="52" t="n"/>
      <c r="I247" s="52" t="n"/>
      <c r="J247" s="59" t="n"/>
      <c r="K247" s="59" t="n"/>
      <c r="L247" s="59" t="n"/>
      <c r="M247" s="59" t="n"/>
      <c r="N247" s="59" t="n"/>
      <c r="O247" s="297" t="n"/>
      <c r="P247" s="297" t="n"/>
      <c r="Q247" s="297" t="n"/>
      <c r="R247" s="297" t="n"/>
      <c r="S247" s="297" t="n"/>
      <c r="T247" s="297" t="n"/>
      <c r="U247" s="297" t="n"/>
    </row>
    <row r="248" customFormat="1" s="106">
      <c r="A248" s="174" t="n"/>
      <c r="B248" s="298" t="n"/>
      <c r="C248" s="107">
        <f>IF(B248="", "", VLOOKUP(B248, 'CLIENT DATA'!A:S, 19, FALSE))</f>
        <v/>
      </c>
      <c r="D248" s="107">
        <f t="array" ref="D248">IF(B248="", "", _xlfn.TEXTJOIN(", ", TRUE, IF('CLIENT DATA'!$A$2:$A$205=B248, 'CLIENT DATA'!$C$2:$F$205, "")))</f>
        <v/>
      </c>
      <c r="E248" s="52" t="n"/>
      <c r="F248" s="52" t="n"/>
      <c r="G248" s="52" t="n"/>
      <c r="H248" s="52" t="n"/>
      <c r="I248" s="52" t="n"/>
      <c r="J248" s="59" t="n"/>
      <c r="K248" s="59" t="n"/>
      <c r="L248" s="59" t="n"/>
      <c r="M248" s="59" t="n"/>
      <c r="N248" s="59" t="n"/>
      <c r="O248" s="297" t="n"/>
      <c r="P248" s="297" t="n"/>
      <c r="Q248" s="297" t="n"/>
      <c r="R248" s="297" t="n"/>
      <c r="S248" s="297" t="n"/>
      <c r="T248" s="297" t="n"/>
      <c r="U248" s="297" t="n"/>
    </row>
    <row r="249" customFormat="1" s="106">
      <c r="A249" s="174" t="n"/>
      <c r="B249" s="298" t="n"/>
      <c r="C249" s="107">
        <f>IF(B249="", "", VLOOKUP(B249, 'CLIENT DATA'!A:S, 19, FALSE))</f>
        <v/>
      </c>
      <c r="D249" s="107">
        <f t="array" ref="D249">IF(B249="", "", _xlfn.TEXTJOIN(", ", TRUE, IF('CLIENT DATA'!$A$2:$A$205=B249, 'CLIENT DATA'!$C$2:$F$205, "")))</f>
        <v/>
      </c>
      <c r="E249" s="52" t="n"/>
      <c r="F249" s="52" t="n"/>
      <c r="G249" s="52" t="n"/>
      <c r="H249" s="52" t="n"/>
      <c r="I249" s="52" t="n"/>
      <c r="J249" s="59" t="n"/>
      <c r="K249" s="59" t="n"/>
      <c r="L249" s="59" t="n"/>
      <c r="M249" s="59" t="n"/>
      <c r="N249" s="59" t="n"/>
      <c r="O249" s="297" t="n"/>
      <c r="P249" s="297" t="n"/>
      <c r="Q249" s="297" t="n"/>
      <c r="R249" s="297" t="n"/>
      <c r="S249" s="297" t="n"/>
      <c r="T249" s="297" t="n"/>
      <c r="U249" s="297" t="n"/>
    </row>
    <row r="250" customFormat="1" s="106">
      <c r="A250" s="174" t="n"/>
      <c r="B250" s="298" t="n"/>
      <c r="C250" s="107">
        <f>IF(B250="", "", VLOOKUP(B250, 'CLIENT DATA'!A:S, 19, FALSE))</f>
        <v/>
      </c>
      <c r="D250" s="107">
        <f t="array" ref="D250">IF(B250="", "", _xlfn.TEXTJOIN(", ", TRUE, IF('CLIENT DATA'!$A$2:$A$205=B250, 'CLIENT DATA'!$C$2:$F$205, "")))</f>
        <v/>
      </c>
      <c r="E250" s="52" t="n"/>
      <c r="F250" s="52" t="n"/>
      <c r="G250" s="52" t="n"/>
      <c r="H250" s="52" t="n"/>
      <c r="I250" s="52" t="n"/>
      <c r="J250" s="59" t="n"/>
      <c r="K250" s="59" t="n"/>
      <c r="L250" s="59" t="n"/>
      <c r="M250" s="59" t="n"/>
      <c r="N250" s="59" t="n"/>
      <c r="O250" s="297" t="n"/>
      <c r="P250" s="297" t="n"/>
      <c r="Q250" s="297" t="n"/>
      <c r="R250" s="297" t="n"/>
      <c r="S250" s="297" t="n"/>
      <c r="T250" s="297" t="n"/>
      <c r="U250" s="297" t="n"/>
    </row>
    <row r="251" customFormat="1" s="106">
      <c r="A251" s="174" t="n"/>
      <c r="B251" s="298" t="n"/>
      <c r="C251" s="107">
        <f>IF(B251="", "", VLOOKUP(B251, 'CLIENT DATA'!A:S, 19, FALSE))</f>
        <v/>
      </c>
      <c r="D251" s="107">
        <f t="array" ref="D251">IF(B251="", "", _xlfn.TEXTJOIN(", ", TRUE, IF('CLIENT DATA'!$A$2:$A$205=B251, 'CLIENT DATA'!$C$2:$F$205, "")))</f>
        <v/>
      </c>
      <c r="E251" s="52" t="n"/>
      <c r="F251" s="52" t="n"/>
      <c r="G251" s="52" t="n"/>
      <c r="H251" s="52" t="n"/>
      <c r="I251" s="52" t="n"/>
      <c r="J251" s="59" t="n"/>
      <c r="K251" s="59" t="n"/>
      <c r="L251" s="59" t="n"/>
      <c r="M251" s="59" t="n"/>
      <c r="N251" s="59" t="n"/>
      <c r="O251" s="297" t="n"/>
      <c r="P251" s="297" t="n"/>
      <c r="Q251" s="297" t="n"/>
      <c r="R251" s="297" t="n"/>
      <c r="S251" s="297" t="n"/>
      <c r="T251" s="297" t="n"/>
      <c r="U251" s="297" t="n"/>
    </row>
    <row r="252" customFormat="1" s="106">
      <c r="A252" s="174" t="n"/>
      <c r="B252" s="298" t="n"/>
      <c r="C252" s="107">
        <f>IF(B252="", "", VLOOKUP(B252, 'CLIENT DATA'!A:S, 19, FALSE))</f>
        <v/>
      </c>
      <c r="D252" s="107">
        <f t="array" ref="D252">IF(B252="", "", _xlfn.TEXTJOIN(", ", TRUE, IF('CLIENT DATA'!$A$2:$A$205=B252, 'CLIENT DATA'!$C$2:$F$205, "")))</f>
        <v/>
      </c>
      <c r="E252" s="52" t="n"/>
      <c r="F252" s="52" t="n"/>
      <c r="G252" s="52" t="n"/>
      <c r="H252" s="52" t="n"/>
      <c r="I252" s="52" t="n"/>
      <c r="J252" s="59" t="n"/>
      <c r="K252" s="59" t="n"/>
      <c r="L252" s="59" t="n"/>
      <c r="M252" s="59" t="n"/>
      <c r="N252" s="59" t="n"/>
      <c r="O252" s="297" t="n"/>
      <c r="P252" s="297" t="n"/>
      <c r="Q252" s="297" t="n"/>
      <c r="R252" s="297" t="n"/>
      <c r="S252" s="297" t="n"/>
      <c r="T252" s="297" t="n"/>
      <c r="U252" s="297" t="n"/>
    </row>
    <row r="253" customFormat="1" s="106">
      <c r="A253" s="174" t="n"/>
      <c r="B253" s="298" t="n"/>
      <c r="C253" s="107">
        <f>IF(B253="", "", VLOOKUP(B253, 'CLIENT DATA'!A:S, 19, FALSE))</f>
        <v/>
      </c>
      <c r="D253" s="107">
        <f t="array" ref="D253">IF(B253="", "", _xlfn.TEXTJOIN(", ", TRUE, IF('CLIENT DATA'!$A$2:$A$205=B253, 'CLIENT DATA'!$C$2:$F$205, "")))</f>
        <v/>
      </c>
      <c r="E253" s="52" t="n"/>
      <c r="F253" s="52" t="n"/>
      <c r="G253" s="52" t="n"/>
      <c r="H253" s="52" t="n"/>
      <c r="I253" s="52" t="n"/>
      <c r="J253" s="59" t="n"/>
      <c r="K253" s="59" t="n"/>
      <c r="L253" s="59" t="n"/>
      <c r="M253" s="59" t="n"/>
      <c r="N253" s="59" t="n"/>
      <c r="O253" s="297" t="n"/>
      <c r="P253" s="297" t="n"/>
      <c r="Q253" s="297" t="n"/>
      <c r="R253" s="297" t="n"/>
      <c r="S253" s="297" t="n"/>
      <c r="T253" s="297" t="n"/>
      <c r="U253" s="297" t="n"/>
    </row>
    <row r="254" customFormat="1" s="106">
      <c r="A254" s="174" t="n"/>
      <c r="B254" s="298" t="n"/>
      <c r="C254" s="107">
        <f>IF(B254="", "", VLOOKUP(B254, 'CLIENT DATA'!A:S, 19, FALSE))</f>
        <v/>
      </c>
      <c r="D254" s="107">
        <f t="array" ref="D254">IF(B254="", "", _xlfn.TEXTJOIN(", ", TRUE, IF('CLIENT DATA'!$A$2:$A$205=B254, 'CLIENT DATA'!$C$2:$F$205, "")))</f>
        <v/>
      </c>
      <c r="E254" s="52" t="n"/>
      <c r="F254" s="52" t="n"/>
      <c r="G254" s="52" t="n"/>
      <c r="H254" s="52" t="n"/>
      <c r="I254" s="52" t="n"/>
      <c r="J254" s="59" t="n"/>
      <c r="K254" s="59" t="n"/>
      <c r="L254" s="59" t="n"/>
      <c r="M254" s="59" t="n"/>
      <c r="N254" s="59" t="n"/>
      <c r="O254" s="297" t="n"/>
      <c r="P254" s="297" t="n"/>
      <c r="Q254" s="297" t="n"/>
      <c r="R254" s="297" t="n"/>
      <c r="S254" s="297" t="n"/>
      <c r="T254" s="297" t="n"/>
      <c r="U254" s="297" t="n"/>
    </row>
    <row r="255" customFormat="1" s="106">
      <c r="A255" s="174" t="n"/>
      <c r="B255" s="298" t="n"/>
      <c r="C255" s="107">
        <f>IF(B255="", "", VLOOKUP(B255, 'CLIENT DATA'!A:S, 19, FALSE))</f>
        <v/>
      </c>
      <c r="D255" s="107">
        <f t="array" ref="D255">IF(B255="", "", _xlfn.TEXTJOIN(", ", TRUE, IF('CLIENT DATA'!$A$2:$A$205=B255, 'CLIENT DATA'!$C$2:$F$205, "")))</f>
        <v/>
      </c>
      <c r="E255" s="52" t="n"/>
      <c r="F255" s="52" t="n"/>
      <c r="G255" s="52" t="n"/>
      <c r="H255" s="52" t="n"/>
      <c r="I255" s="52" t="n"/>
      <c r="J255" s="59" t="n"/>
      <c r="K255" s="59" t="n"/>
      <c r="L255" s="59" t="n"/>
      <c r="M255" s="59" t="n"/>
      <c r="N255" s="59" t="n"/>
      <c r="O255" s="297" t="n"/>
      <c r="P255" s="297" t="n"/>
      <c r="Q255" s="297" t="n"/>
      <c r="R255" s="297" t="n"/>
      <c r="S255" s="297" t="n"/>
      <c r="T255" s="297" t="n"/>
      <c r="U255" s="297" t="n"/>
    </row>
    <row r="256" customFormat="1" s="106">
      <c r="A256" s="174" t="n"/>
      <c r="B256" s="298" t="n"/>
      <c r="C256" s="107">
        <f>IF(B256="", "", VLOOKUP(B256, 'CLIENT DATA'!A:S, 19, FALSE))</f>
        <v/>
      </c>
      <c r="D256" s="107">
        <f t="array" ref="D256">IF(B256="", "", _xlfn.TEXTJOIN(", ", TRUE, IF('CLIENT DATA'!$A$2:$A$205=B256, 'CLIENT DATA'!$C$2:$F$205, "")))</f>
        <v/>
      </c>
      <c r="E256" s="52" t="n"/>
      <c r="F256" s="52" t="n"/>
      <c r="G256" s="52" t="n"/>
      <c r="H256" s="52" t="n"/>
      <c r="I256" s="52" t="n"/>
      <c r="J256" s="59" t="n"/>
      <c r="K256" s="59" t="n"/>
      <c r="L256" s="59" t="n"/>
      <c r="M256" s="59" t="n"/>
      <c r="N256" s="59" t="n"/>
      <c r="O256" s="297" t="n"/>
      <c r="P256" s="297" t="n"/>
      <c r="Q256" s="297" t="n"/>
      <c r="R256" s="297" t="n"/>
      <c r="S256" s="297" t="n"/>
      <c r="T256" s="297" t="n"/>
      <c r="U256" s="297" t="n"/>
    </row>
    <row r="257" customFormat="1" s="106">
      <c r="A257" s="174" t="n"/>
      <c r="B257" s="298" t="n"/>
      <c r="C257" s="107">
        <f>IF(B257="", "", VLOOKUP(B257, 'CLIENT DATA'!A:S, 19, FALSE))</f>
        <v/>
      </c>
      <c r="D257" s="107">
        <f t="array" ref="D257">IF(B257="", "", _xlfn.TEXTJOIN(", ", TRUE, IF('CLIENT DATA'!$A$2:$A$205=B257, 'CLIENT DATA'!$C$2:$F$205, "")))</f>
        <v/>
      </c>
      <c r="E257" s="52" t="n"/>
      <c r="F257" s="52" t="n"/>
      <c r="G257" s="52" t="n"/>
      <c r="H257" s="52" t="n"/>
      <c r="I257" s="52" t="n"/>
      <c r="J257" s="59" t="n"/>
      <c r="K257" s="59" t="n"/>
      <c r="L257" s="59" t="n"/>
      <c r="M257" s="59" t="n"/>
      <c r="N257" s="59" t="n"/>
      <c r="O257" s="297" t="n"/>
      <c r="P257" s="297" t="n"/>
      <c r="Q257" s="297" t="n"/>
      <c r="R257" s="297" t="n"/>
      <c r="S257" s="297" t="n"/>
      <c r="T257" s="297" t="n"/>
      <c r="U257" s="297" t="n"/>
    </row>
    <row r="258" customFormat="1" s="106">
      <c r="A258" s="174" t="n"/>
      <c r="B258" s="298" t="n"/>
      <c r="C258" s="107">
        <f>IF(B258="", "", VLOOKUP(B258, 'CLIENT DATA'!A:S, 19, FALSE))</f>
        <v/>
      </c>
      <c r="D258" s="107">
        <f t="array" ref="D258">IF(B258="", "", _xlfn.TEXTJOIN(", ", TRUE, IF('CLIENT DATA'!$A$2:$A$205=B258, 'CLIENT DATA'!$C$2:$F$205, "")))</f>
        <v/>
      </c>
      <c r="E258" s="52" t="n"/>
      <c r="F258" s="52" t="n"/>
      <c r="G258" s="52" t="n"/>
      <c r="H258" s="52" t="n"/>
      <c r="I258" s="52" t="n"/>
      <c r="J258" s="59" t="n"/>
      <c r="K258" s="59" t="n"/>
      <c r="L258" s="59" t="n"/>
      <c r="M258" s="59" t="n"/>
      <c r="N258" s="59" t="n"/>
      <c r="O258" s="297" t="n"/>
      <c r="P258" s="297" t="n"/>
      <c r="Q258" s="297" t="n"/>
      <c r="R258" s="297" t="n"/>
      <c r="S258" s="297" t="n"/>
      <c r="T258" s="297" t="n"/>
      <c r="U258" s="297" t="n"/>
    </row>
    <row r="259" customFormat="1" s="106">
      <c r="A259" s="194" t="n"/>
      <c r="B259" s="298" t="n"/>
      <c r="C259" s="107">
        <f>IF(B259="", "", VLOOKUP(B259, 'CLIENT DATA'!A:S, 19, FALSE))</f>
        <v/>
      </c>
      <c r="D259" s="107">
        <f t="array" ref="D259">IF(B259="", "", _xlfn.TEXTJOIN(", ", TRUE, IF('CLIENT DATA'!$A$2:$A$205=B259, 'CLIENT DATA'!$C$2:$F$205, "")))</f>
        <v/>
      </c>
      <c r="E259" s="52" t="n"/>
      <c r="F259" s="52" t="n"/>
      <c r="G259" s="52" t="n"/>
      <c r="H259" s="52" t="n"/>
      <c r="I259" s="52" t="n"/>
      <c r="J259" s="59" t="n"/>
      <c r="K259" s="59" t="n"/>
      <c r="L259" s="59" t="n"/>
      <c r="M259" s="59" t="n"/>
      <c r="N259" s="59" t="n"/>
      <c r="O259" s="297" t="n"/>
      <c r="P259" s="297" t="n"/>
      <c r="Q259" s="297" t="n"/>
      <c r="R259" s="297" t="n"/>
      <c r="S259" s="297" t="n"/>
      <c r="T259" s="297" t="n"/>
      <c r="U259" s="297" t="n"/>
    </row>
    <row r="260" customFormat="1" s="106">
      <c r="A260" s="194" t="n"/>
      <c r="B260" s="298" t="n"/>
      <c r="C260" s="107">
        <f>IF(B260="", "", VLOOKUP(B260, 'CLIENT DATA'!A:S, 19, FALSE))</f>
        <v/>
      </c>
      <c r="D260" s="107">
        <f t="array" ref="D260">IF(B260="", "", _xlfn.TEXTJOIN(", ", TRUE, IF('CLIENT DATA'!$A$2:$A$205=B260, 'CLIENT DATA'!$C$2:$F$205, "")))</f>
        <v/>
      </c>
      <c r="E260" s="52" t="n"/>
      <c r="F260" s="52" t="n"/>
      <c r="G260" s="52" t="n"/>
      <c r="H260" s="52" t="n"/>
      <c r="I260" s="52" t="n"/>
      <c r="J260" s="59" t="n"/>
      <c r="K260" s="59" t="n"/>
      <c r="L260" s="59" t="n"/>
      <c r="M260" s="59" t="n"/>
      <c r="N260" s="59" t="n"/>
      <c r="O260" s="297" t="n"/>
      <c r="P260" s="297" t="n"/>
      <c r="Q260" s="297" t="n"/>
      <c r="R260" s="297" t="n"/>
      <c r="S260" s="297" t="n"/>
      <c r="T260" s="297" t="n"/>
      <c r="U260" s="297" t="n"/>
    </row>
    <row r="261" customFormat="1" s="106">
      <c r="A261" s="194" t="n"/>
      <c r="B261" s="298" t="n"/>
      <c r="C261" s="107">
        <f>IF(B261="", "", VLOOKUP(B261, 'CLIENT DATA'!A:S, 19, FALSE))</f>
        <v/>
      </c>
      <c r="D261" s="107">
        <f t="array" ref="D261">IF(B261="", "", _xlfn.TEXTJOIN(", ", TRUE, IF('CLIENT DATA'!$A$2:$A$205=B261, 'CLIENT DATA'!$C$2:$F$205, "")))</f>
        <v/>
      </c>
      <c r="E261" s="52" t="n"/>
      <c r="F261" s="52" t="n"/>
      <c r="G261" s="52" t="n"/>
      <c r="H261" s="52" t="n"/>
      <c r="I261" s="52" t="n"/>
      <c r="J261" s="59" t="n"/>
      <c r="K261" s="59" t="n"/>
      <c r="L261" s="59" t="n"/>
      <c r="M261" s="59" t="n"/>
      <c r="N261" s="59" t="n"/>
      <c r="O261" s="297" t="n"/>
      <c r="P261" s="297" t="n"/>
      <c r="Q261" s="297" t="n"/>
      <c r="R261" s="297" t="n"/>
      <c r="S261" s="297" t="n"/>
      <c r="T261" s="297" t="n"/>
      <c r="U261" s="297" t="n"/>
    </row>
    <row r="262" customFormat="1" s="106">
      <c r="A262" s="194" t="n"/>
      <c r="B262" s="298" t="n"/>
      <c r="C262" s="107">
        <f>IF(B262="", "", VLOOKUP(B262, 'CLIENT DATA'!A:S, 19, FALSE))</f>
        <v/>
      </c>
      <c r="D262" s="107">
        <f t="array" ref="D262">IF(B262="", "", _xlfn.TEXTJOIN(", ", TRUE, IF('CLIENT DATA'!$A$2:$A$205=B262, 'CLIENT DATA'!$C$2:$F$205, "")))</f>
        <v/>
      </c>
      <c r="E262" s="52" t="n"/>
      <c r="F262" s="52" t="n"/>
      <c r="G262" s="52" t="n"/>
      <c r="H262" s="52" t="n"/>
      <c r="I262" s="52" t="n"/>
      <c r="J262" s="59" t="n"/>
      <c r="K262" s="59" t="n"/>
      <c r="L262" s="59" t="n"/>
      <c r="M262" s="59" t="n"/>
      <c r="N262" s="59" t="n"/>
      <c r="O262" s="297" t="n"/>
      <c r="P262" s="297" t="n"/>
      <c r="Q262" s="297" t="n"/>
      <c r="R262" s="297" t="n"/>
      <c r="S262" s="297" t="n"/>
      <c r="T262" s="297" t="n"/>
      <c r="U262" s="297" t="n"/>
    </row>
    <row r="263" customFormat="1" s="106">
      <c r="A263" s="194" t="n"/>
      <c r="B263" s="298" t="n"/>
      <c r="C263" s="107">
        <f>IF(B263="", "", VLOOKUP(B263, 'CLIENT DATA'!A:S, 19, FALSE))</f>
        <v/>
      </c>
      <c r="D263" s="107">
        <f t="array" ref="D263">IF(B263="", "", _xlfn.TEXTJOIN(", ", TRUE, IF('CLIENT DATA'!$A$2:$A$205=B263, 'CLIENT DATA'!$C$2:$F$205, "")))</f>
        <v/>
      </c>
      <c r="E263" s="52" t="n"/>
      <c r="F263" s="52" t="n"/>
      <c r="G263" s="52" t="n"/>
      <c r="H263" s="52" t="n"/>
      <c r="I263" s="52" t="n"/>
      <c r="J263" s="59" t="n"/>
      <c r="K263" s="59" t="n"/>
      <c r="L263" s="59" t="n"/>
      <c r="M263" s="59" t="n"/>
      <c r="N263" s="59" t="n"/>
      <c r="O263" s="297" t="n"/>
      <c r="P263" s="297" t="n"/>
      <c r="Q263" s="297" t="n"/>
      <c r="R263" s="297" t="n"/>
      <c r="S263" s="297" t="n"/>
      <c r="T263" s="297" t="n"/>
      <c r="U263" s="297" t="n"/>
    </row>
    <row r="264" customFormat="1" s="106">
      <c r="A264" s="194" t="n"/>
      <c r="B264" s="298" t="n"/>
      <c r="C264" s="107">
        <f>IF(B264="", "", VLOOKUP(B264, 'CLIENT DATA'!A:S, 19, FALSE))</f>
        <v/>
      </c>
      <c r="D264" s="107">
        <f t="array" ref="D264">IF(B264="", "", _xlfn.TEXTJOIN(", ", TRUE, IF('CLIENT DATA'!$A$2:$A$205=B264, 'CLIENT DATA'!$C$2:$F$205, "")))</f>
        <v/>
      </c>
      <c r="E264" s="52" t="n"/>
      <c r="F264" s="52" t="n"/>
      <c r="G264" s="52" t="n"/>
      <c r="H264" s="52" t="n"/>
      <c r="I264" s="52" t="n"/>
      <c r="J264" s="59" t="n"/>
      <c r="K264" s="59" t="n"/>
      <c r="L264" s="59" t="n"/>
      <c r="M264" s="59" t="n"/>
      <c r="N264" s="59" t="n"/>
      <c r="O264" s="297" t="n"/>
      <c r="P264" s="297" t="n"/>
      <c r="Q264" s="297" t="n"/>
      <c r="R264" s="297" t="n"/>
      <c r="S264" s="297" t="n"/>
      <c r="T264" s="297" t="n"/>
      <c r="U264" s="297" t="n"/>
    </row>
    <row r="265" customFormat="1" s="106">
      <c r="A265" s="194" t="n"/>
      <c r="B265" s="298" t="n"/>
      <c r="C265" s="107">
        <f>IF(B265="", "", VLOOKUP(B265, 'CLIENT DATA'!A:S, 19, FALSE))</f>
        <v/>
      </c>
      <c r="D265" s="107">
        <f t="array" ref="D265">IF(B265="", "", _xlfn.TEXTJOIN(", ", TRUE, IF('CLIENT DATA'!$A$2:$A$205=B265, 'CLIENT DATA'!$C$2:$F$205, "")))</f>
        <v/>
      </c>
      <c r="E265" s="52" t="n"/>
      <c r="F265" s="52" t="n"/>
      <c r="G265" s="52" t="n"/>
      <c r="H265" s="52" t="n"/>
      <c r="I265" s="52" t="n"/>
      <c r="J265" s="59" t="n"/>
      <c r="K265" s="59" t="n"/>
      <c r="L265" s="59" t="n"/>
      <c r="M265" s="59" t="n"/>
      <c r="N265" s="59" t="n"/>
      <c r="O265" s="297" t="n"/>
      <c r="P265" s="297" t="n"/>
      <c r="Q265" s="297" t="n"/>
      <c r="R265" s="297" t="n"/>
      <c r="S265" s="297" t="n"/>
      <c r="T265" s="297" t="n"/>
      <c r="U265" s="297" t="n"/>
    </row>
    <row r="266" customFormat="1" s="106">
      <c r="A266" s="194" t="n"/>
      <c r="B266" s="298" t="n"/>
      <c r="C266" s="107">
        <f>IF(B266="", "", VLOOKUP(B266, 'CLIENT DATA'!A:S, 19, FALSE))</f>
        <v/>
      </c>
      <c r="D266" s="107">
        <f t="array" ref="D266">IF(B266="", "", _xlfn.TEXTJOIN(", ", TRUE, IF('CLIENT DATA'!$A$2:$A$205=B266, 'CLIENT DATA'!$C$2:$F$205, "")))</f>
        <v/>
      </c>
      <c r="E266" s="52" t="n"/>
      <c r="F266" s="52" t="n"/>
      <c r="G266" s="52" t="n"/>
      <c r="H266" s="52" t="n"/>
      <c r="I266" s="52" t="n"/>
      <c r="J266" s="59" t="n"/>
      <c r="K266" s="59" t="n"/>
      <c r="L266" s="59" t="n"/>
      <c r="M266" s="59" t="n"/>
      <c r="N266" s="59" t="n"/>
      <c r="O266" s="297" t="n"/>
      <c r="P266" s="297" t="n"/>
      <c r="Q266" s="297" t="n"/>
      <c r="R266" s="297" t="n"/>
      <c r="S266" s="297" t="n"/>
      <c r="T266" s="297" t="n"/>
      <c r="U266" s="297" t="n"/>
    </row>
    <row r="267" customFormat="1" s="106">
      <c r="A267" s="194" t="n"/>
      <c r="B267" s="298" t="n"/>
      <c r="C267" s="107">
        <f>IF(B267="", "", VLOOKUP(B267, 'CLIENT DATA'!A:S, 19, FALSE))</f>
        <v/>
      </c>
      <c r="D267" s="107">
        <f t="array" ref="D267">IF(B267="", "", _xlfn.TEXTJOIN(", ", TRUE, IF('CLIENT DATA'!$A$2:$A$205=B267, 'CLIENT DATA'!$C$2:$F$205, "")))</f>
        <v/>
      </c>
      <c r="E267" s="52" t="n"/>
      <c r="F267" s="52" t="n"/>
      <c r="G267" s="52" t="n"/>
      <c r="H267" s="52" t="n"/>
      <c r="I267" s="52" t="n"/>
      <c r="J267" s="59" t="n"/>
      <c r="K267" s="59" t="n"/>
      <c r="L267" s="59" t="n"/>
      <c r="M267" s="59" t="n"/>
      <c r="N267" s="59" t="n"/>
      <c r="O267" s="297" t="n"/>
      <c r="P267" s="297" t="n"/>
      <c r="Q267" s="297" t="n"/>
      <c r="R267" s="297" t="n"/>
      <c r="S267" s="297" t="n"/>
      <c r="T267" s="297" t="n"/>
      <c r="U267" s="297" t="n"/>
    </row>
    <row r="268" customFormat="1" s="106">
      <c r="A268" s="194" t="n"/>
      <c r="B268" s="298" t="n"/>
      <c r="C268" s="107">
        <f>IF(B268="", "", VLOOKUP(B268, 'CLIENT DATA'!A:S, 19, FALSE))</f>
        <v/>
      </c>
      <c r="D268" s="107">
        <f t="array" ref="D268">IF(B268="", "", _xlfn.TEXTJOIN(", ", TRUE, IF('CLIENT DATA'!$A$2:$A$205=B268, 'CLIENT DATA'!$C$2:$F$205, "")))</f>
        <v/>
      </c>
      <c r="E268" s="52" t="n"/>
      <c r="F268" s="52" t="n"/>
      <c r="G268" s="52" t="n"/>
      <c r="H268" s="52" t="n"/>
      <c r="I268" s="52" t="n"/>
      <c r="J268" s="59" t="n"/>
      <c r="K268" s="59" t="n"/>
      <c r="L268" s="59" t="n"/>
      <c r="M268" s="59" t="n"/>
      <c r="N268" s="59" t="n"/>
      <c r="O268" s="297" t="n"/>
      <c r="P268" s="297" t="n"/>
      <c r="Q268" s="297" t="n"/>
      <c r="R268" s="297" t="n"/>
      <c r="S268" s="297" t="n"/>
      <c r="T268" s="297" t="n"/>
      <c r="U268" s="297" t="n"/>
    </row>
    <row r="269" customFormat="1" s="106">
      <c r="A269" s="194" t="n"/>
      <c r="B269" s="298" t="n"/>
      <c r="C269" s="107">
        <f>IF(B269="", "", VLOOKUP(B269, 'CLIENT DATA'!A:S, 19, FALSE))</f>
        <v/>
      </c>
      <c r="D269" s="107">
        <f t="array" ref="D269">IF(B269="", "", _xlfn.TEXTJOIN(", ", TRUE, IF('CLIENT DATA'!$A$2:$A$205=B269, 'CLIENT DATA'!$C$2:$F$205, "")))</f>
        <v/>
      </c>
      <c r="E269" s="52" t="n"/>
      <c r="F269" s="52" t="n"/>
      <c r="G269" s="52" t="n"/>
      <c r="H269" s="52" t="n"/>
      <c r="I269" s="52" t="n"/>
      <c r="J269" s="59" t="n"/>
      <c r="K269" s="59" t="n"/>
      <c r="L269" s="59" t="n"/>
      <c r="M269" s="59" t="n"/>
      <c r="N269" s="59" t="n"/>
      <c r="O269" s="297" t="n"/>
      <c r="P269" s="297" t="n"/>
      <c r="Q269" s="297" t="n"/>
      <c r="R269" s="297" t="n"/>
      <c r="S269" s="297" t="n"/>
      <c r="T269" s="297" t="n"/>
      <c r="U269" s="297" t="n"/>
    </row>
    <row r="270" customFormat="1" s="106">
      <c r="A270" s="194" t="n"/>
      <c r="B270" s="298" t="n"/>
      <c r="C270" s="107">
        <f>IF(B270="", "", VLOOKUP(B270, 'CLIENT DATA'!A:S, 19, FALSE))</f>
        <v/>
      </c>
      <c r="D270" s="107">
        <f t="array" ref="D270">IF(B270="", "", _xlfn.TEXTJOIN(", ", TRUE, IF('CLIENT DATA'!$A$2:$A$205=B270, 'CLIENT DATA'!$C$2:$F$205, "")))</f>
        <v/>
      </c>
      <c r="E270" s="52" t="n"/>
      <c r="F270" s="52" t="n"/>
      <c r="G270" s="52" t="n"/>
      <c r="H270" s="52" t="n"/>
      <c r="I270" s="52" t="n"/>
      <c r="J270" s="59" t="n"/>
      <c r="K270" s="59" t="n"/>
      <c r="L270" s="59" t="n"/>
      <c r="M270" s="59" t="n"/>
      <c r="N270" s="59" t="n"/>
      <c r="O270" s="297" t="n"/>
      <c r="P270" s="297" t="n"/>
      <c r="Q270" s="297" t="n"/>
      <c r="R270" s="297" t="n"/>
      <c r="S270" s="297" t="n"/>
      <c r="T270" s="297" t="n"/>
      <c r="U270" s="297" t="n"/>
    </row>
    <row r="271" customFormat="1" s="106">
      <c r="A271" s="194" t="n"/>
      <c r="B271" s="298" t="n"/>
      <c r="C271" s="107">
        <f>IF(B271="", "", VLOOKUP(B271, 'CLIENT DATA'!A:S, 19, FALSE))</f>
        <v/>
      </c>
      <c r="D271" s="107">
        <f t="array" ref="D271">IF(B271="", "", _xlfn.TEXTJOIN(", ", TRUE, IF('CLIENT DATA'!$A$2:$A$205=B271, 'CLIENT DATA'!$C$2:$F$205, "")))</f>
        <v/>
      </c>
      <c r="E271" s="52" t="n"/>
      <c r="F271" s="52" t="n"/>
      <c r="G271" s="52" t="n"/>
      <c r="H271" s="52" t="n"/>
      <c r="I271" s="52" t="n"/>
      <c r="J271" s="59" t="n"/>
      <c r="K271" s="59" t="n"/>
      <c r="L271" s="59" t="n"/>
      <c r="M271" s="59" t="n"/>
      <c r="N271" s="59" t="n"/>
      <c r="O271" s="297" t="n"/>
      <c r="P271" s="297" t="n"/>
      <c r="Q271" s="297" t="n"/>
      <c r="R271" s="297" t="n"/>
      <c r="S271" s="297" t="n"/>
      <c r="T271" s="297" t="n"/>
      <c r="U271" s="297" t="n"/>
    </row>
    <row r="272" customFormat="1" s="106">
      <c r="A272" s="194" t="n"/>
      <c r="B272" s="298" t="n"/>
      <c r="C272" s="107">
        <f>IF(B272="", "", VLOOKUP(B272, 'CLIENT DATA'!A:S, 19, FALSE))</f>
        <v/>
      </c>
      <c r="D272" s="107">
        <f t="array" ref="D272">IF(B272="", "", _xlfn.TEXTJOIN(", ", TRUE, IF('CLIENT DATA'!$A$2:$A$205=B272, 'CLIENT DATA'!$C$2:$F$205, "")))</f>
        <v/>
      </c>
      <c r="E272" s="52" t="n"/>
      <c r="F272" s="52" t="n"/>
      <c r="G272" s="52" t="n"/>
      <c r="H272" s="52" t="n"/>
      <c r="I272" s="52" t="n"/>
      <c r="J272" s="59" t="n"/>
      <c r="K272" s="59" t="n"/>
      <c r="L272" s="59" t="n"/>
      <c r="M272" s="59" t="n"/>
      <c r="N272" s="59" t="n"/>
      <c r="O272" s="297" t="n"/>
      <c r="P272" s="297" t="n"/>
      <c r="Q272" s="297" t="n"/>
      <c r="R272" s="297" t="n"/>
      <c r="S272" s="297" t="n"/>
      <c r="T272" s="297" t="n"/>
      <c r="U272" s="297" t="n"/>
    </row>
    <row r="273" customFormat="1" s="106">
      <c r="A273" s="194" t="n"/>
      <c r="B273" s="298" t="n"/>
      <c r="C273" s="107">
        <f>IF(B273="", "", VLOOKUP(B273, 'CLIENT DATA'!A:S, 19, FALSE))</f>
        <v/>
      </c>
      <c r="D273" s="107">
        <f t="array" ref="D273">IF(B273="", "", _xlfn.TEXTJOIN(", ", TRUE, IF('CLIENT DATA'!$A$2:$A$205=B273, 'CLIENT DATA'!$C$2:$F$205, "")))</f>
        <v/>
      </c>
      <c r="E273" s="52" t="n"/>
      <c r="F273" s="52" t="n"/>
      <c r="G273" s="52" t="n"/>
      <c r="H273" s="52" t="n"/>
      <c r="I273" s="52" t="n"/>
      <c r="J273" s="59" t="n"/>
      <c r="K273" s="59" t="n"/>
      <c r="L273" s="59" t="n"/>
      <c r="M273" s="59" t="n"/>
      <c r="N273" s="59" t="n"/>
      <c r="O273" s="297" t="n"/>
      <c r="P273" s="297" t="n"/>
      <c r="Q273" s="297" t="n"/>
      <c r="R273" s="297" t="n"/>
      <c r="S273" s="297" t="n"/>
      <c r="T273" s="297" t="n"/>
      <c r="U273" s="297" t="n"/>
    </row>
    <row r="274" customFormat="1" s="106">
      <c r="A274" s="194" t="n"/>
      <c r="B274" s="298" t="n"/>
      <c r="C274" s="107">
        <f>IF(B274="", "", VLOOKUP(B274, 'CLIENT DATA'!A:S, 19, FALSE))</f>
        <v/>
      </c>
      <c r="D274" s="107">
        <f t="array" ref="D274">IF(B274="", "", _xlfn.TEXTJOIN(", ", TRUE, IF('CLIENT DATA'!$A$2:$A$205=B274, 'CLIENT DATA'!$C$2:$F$205, "")))</f>
        <v/>
      </c>
      <c r="E274" s="52" t="n"/>
      <c r="F274" s="52" t="n"/>
      <c r="G274" s="52" t="n"/>
      <c r="H274" s="52" t="n"/>
      <c r="I274" s="52" t="n"/>
      <c r="J274" s="59" t="n"/>
      <c r="K274" s="59" t="n"/>
      <c r="L274" s="59" t="n"/>
      <c r="M274" s="59" t="n"/>
      <c r="N274" s="59" t="n"/>
      <c r="O274" s="297" t="n"/>
      <c r="P274" s="297" t="n"/>
      <c r="Q274" s="297" t="n"/>
      <c r="R274" s="297" t="n"/>
      <c r="S274" s="297" t="n"/>
      <c r="T274" s="297" t="n"/>
      <c r="U274" s="297" t="n"/>
    </row>
    <row r="275" customFormat="1" s="106">
      <c r="A275" s="194" t="n"/>
      <c r="B275" s="298" t="n"/>
      <c r="C275" s="107">
        <f>IF(B275="", "", VLOOKUP(B275, 'CLIENT DATA'!A:S, 19, FALSE))</f>
        <v/>
      </c>
      <c r="D275" s="107">
        <f t="array" ref="D275">IF(B275="", "", _xlfn.TEXTJOIN(", ", TRUE, IF('CLIENT DATA'!$A$2:$A$205=B275, 'CLIENT DATA'!$C$2:$F$205, "")))</f>
        <v/>
      </c>
      <c r="E275" s="52" t="n"/>
      <c r="F275" s="52" t="n"/>
      <c r="G275" s="52" t="n"/>
      <c r="H275" s="52" t="n"/>
      <c r="I275" s="52" t="n"/>
      <c r="J275" s="59" t="n"/>
      <c r="K275" s="59" t="n"/>
      <c r="L275" s="59" t="n"/>
      <c r="M275" s="59" t="n"/>
      <c r="N275" s="59" t="n"/>
      <c r="O275" s="297" t="n"/>
      <c r="P275" s="297" t="n"/>
      <c r="Q275" s="297" t="n"/>
      <c r="R275" s="297" t="n"/>
      <c r="S275" s="297" t="n"/>
      <c r="T275" s="297" t="n"/>
      <c r="U275" s="297" t="n"/>
    </row>
    <row r="276" customFormat="1" s="106">
      <c r="A276" s="194" t="n"/>
      <c r="B276" s="298" t="n"/>
      <c r="C276" s="107">
        <f>IF(B276="", "", VLOOKUP(B276, 'CLIENT DATA'!A:S, 19, FALSE))</f>
        <v/>
      </c>
      <c r="D276" s="107">
        <f t="array" ref="D276">IF(B276="", "", _xlfn.TEXTJOIN(", ", TRUE, IF('CLIENT DATA'!$A$2:$A$205=B276, 'CLIENT DATA'!$C$2:$F$205, "")))</f>
        <v/>
      </c>
      <c r="E276" s="52" t="n"/>
      <c r="F276" s="52" t="n"/>
      <c r="G276" s="52" t="n"/>
      <c r="H276" s="52" t="n"/>
      <c r="I276" s="52" t="n"/>
      <c r="J276" s="59" t="n"/>
      <c r="K276" s="59" t="n"/>
      <c r="L276" s="59" t="n"/>
      <c r="M276" s="59" t="n"/>
      <c r="N276" s="59" t="n"/>
      <c r="O276" s="297" t="n"/>
      <c r="P276" s="297" t="n"/>
      <c r="Q276" s="297" t="n"/>
      <c r="R276" s="297" t="n"/>
      <c r="S276" s="297" t="n"/>
      <c r="T276" s="297" t="n"/>
      <c r="U276" s="297" t="n"/>
    </row>
    <row r="277" customFormat="1" s="106">
      <c r="A277" s="194" t="n"/>
      <c r="B277" s="298" t="n"/>
      <c r="C277" s="107">
        <f>IF(B277="", "", VLOOKUP(B277, 'CLIENT DATA'!A:S, 19, FALSE))</f>
        <v/>
      </c>
      <c r="D277" s="107">
        <f t="array" ref="D277">IF(B277="", "", _xlfn.TEXTJOIN(", ", TRUE, IF('CLIENT DATA'!$A$2:$A$205=B277, 'CLIENT DATA'!$C$2:$F$205, "")))</f>
        <v/>
      </c>
      <c r="E277" s="52" t="n"/>
      <c r="F277" s="52" t="n"/>
      <c r="G277" s="52" t="n"/>
      <c r="H277" s="52" t="n"/>
      <c r="I277" s="52" t="n"/>
      <c r="J277" s="59" t="n"/>
      <c r="K277" s="59" t="n"/>
      <c r="L277" s="59" t="n"/>
      <c r="M277" s="59" t="n"/>
      <c r="N277" s="59" t="n"/>
      <c r="O277" s="297" t="n"/>
      <c r="P277" s="297" t="n"/>
      <c r="Q277" s="297" t="n"/>
      <c r="R277" s="297" t="n"/>
      <c r="S277" s="297" t="n"/>
      <c r="T277" s="297" t="n"/>
      <c r="U277" s="297" t="n"/>
    </row>
    <row r="278" customFormat="1" s="106">
      <c r="A278" s="194" t="n"/>
      <c r="B278" s="298" t="n"/>
      <c r="C278" s="107">
        <f>IF(B278="", "", VLOOKUP(B278, 'CLIENT DATA'!A:S, 19, FALSE))</f>
        <v/>
      </c>
      <c r="D278" s="107">
        <f t="array" ref="D278">IF(B278="", "", _xlfn.TEXTJOIN(", ", TRUE, IF('CLIENT DATA'!$A$2:$A$205=B278, 'CLIENT DATA'!$C$2:$F$205, "")))</f>
        <v/>
      </c>
      <c r="E278" s="52" t="n"/>
      <c r="F278" s="52" t="n"/>
      <c r="G278" s="52" t="n"/>
      <c r="H278" s="52" t="n"/>
      <c r="I278" s="52" t="n"/>
      <c r="J278" s="59" t="n"/>
      <c r="K278" s="59" t="n"/>
      <c r="L278" s="59" t="n"/>
      <c r="M278" s="59" t="n"/>
      <c r="N278" s="59" t="n"/>
      <c r="O278" s="297" t="n"/>
      <c r="P278" s="297" t="n"/>
      <c r="Q278" s="297" t="n"/>
      <c r="R278" s="297" t="n"/>
      <c r="S278" s="297" t="n"/>
      <c r="T278" s="297" t="n"/>
      <c r="U278" s="297" t="n"/>
    </row>
    <row r="279" customFormat="1" s="106">
      <c r="A279" s="194" t="n"/>
      <c r="B279" s="298" t="n"/>
      <c r="C279" s="107">
        <f>IF(B279="", "", VLOOKUP(B279, 'CLIENT DATA'!A:S, 19, FALSE))</f>
        <v/>
      </c>
      <c r="D279" s="107">
        <f t="array" ref="D279">IF(B279="", "", _xlfn.TEXTJOIN(", ", TRUE, IF('CLIENT DATA'!$A$2:$A$205=B279, 'CLIENT DATA'!$C$2:$F$205, "")))</f>
        <v/>
      </c>
      <c r="E279" s="52" t="n"/>
      <c r="F279" s="52" t="n"/>
      <c r="G279" s="52" t="n"/>
      <c r="H279" s="52" t="n"/>
      <c r="I279" s="52" t="n"/>
      <c r="J279" s="59" t="n"/>
      <c r="K279" s="59" t="n"/>
      <c r="L279" s="59" t="n"/>
      <c r="M279" s="59" t="n"/>
      <c r="N279" s="59" t="n"/>
      <c r="O279" s="297" t="n"/>
      <c r="P279" s="297" t="n"/>
      <c r="Q279" s="297" t="n"/>
      <c r="R279" s="297" t="n"/>
      <c r="S279" s="297" t="n"/>
      <c r="T279" s="297" t="n"/>
      <c r="U279" s="297" t="n"/>
    </row>
    <row r="280" customFormat="1" s="106">
      <c r="A280" s="174" t="n"/>
      <c r="B280" s="52" t="n"/>
      <c r="C280" s="107">
        <f>IF(B280="", "", VLOOKUP(B280, 'CLIENT DATA'!A:S, 19, FALSE))</f>
        <v/>
      </c>
      <c r="D280" s="107">
        <f t="array" ref="D280">IF(B280="", "", _xlfn.TEXTJOIN(", ", TRUE, IF('CLIENT DATA'!$A$2:$A$205=B280, 'CLIENT DATA'!$C$2:$F$205, "")))</f>
        <v/>
      </c>
      <c r="E280" s="52" t="n"/>
      <c r="F280" s="52" t="n"/>
      <c r="G280" s="52" t="n"/>
      <c r="H280" s="52" t="n"/>
      <c r="I280" s="52" t="n"/>
      <c r="J280" s="59" t="n"/>
      <c r="K280" s="59" t="n"/>
      <c r="L280" s="59" t="n"/>
      <c r="M280" s="59" t="n"/>
      <c r="N280" s="59" t="n"/>
      <c r="O280" s="297" t="n"/>
      <c r="P280" s="297" t="n"/>
      <c r="Q280" s="297" t="n"/>
      <c r="R280" s="297" t="n"/>
      <c r="S280" s="297" t="n"/>
      <c r="T280" s="297" t="n"/>
      <c r="U280" s="297" t="n"/>
    </row>
    <row r="281" customFormat="1" s="106">
      <c r="A281" s="174" t="n"/>
      <c r="B281" s="52" t="n"/>
      <c r="C281" s="107">
        <f>IF(B281="", "", VLOOKUP(B281, 'CLIENT DATA'!A:S, 19, FALSE))</f>
        <v/>
      </c>
      <c r="D281" s="107">
        <f t="array" ref="D281">IF(B281="", "", _xlfn.TEXTJOIN(", ", TRUE, IF('CLIENT DATA'!$A$2:$A$205=B281, 'CLIENT DATA'!$C$2:$F$205, "")))</f>
        <v/>
      </c>
      <c r="E281" s="52" t="n"/>
      <c r="F281" s="52" t="n"/>
      <c r="G281" s="52" t="n"/>
      <c r="H281" s="52" t="n"/>
      <c r="I281" s="52" t="n"/>
      <c r="J281" s="59" t="n"/>
      <c r="K281" s="59" t="n"/>
      <c r="L281" s="59" t="n"/>
      <c r="M281" s="59" t="n"/>
      <c r="N281" s="59" t="n"/>
      <c r="O281" s="297" t="n"/>
      <c r="P281" s="297" t="n"/>
      <c r="Q281" s="297" t="n"/>
      <c r="R281" s="297" t="n"/>
      <c r="S281" s="297" t="n"/>
      <c r="T281" s="297" t="n"/>
      <c r="U281" s="297" t="n"/>
    </row>
    <row r="282" customFormat="1" s="106">
      <c r="A282" s="174" t="n"/>
      <c r="B282" s="52" t="n"/>
      <c r="C282" s="107">
        <f>IF(B282="", "", VLOOKUP(B282, 'CLIENT DATA'!A:S, 19, FALSE))</f>
        <v/>
      </c>
      <c r="D282" s="107">
        <f t="array" ref="D282">IF(B282="", "", _xlfn.TEXTJOIN(", ", TRUE, IF('CLIENT DATA'!$A$2:$A$205=B282, 'CLIENT DATA'!$C$2:$F$205, "")))</f>
        <v/>
      </c>
      <c r="E282" s="52" t="n"/>
      <c r="F282" s="52" t="n"/>
      <c r="G282" s="52" t="n"/>
      <c r="H282" s="52" t="n"/>
      <c r="I282" s="52" t="n"/>
      <c r="J282" s="59" t="n"/>
      <c r="K282" s="59" t="n"/>
      <c r="L282" s="59" t="n"/>
      <c r="M282" s="59" t="n"/>
      <c r="N282" s="59" t="n"/>
      <c r="O282" s="297" t="n"/>
      <c r="P282" s="297" t="n"/>
      <c r="Q282" s="297" t="n"/>
      <c r="R282" s="297" t="n"/>
      <c r="S282" s="297" t="n"/>
      <c r="T282" s="297" t="n"/>
      <c r="U282" s="297" t="n"/>
    </row>
    <row r="283" customFormat="1" s="106">
      <c r="A283" s="174" t="n"/>
      <c r="B283" s="52" t="n"/>
      <c r="C283" s="107">
        <f>IF(B283="", "", VLOOKUP(B283, 'CLIENT DATA'!A:S, 19, FALSE))</f>
        <v/>
      </c>
      <c r="D283" s="107">
        <f t="array" ref="D283">IF(B283="", "", _xlfn.TEXTJOIN(", ", TRUE, IF('CLIENT DATA'!$A$2:$A$205=B283, 'CLIENT DATA'!$C$2:$F$205, "")))</f>
        <v/>
      </c>
      <c r="E283" s="52" t="n"/>
      <c r="F283" s="52" t="n"/>
      <c r="G283" s="52" t="n"/>
      <c r="H283" s="52" t="n"/>
      <c r="I283" s="52" t="n"/>
      <c r="J283" s="59" t="n"/>
      <c r="K283" s="59" t="n"/>
      <c r="L283" s="59" t="n"/>
      <c r="M283" s="59" t="n"/>
      <c r="N283" s="59" t="n"/>
      <c r="O283" s="297" t="n"/>
      <c r="P283" s="297" t="n"/>
      <c r="Q283" s="297" t="n"/>
      <c r="R283" s="297" t="n"/>
      <c r="S283" s="297" t="n"/>
      <c r="T283" s="297" t="n"/>
      <c r="U283" s="297" t="n"/>
    </row>
    <row r="284" customFormat="1" s="106">
      <c r="A284" s="174" t="n"/>
      <c r="B284" s="52" t="n"/>
      <c r="C284" s="107">
        <f>IF(B284="", "", VLOOKUP(B284, 'CLIENT DATA'!A:S, 19, FALSE))</f>
        <v/>
      </c>
      <c r="D284" s="107">
        <f t="array" ref="D284">IF(B284="", "", _xlfn.TEXTJOIN(", ", TRUE, IF('CLIENT DATA'!$A$2:$A$205=B284, 'CLIENT DATA'!$C$2:$F$205, "")))</f>
        <v/>
      </c>
      <c r="E284" s="52" t="n"/>
      <c r="F284" s="52" t="n"/>
      <c r="G284" s="52" t="n"/>
      <c r="H284" s="52" t="n"/>
      <c r="I284" s="52" t="n"/>
      <c r="J284" s="59" t="n"/>
      <c r="K284" s="59" t="n"/>
      <c r="L284" s="59" t="n"/>
      <c r="M284" s="59" t="n"/>
      <c r="N284" s="59" t="n"/>
      <c r="O284" s="297" t="n"/>
      <c r="P284" s="297" t="n"/>
      <c r="Q284" s="297" t="n"/>
      <c r="R284" s="297" t="n"/>
      <c r="S284" s="297" t="n"/>
      <c r="T284" s="297" t="n"/>
      <c r="U284" s="297" t="n"/>
    </row>
    <row r="285" customFormat="1" s="106">
      <c r="A285" s="174" t="n"/>
      <c r="B285" s="52" t="n"/>
      <c r="C285" s="107">
        <f>IF(B285="", "", VLOOKUP(B285, 'CLIENT DATA'!A:S, 19, FALSE))</f>
        <v/>
      </c>
      <c r="D285" s="107">
        <f t="array" ref="D285">IF(B285="", "", _xlfn.TEXTJOIN(", ", TRUE, IF('CLIENT DATA'!$A$2:$A$205=B285, 'CLIENT DATA'!$C$2:$F$205, "")))</f>
        <v/>
      </c>
      <c r="E285" s="52" t="n"/>
      <c r="F285" s="52" t="n"/>
      <c r="G285" s="52" t="n"/>
      <c r="H285" s="52" t="n"/>
      <c r="I285" s="52" t="n"/>
      <c r="J285" s="59" t="n"/>
      <c r="K285" s="59" t="n"/>
      <c r="L285" s="59" t="n"/>
      <c r="M285" s="59" t="n"/>
      <c r="N285" s="59" t="n"/>
      <c r="O285" s="297" t="n"/>
      <c r="P285" s="297" t="n"/>
      <c r="Q285" s="297" t="n"/>
      <c r="R285" s="297" t="n"/>
      <c r="S285" s="297" t="n"/>
      <c r="T285" s="297" t="n"/>
      <c r="U285" s="297" t="n"/>
    </row>
    <row r="286" customFormat="1" s="106">
      <c r="A286" s="174" t="n"/>
      <c r="B286" s="52" t="n"/>
      <c r="C286" s="107">
        <f>IF(B286="", "", VLOOKUP(B286, 'CLIENT DATA'!A:S, 19, FALSE))</f>
        <v/>
      </c>
      <c r="D286" s="107">
        <f t="array" ref="D286">IF(B286="", "", _xlfn.TEXTJOIN(", ", TRUE, IF('CLIENT DATA'!$A$2:$A$205=B286, 'CLIENT DATA'!$C$2:$F$205, "")))</f>
        <v/>
      </c>
      <c r="E286" s="52" t="n"/>
      <c r="F286" s="52" t="n"/>
      <c r="G286" s="52" t="n"/>
      <c r="H286" s="52" t="n"/>
      <c r="I286" s="52" t="n"/>
      <c r="J286" s="59" t="n"/>
      <c r="K286" s="59" t="n"/>
      <c r="L286" s="59" t="n"/>
      <c r="M286" s="59" t="n"/>
      <c r="N286" s="59" t="n"/>
      <c r="O286" s="297" t="n"/>
      <c r="P286" s="297" t="n"/>
      <c r="Q286" s="297" t="n"/>
      <c r="R286" s="297" t="n"/>
      <c r="S286" s="297" t="n"/>
      <c r="T286" s="297" t="n"/>
      <c r="U286" s="297" t="n"/>
    </row>
    <row r="287" customFormat="1" s="106">
      <c r="A287" s="174" t="n"/>
      <c r="B287" s="52" t="n"/>
      <c r="C287" s="107">
        <f>IF(B287="", "", VLOOKUP(B287, 'CLIENT DATA'!A:S, 19, FALSE))</f>
        <v/>
      </c>
      <c r="D287" s="107">
        <f t="array" ref="D287">IF(B287="", "", _xlfn.TEXTJOIN(", ", TRUE, IF('CLIENT DATA'!$A$2:$A$205=B287, 'CLIENT DATA'!$C$2:$F$205, "")))</f>
        <v/>
      </c>
      <c r="E287" s="52" t="n"/>
      <c r="F287" s="52" t="n"/>
      <c r="G287" s="52" t="n"/>
      <c r="H287" s="52" t="n"/>
      <c r="I287" s="52" t="n"/>
      <c r="J287" s="59" t="n"/>
      <c r="K287" s="59" t="n"/>
      <c r="L287" s="59" t="n"/>
      <c r="M287" s="59" t="n"/>
      <c r="N287" s="59" t="n"/>
      <c r="O287" s="297" t="n"/>
      <c r="P287" s="297" t="n"/>
      <c r="Q287" s="297" t="n"/>
      <c r="R287" s="297" t="n"/>
      <c r="S287" s="297" t="n"/>
      <c r="T287" s="297" t="n"/>
      <c r="U287" s="297" t="n"/>
    </row>
    <row r="288" customFormat="1" s="106">
      <c r="A288" s="174" t="n"/>
      <c r="B288" s="298" t="n"/>
      <c r="C288" s="107">
        <f>IF(B288="", "", VLOOKUP(B288, 'CLIENT DATA'!A:S, 19, FALSE))</f>
        <v/>
      </c>
      <c r="D288" s="107">
        <f t="array" ref="D288">IF(B288="", "", _xlfn.TEXTJOIN(", ", TRUE, IF('CLIENT DATA'!$A$2:$A$205=B288, 'CLIENT DATA'!$C$2:$F$205, "")))</f>
        <v/>
      </c>
      <c r="E288" s="52" t="n"/>
      <c r="F288" s="52" t="n"/>
      <c r="G288" s="52" t="n"/>
      <c r="H288" s="52" t="n"/>
      <c r="I288" s="52" t="n"/>
      <c r="J288" s="59" t="n"/>
      <c r="K288" s="59" t="n"/>
      <c r="L288" s="59" t="n"/>
      <c r="M288" s="59" t="n"/>
      <c r="N288" s="59" t="n"/>
      <c r="O288" s="297" t="n"/>
      <c r="P288" s="297" t="n"/>
      <c r="Q288" s="297" t="n"/>
      <c r="R288" s="297" t="n"/>
      <c r="S288" s="297" t="n"/>
      <c r="T288" s="297" t="n"/>
      <c r="U288" s="297" t="n"/>
    </row>
    <row r="289" customFormat="1" s="106">
      <c r="A289" s="174" t="n"/>
      <c r="B289" s="298" t="n"/>
      <c r="C289" s="107">
        <f>IF(B289="", "", VLOOKUP(B289, 'CLIENT DATA'!A:S, 19, FALSE))</f>
        <v/>
      </c>
      <c r="D289" s="107">
        <f t="array" ref="D289">IF(B289="", "", _xlfn.TEXTJOIN(", ", TRUE, IF('CLIENT DATA'!$A$2:$A$205=B289, 'CLIENT DATA'!$C$2:$F$205, "")))</f>
        <v/>
      </c>
      <c r="E289" s="52" t="n"/>
      <c r="F289" s="52" t="n"/>
      <c r="G289" s="52" t="n"/>
      <c r="H289" s="52" t="n"/>
      <c r="I289" s="52" t="n"/>
      <c r="J289" s="59" t="n"/>
      <c r="K289" s="59" t="n"/>
      <c r="L289" s="59" t="n"/>
      <c r="M289" s="59" t="n"/>
      <c r="N289" s="59" t="n"/>
      <c r="O289" s="297" t="n"/>
      <c r="P289" s="297" t="n"/>
      <c r="Q289" s="297" t="n"/>
      <c r="R289" s="297" t="n"/>
      <c r="S289" s="297" t="n"/>
      <c r="T289" s="297" t="n"/>
      <c r="U289" s="297" t="n"/>
    </row>
    <row r="290" customFormat="1" s="106">
      <c r="A290" s="174" t="n"/>
      <c r="B290" s="298" t="n"/>
      <c r="C290" s="107">
        <f>IF(B290="", "", VLOOKUP(B290, 'CLIENT DATA'!A:S, 19, FALSE))</f>
        <v/>
      </c>
      <c r="D290" s="107">
        <f t="array" ref="D290">IF(B290="", "", _xlfn.TEXTJOIN(", ", TRUE, IF('CLIENT DATA'!$A$2:$A$205=B290, 'CLIENT DATA'!$C$2:$F$205, "")))</f>
        <v/>
      </c>
      <c r="E290" s="52" t="n"/>
      <c r="F290" s="52" t="n"/>
      <c r="G290" s="52" t="n"/>
      <c r="H290" s="52" t="n"/>
      <c r="I290" s="52" t="n"/>
      <c r="J290" s="59" t="n"/>
      <c r="K290" s="59" t="n"/>
      <c r="L290" s="59" t="n"/>
      <c r="M290" s="59" t="n"/>
      <c r="N290" s="59" t="n"/>
      <c r="O290" s="297" t="n"/>
      <c r="P290" s="297" t="n"/>
      <c r="Q290" s="297" t="n"/>
      <c r="R290" s="297" t="n"/>
      <c r="S290" s="297" t="n"/>
      <c r="T290" s="297" t="n"/>
      <c r="U290" s="297" t="n"/>
    </row>
    <row r="291" customFormat="1" s="106">
      <c r="A291" s="174" t="n"/>
      <c r="B291" s="298" t="n"/>
      <c r="C291" s="107">
        <f>IF(B291="", "", VLOOKUP(B291, 'CLIENT DATA'!A:S, 19, FALSE))</f>
        <v/>
      </c>
      <c r="D291" s="107">
        <f t="array" ref="D291">IF(B291="", "", _xlfn.TEXTJOIN(", ", TRUE, IF('CLIENT DATA'!$A$2:$A$205=B291, 'CLIENT DATA'!$C$2:$F$205, "")))</f>
        <v/>
      </c>
      <c r="E291" s="52" t="n"/>
      <c r="F291" s="52" t="n"/>
      <c r="G291" s="52" t="n"/>
      <c r="H291" s="52" t="n"/>
      <c r="I291" s="52" t="n"/>
      <c r="J291" s="59" t="n"/>
      <c r="K291" s="59" t="n"/>
      <c r="L291" s="59" t="n"/>
      <c r="M291" s="59" t="n"/>
      <c r="N291" s="59" t="n"/>
      <c r="O291" s="297" t="n"/>
      <c r="P291" s="297" t="n"/>
      <c r="Q291" s="297" t="n"/>
      <c r="R291" s="297" t="n"/>
      <c r="S291" s="297" t="n"/>
      <c r="T291" s="297" t="n"/>
      <c r="U291" s="297" t="n"/>
    </row>
    <row r="292" customFormat="1" s="106">
      <c r="A292" s="174" t="n"/>
      <c r="B292" s="298" t="n"/>
      <c r="C292" s="107">
        <f>IF(B292="", "", VLOOKUP(B292, 'CLIENT DATA'!A:S, 19, FALSE))</f>
        <v/>
      </c>
      <c r="D292" s="107">
        <f t="array" ref="D292">IF(B292="", "", _xlfn.TEXTJOIN(", ", TRUE, IF('CLIENT DATA'!$A$2:$A$205=B292, 'CLIENT DATA'!$C$2:$F$205, "")))</f>
        <v/>
      </c>
      <c r="E292" s="52" t="n"/>
      <c r="F292" s="52" t="n"/>
      <c r="G292" s="52" t="n"/>
      <c r="H292" s="52" t="n"/>
      <c r="I292" s="52" t="n"/>
      <c r="J292" s="59" t="n"/>
      <c r="K292" s="59" t="n"/>
      <c r="L292" s="59" t="n"/>
      <c r="M292" s="59" t="n"/>
      <c r="N292" s="59" t="n"/>
      <c r="O292" s="297" t="n"/>
      <c r="P292" s="297" t="n"/>
      <c r="Q292" s="297" t="n"/>
      <c r="R292" s="297" t="n"/>
      <c r="S292" s="297" t="n"/>
      <c r="T292" s="297" t="n"/>
      <c r="U292" s="297" t="n"/>
    </row>
    <row r="293" customFormat="1" s="106">
      <c r="A293" s="174" t="n"/>
      <c r="B293" s="298" t="n"/>
      <c r="C293" s="107">
        <f>IF(B293="", "", VLOOKUP(B293, 'CLIENT DATA'!A:S, 19, FALSE))</f>
        <v/>
      </c>
      <c r="D293" s="107">
        <f t="array" ref="D293">IF(B293="", "", _xlfn.TEXTJOIN(", ", TRUE, IF('CLIENT DATA'!$A$2:$A$205=B293, 'CLIENT DATA'!$C$2:$F$205, "")))</f>
        <v/>
      </c>
      <c r="E293" s="52" t="n"/>
      <c r="F293" s="52" t="n"/>
      <c r="G293" s="52" t="n"/>
      <c r="H293" s="52" t="n"/>
      <c r="I293" s="52" t="n"/>
      <c r="J293" s="59" t="n"/>
      <c r="K293" s="59" t="n"/>
      <c r="L293" s="59" t="n"/>
      <c r="M293" s="59" t="n"/>
      <c r="N293" s="59" t="n"/>
      <c r="O293" s="297" t="n"/>
      <c r="P293" s="297" t="n"/>
      <c r="Q293" s="297" t="n"/>
      <c r="R293" s="297" t="n"/>
      <c r="S293" s="297" t="n"/>
      <c r="T293" s="297" t="n"/>
      <c r="U293" s="297" t="n"/>
    </row>
    <row r="294" customFormat="1" s="106">
      <c r="A294" s="174" t="n"/>
      <c r="B294" s="298" t="n"/>
      <c r="C294" s="107">
        <f>IF(B294="", "", VLOOKUP(B294, 'CLIENT DATA'!A:S, 19, FALSE))</f>
        <v/>
      </c>
      <c r="D294" s="107">
        <f t="array" ref="D294">IF(B294="", "", _xlfn.TEXTJOIN(", ", TRUE, IF('CLIENT DATA'!$A$2:$A$205=B294, 'CLIENT DATA'!$C$2:$F$205, "")))</f>
        <v/>
      </c>
      <c r="E294" s="52" t="n"/>
      <c r="F294" s="52" t="n"/>
      <c r="G294" s="52" t="n"/>
      <c r="H294" s="52" t="n"/>
      <c r="I294" s="52" t="n"/>
      <c r="J294" s="59" t="n"/>
      <c r="K294" s="59" t="n"/>
      <c r="L294" s="59" t="n"/>
      <c r="M294" s="59" t="n"/>
      <c r="N294" s="59" t="n"/>
      <c r="O294" s="297" t="n"/>
      <c r="P294" s="297" t="n"/>
      <c r="Q294" s="297" t="n"/>
      <c r="R294" s="297" t="n"/>
      <c r="S294" s="297" t="n"/>
      <c r="T294" s="297" t="n"/>
      <c r="U294" s="297" t="n"/>
    </row>
    <row r="295" customFormat="1" s="106">
      <c r="A295" s="174" t="n"/>
      <c r="B295" s="298" t="n"/>
      <c r="C295" s="107">
        <f>IF(B295="", "", VLOOKUP(B295, 'CLIENT DATA'!A:S, 19, FALSE))</f>
        <v/>
      </c>
      <c r="D295" s="107">
        <f t="array" ref="D295">IF(B295="", "", _xlfn.TEXTJOIN(", ", TRUE, IF('CLIENT DATA'!$A$2:$A$205=B295, 'CLIENT DATA'!$C$2:$F$205, "")))</f>
        <v/>
      </c>
      <c r="E295" s="52" t="n"/>
      <c r="F295" s="52" t="n"/>
      <c r="G295" s="52" t="n"/>
      <c r="H295" s="52" t="n"/>
      <c r="I295" s="52" t="n"/>
      <c r="J295" s="59" t="n"/>
      <c r="K295" s="59" t="n"/>
      <c r="L295" s="59" t="n"/>
      <c r="M295" s="59" t="n"/>
      <c r="N295" s="59" t="n"/>
      <c r="O295" s="297" t="n"/>
      <c r="P295" s="297" t="n"/>
      <c r="Q295" s="297" t="n"/>
      <c r="R295" s="297" t="n"/>
      <c r="S295" s="297" t="n"/>
      <c r="T295" s="297" t="n"/>
      <c r="U295" s="297" t="n"/>
    </row>
    <row r="296" customFormat="1" s="106">
      <c r="A296" s="174" t="n"/>
      <c r="B296" s="298" t="n"/>
      <c r="C296" s="107">
        <f>IF(B296="", "", VLOOKUP(B296, 'CLIENT DATA'!A:S, 19, FALSE))</f>
        <v/>
      </c>
      <c r="D296" s="107">
        <f t="array" ref="D296">IF(B296="", "", _xlfn.TEXTJOIN(", ", TRUE, IF('CLIENT DATA'!$A$2:$A$205=B296, 'CLIENT DATA'!$C$2:$F$205, "")))</f>
        <v/>
      </c>
      <c r="E296" s="52" t="n"/>
      <c r="F296" s="52" t="n"/>
      <c r="G296" s="52" t="n"/>
      <c r="H296" s="52" t="n"/>
      <c r="I296" s="52" t="n"/>
      <c r="J296" s="59" t="n"/>
      <c r="K296" s="59" t="n"/>
      <c r="L296" s="59" t="n"/>
      <c r="M296" s="59" t="n"/>
      <c r="N296" s="59" t="n"/>
      <c r="O296" s="297" t="n"/>
      <c r="P296" s="297" t="n"/>
      <c r="Q296" s="297" t="n"/>
      <c r="R296" s="297" t="n"/>
      <c r="S296" s="297" t="n"/>
      <c r="T296" s="297" t="n"/>
      <c r="U296" s="297" t="n"/>
    </row>
    <row r="297" customFormat="1" s="106">
      <c r="A297" s="174" t="n"/>
      <c r="B297" s="298" t="n"/>
      <c r="C297" s="107">
        <f>IF(B297="", "", VLOOKUP(B297, 'CLIENT DATA'!A:S, 19, FALSE))</f>
        <v/>
      </c>
      <c r="D297" s="107">
        <f t="array" ref="D297">IF(B297="", "", _xlfn.TEXTJOIN(", ", TRUE, IF('CLIENT DATA'!$A$2:$A$205=B297, 'CLIENT DATA'!$C$2:$F$205, "")))</f>
        <v/>
      </c>
      <c r="E297" s="52" t="n"/>
      <c r="F297" s="52" t="n"/>
      <c r="G297" s="52" t="n"/>
      <c r="H297" s="52" t="n"/>
      <c r="I297" s="52" t="n"/>
      <c r="J297" s="59" t="n"/>
      <c r="K297" s="59" t="n"/>
      <c r="L297" s="59" t="n"/>
      <c r="M297" s="59" t="n"/>
      <c r="N297" s="59" t="n"/>
      <c r="O297" s="297" t="n"/>
      <c r="P297" s="297" t="n"/>
      <c r="Q297" s="297" t="n"/>
      <c r="R297" s="297" t="n"/>
      <c r="S297" s="297" t="n"/>
      <c r="T297" s="297" t="n"/>
      <c r="U297" s="297" t="n"/>
    </row>
    <row r="298" customFormat="1" s="106">
      <c r="A298" s="174" t="n"/>
      <c r="B298" s="298" t="n"/>
      <c r="C298" s="107">
        <f>IF(B298="", "", VLOOKUP(B298, 'CLIENT DATA'!A:S, 19, FALSE))</f>
        <v/>
      </c>
      <c r="D298" s="107">
        <f t="array" ref="D298">IF(B298="", "", _xlfn.TEXTJOIN(", ", TRUE, IF('CLIENT DATA'!$A$2:$A$205=B298, 'CLIENT DATA'!$C$2:$F$205, "")))</f>
        <v/>
      </c>
      <c r="E298" s="52" t="n"/>
      <c r="F298" s="52" t="n"/>
      <c r="G298" s="52" t="n"/>
      <c r="H298" s="52" t="n"/>
      <c r="I298" s="52" t="n"/>
      <c r="J298" s="59" t="n"/>
      <c r="K298" s="59" t="n"/>
      <c r="L298" s="59" t="n"/>
      <c r="M298" s="59" t="n"/>
      <c r="N298" s="59" t="n"/>
      <c r="O298" s="297" t="n"/>
      <c r="P298" s="297" t="n"/>
      <c r="Q298" s="297" t="n"/>
      <c r="R298" s="297" t="n"/>
      <c r="S298" s="297" t="n"/>
      <c r="T298" s="297" t="n"/>
      <c r="U298" s="297" t="n"/>
    </row>
    <row r="299" customFormat="1" s="106">
      <c r="A299" s="174" t="n"/>
      <c r="B299" s="298" t="n"/>
      <c r="C299" s="107">
        <f>IF(B299="", "", VLOOKUP(B299, 'CLIENT DATA'!A:S, 19, FALSE))</f>
        <v/>
      </c>
      <c r="D299" s="107">
        <f t="array" ref="D299">IF(B299="", "", _xlfn.TEXTJOIN(", ", TRUE, IF('CLIENT DATA'!$A$2:$A$205=B299, 'CLIENT DATA'!$C$2:$F$205, "")))</f>
        <v/>
      </c>
      <c r="E299" s="52" t="n"/>
      <c r="F299" s="52" t="n"/>
      <c r="G299" s="52" t="n"/>
      <c r="H299" s="52" t="n"/>
      <c r="I299" s="52" t="n"/>
      <c r="J299" s="59" t="n"/>
      <c r="K299" s="59" t="n"/>
      <c r="L299" s="59" t="n"/>
      <c r="M299" s="59" t="n"/>
      <c r="N299" s="59" t="n"/>
      <c r="O299" s="297" t="n"/>
      <c r="P299" s="297" t="n"/>
      <c r="Q299" s="297" t="n"/>
      <c r="R299" s="297" t="n"/>
      <c r="S299" s="297" t="n"/>
      <c r="T299" s="297" t="n"/>
      <c r="U299" s="297" t="n"/>
    </row>
    <row r="300" customFormat="1" s="106">
      <c r="A300" s="174" t="n"/>
      <c r="B300" s="298" t="n"/>
      <c r="C300" s="107">
        <f>IF(B300="", "", VLOOKUP(B300, 'CLIENT DATA'!A:S, 19, FALSE))</f>
        <v/>
      </c>
      <c r="D300" s="107">
        <f t="array" ref="D300">IF(B300="", "", _xlfn.TEXTJOIN(", ", TRUE, IF('CLIENT DATA'!$A$2:$A$205=B300, 'CLIENT DATA'!$C$2:$F$205, "")))</f>
        <v/>
      </c>
      <c r="E300" s="52" t="n"/>
      <c r="F300" s="52" t="n"/>
      <c r="G300" s="52" t="n"/>
      <c r="H300" s="52" t="n"/>
      <c r="I300" s="52" t="n"/>
      <c r="J300" s="59" t="n"/>
      <c r="K300" s="59" t="n"/>
      <c r="L300" s="59" t="n"/>
      <c r="M300" s="59" t="n"/>
      <c r="N300" s="59" t="n"/>
      <c r="O300" s="297" t="n"/>
      <c r="P300" s="297" t="n"/>
      <c r="Q300" s="297" t="n"/>
      <c r="R300" s="297" t="n"/>
      <c r="S300" s="297" t="n"/>
      <c r="T300" s="297" t="n"/>
      <c r="U300" s="297" t="n"/>
    </row>
    <row r="301" customFormat="1" s="106">
      <c r="A301" s="174" t="n"/>
      <c r="B301" s="52" t="n"/>
      <c r="C301" s="107">
        <f>IF(B301="", "", VLOOKUP(B301, 'CLIENT DATA'!A:S, 19, FALSE))</f>
        <v/>
      </c>
      <c r="D301" s="107">
        <f t="array" ref="D301">IF(B301="", "", _xlfn.TEXTJOIN(", ", TRUE, IF('CLIENT DATA'!$A$2:$A$205=B301, 'CLIENT DATA'!$C$2:$F$205, "")))</f>
        <v/>
      </c>
      <c r="E301" s="52" t="n"/>
      <c r="F301" s="52" t="n"/>
      <c r="G301" s="52" t="n"/>
      <c r="H301" s="52" t="n"/>
      <c r="I301" s="52" t="n"/>
      <c r="J301" s="59" t="n"/>
      <c r="K301" s="59" t="n"/>
      <c r="L301" s="59" t="n"/>
      <c r="M301" s="59" t="n"/>
      <c r="N301" s="59" t="n"/>
      <c r="O301" s="297" t="n"/>
      <c r="P301" s="297" t="n"/>
      <c r="Q301" s="297" t="n"/>
      <c r="R301" s="297" t="n"/>
      <c r="S301" s="297" t="n"/>
      <c r="T301" s="297" t="n"/>
      <c r="U301" s="297" t="n"/>
    </row>
    <row r="302" customFormat="1" s="106">
      <c r="A302" s="174" t="n"/>
      <c r="B302" s="52" t="n"/>
      <c r="C302" s="107">
        <f>IF(B302="", "", VLOOKUP(B302, 'CLIENT DATA'!A:S, 19, FALSE))</f>
        <v/>
      </c>
      <c r="D302" s="107">
        <f t="array" ref="D302">IF(B302="", "", _xlfn.TEXTJOIN(", ", TRUE, IF('CLIENT DATA'!$A$2:$A$205=B302, 'CLIENT DATA'!$C$2:$F$205, "")))</f>
        <v/>
      </c>
      <c r="E302" s="52" t="n"/>
      <c r="F302" s="52" t="n"/>
      <c r="G302" s="52" t="n"/>
      <c r="H302" s="52" t="n"/>
      <c r="I302" s="52" t="n"/>
      <c r="J302" s="59" t="n"/>
      <c r="K302" s="59" t="n"/>
      <c r="L302" s="59" t="n"/>
      <c r="M302" s="59" t="n"/>
      <c r="N302" s="59" t="n"/>
      <c r="O302" s="297" t="n"/>
      <c r="P302" s="297" t="n"/>
      <c r="Q302" s="297" t="n"/>
      <c r="R302" s="297" t="n"/>
      <c r="S302" s="297" t="n"/>
      <c r="T302" s="297" t="n"/>
      <c r="U302" s="297" t="n"/>
    </row>
    <row r="303" customFormat="1" s="106">
      <c r="A303" s="174" t="n"/>
      <c r="B303" s="52" t="n"/>
      <c r="C303" s="107">
        <f>IF(B303="", "", VLOOKUP(B303, 'CLIENT DATA'!A:S, 19, FALSE))</f>
        <v/>
      </c>
      <c r="D303" s="107">
        <f t="array" ref="D303">IF(B303="", "", _xlfn.TEXTJOIN(", ", TRUE, IF('CLIENT DATA'!$A$2:$A$205=B303, 'CLIENT DATA'!$C$2:$F$205, "")))</f>
        <v/>
      </c>
      <c r="E303" s="52" t="n"/>
      <c r="F303" s="52" t="n"/>
      <c r="G303" s="52" t="n"/>
      <c r="H303" s="52" t="n"/>
      <c r="I303" s="52" t="n"/>
      <c r="J303" s="59" t="n"/>
      <c r="K303" s="59" t="n"/>
      <c r="L303" s="59" t="n"/>
      <c r="M303" s="59" t="n"/>
      <c r="N303" s="59" t="n"/>
      <c r="O303" s="297" t="n"/>
      <c r="P303" s="297" t="n"/>
      <c r="Q303" s="297" t="n"/>
      <c r="R303" s="297" t="n"/>
      <c r="S303" s="297" t="n"/>
      <c r="T303" s="297" t="n"/>
      <c r="U303" s="297" t="n"/>
    </row>
    <row r="304" customFormat="1" s="106">
      <c r="A304" s="174" t="n"/>
      <c r="B304" s="52" t="n"/>
      <c r="C304" s="107">
        <f>IF(B304="", "", VLOOKUP(B304, 'CLIENT DATA'!A:S, 19, FALSE))</f>
        <v/>
      </c>
      <c r="D304" s="107">
        <f t="array" ref="D304">IF(B304="", "", _xlfn.TEXTJOIN(", ", TRUE, IF('CLIENT DATA'!$A$2:$A$205=B304, 'CLIENT DATA'!$C$2:$F$205, "")))</f>
        <v/>
      </c>
      <c r="E304" s="52" t="n"/>
      <c r="F304" s="52" t="n"/>
      <c r="G304" s="52" t="n"/>
      <c r="H304" s="52" t="n"/>
      <c r="I304" s="52" t="n"/>
      <c r="J304" s="59" t="n"/>
      <c r="K304" s="59" t="n"/>
      <c r="L304" s="59" t="n"/>
      <c r="M304" s="59" t="n"/>
      <c r="N304" s="59" t="n"/>
      <c r="O304" s="297" t="n"/>
      <c r="P304" s="297" t="n"/>
      <c r="Q304" s="297" t="n"/>
      <c r="R304" s="297" t="n"/>
      <c r="S304" s="297" t="n"/>
      <c r="T304" s="297" t="n"/>
      <c r="U304" s="297" t="n"/>
    </row>
    <row r="305" customFormat="1" s="106">
      <c r="A305" s="174" t="n"/>
      <c r="B305" s="52" t="n"/>
      <c r="C305" s="107">
        <f>IF(B305="", "", VLOOKUP(B305, 'CLIENT DATA'!A:S, 19, FALSE))</f>
        <v/>
      </c>
      <c r="D305" s="107">
        <f t="array" ref="D305">IF(B305="", "", _xlfn.TEXTJOIN(", ", TRUE, IF('CLIENT DATA'!$A$2:$A$205=B305, 'CLIENT DATA'!$C$2:$F$205, "")))</f>
        <v/>
      </c>
      <c r="E305" s="52" t="n"/>
      <c r="F305" s="52" t="n"/>
      <c r="G305" s="52" t="n"/>
      <c r="H305" s="52" t="n"/>
      <c r="I305" s="52" t="n"/>
      <c r="J305" s="59" t="n"/>
      <c r="K305" s="59" t="n"/>
      <c r="L305" s="59" t="n"/>
      <c r="M305" s="59" t="n"/>
      <c r="N305" s="59" t="n"/>
      <c r="O305" s="297" t="n"/>
      <c r="P305" s="297" t="n"/>
      <c r="Q305" s="297" t="n"/>
      <c r="R305" s="297" t="n"/>
      <c r="S305" s="297" t="n"/>
      <c r="T305" s="297" t="n"/>
      <c r="U305" s="297" t="n"/>
    </row>
    <row r="306" customFormat="1" s="106">
      <c r="A306" s="174" t="n"/>
      <c r="B306" s="52" t="n"/>
      <c r="C306" s="107">
        <f>IF(B306="", "", VLOOKUP(B306, 'CLIENT DATA'!A:S, 19, FALSE))</f>
        <v/>
      </c>
      <c r="D306" s="107">
        <f t="array" ref="D306">IF(B306="", "", _xlfn.TEXTJOIN(", ", TRUE, IF('CLIENT DATA'!$A$2:$A$205=B306, 'CLIENT DATA'!$C$2:$F$205, "")))</f>
        <v/>
      </c>
      <c r="E306" s="52" t="n"/>
      <c r="F306" s="52" t="n"/>
      <c r="G306" s="52" t="n"/>
      <c r="H306" s="52" t="n"/>
      <c r="I306" s="52" t="n"/>
      <c r="J306" s="59" t="n"/>
      <c r="K306" s="59" t="n"/>
      <c r="L306" s="59" t="n"/>
      <c r="M306" s="59" t="n"/>
      <c r="N306" s="59" t="n"/>
      <c r="O306" s="297" t="n"/>
      <c r="P306" s="297" t="n"/>
      <c r="Q306" s="297" t="n"/>
      <c r="R306" s="297" t="n"/>
      <c r="S306" s="297" t="n"/>
      <c r="T306" s="297" t="n"/>
      <c r="U306" s="297" t="n"/>
    </row>
    <row r="307" customFormat="1" s="106">
      <c r="A307" s="174" t="n"/>
      <c r="B307" s="52" t="n"/>
      <c r="C307" s="107">
        <f>IF(B307="", "", VLOOKUP(B307, 'CLIENT DATA'!A:S, 19, FALSE))</f>
        <v/>
      </c>
      <c r="D307" s="107">
        <f t="array" ref="D307">IF(B307="", "", _xlfn.TEXTJOIN(", ", TRUE, IF('CLIENT DATA'!$A$2:$A$205=B307, 'CLIENT DATA'!$C$2:$F$205, "")))</f>
        <v/>
      </c>
      <c r="E307" s="52" t="n"/>
      <c r="F307" s="52" t="n"/>
      <c r="G307" s="52" t="n"/>
      <c r="H307" s="52" t="n"/>
      <c r="I307" s="52" t="n"/>
      <c r="J307" s="59" t="n"/>
      <c r="K307" s="59" t="n"/>
      <c r="L307" s="59" t="n"/>
      <c r="M307" s="59" t="n"/>
      <c r="N307" s="59" t="n"/>
      <c r="O307" s="297" t="n"/>
      <c r="P307" s="297" t="n"/>
      <c r="Q307" s="297" t="n"/>
      <c r="R307" s="297" t="n"/>
      <c r="S307" s="297" t="n"/>
      <c r="T307" s="297" t="n"/>
      <c r="U307" s="297" t="n"/>
    </row>
    <row r="308" customFormat="1" s="106">
      <c r="A308" s="174" t="n"/>
      <c r="B308" s="52" t="n"/>
      <c r="C308" s="107">
        <f>IF(B308="", "", VLOOKUP(B308, 'CLIENT DATA'!A:S, 19, FALSE))</f>
        <v/>
      </c>
      <c r="D308" s="107">
        <f t="array" ref="D308">IF(B308="", "", _xlfn.TEXTJOIN(", ", TRUE, IF('CLIENT DATA'!$A$2:$A$205=B308, 'CLIENT DATA'!$C$2:$F$205, "")))</f>
        <v/>
      </c>
      <c r="E308" s="52" t="n"/>
      <c r="F308" s="52" t="n"/>
      <c r="G308" s="52" t="n"/>
      <c r="H308" s="52" t="n"/>
      <c r="I308" s="52" t="n"/>
      <c r="J308" s="59" t="n"/>
      <c r="K308" s="59" t="n"/>
      <c r="L308" s="59" t="n"/>
      <c r="M308" s="59" t="n"/>
      <c r="N308" s="59" t="n"/>
      <c r="O308" s="297" t="n"/>
      <c r="P308" s="297" t="n"/>
      <c r="Q308" s="297" t="n"/>
      <c r="R308" s="297" t="n"/>
      <c r="S308" s="297" t="n"/>
      <c r="T308" s="297" t="n"/>
      <c r="U308" s="297" t="n"/>
    </row>
    <row r="309" customFormat="1" s="106">
      <c r="A309" s="174" t="n"/>
      <c r="B309" s="298" t="n"/>
      <c r="C309" s="107">
        <f>IF(B309="", "", VLOOKUP(B309, 'CLIENT DATA'!A:S, 19, FALSE))</f>
        <v/>
      </c>
      <c r="D309" s="107">
        <f t="array" ref="D309">IF(B309="", "", _xlfn.TEXTJOIN(", ", TRUE, IF('CLIENT DATA'!$A$2:$A$205=B309, 'CLIENT DATA'!$C$2:$F$205, "")))</f>
        <v/>
      </c>
      <c r="E309" s="52" t="n"/>
      <c r="F309" s="52" t="n"/>
      <c r="G309" s="52" t="n"/>
      <c r="H309" s="52" t="n"/>
      <c r="I309" s="52" t="n"/>
      <c r="J309" s="59" t="n"/>
      <c r="K309" s="59" t="n"/>
      <c r="L309" s="59" t="n"/>
      <c r="M309" s="59" t="n"/>
      <c r="N309" s="59" t="n"/>
      <c r="O309" s="297" t="n"/>
      <c r="P309" s="297" t="n"/>
      <c r="Q309" s="297" t="n"/>
      <c r="R309" s="297" t="n"/>
      <c r="S309" s="297" t="n"/>
      <c r="T309" s="297" t="n"/>
      <c r="U309" s="297" t="n"/>
    </row>
    <row r="310" customFormat="1" s="106">
      <c r="A310" s="174" t="n"/>
      <c r="B310" s="298" t="n"/>
      <c r="C310" s="107">
        <f>IF(B310="", "", VLOOKUP(B310, 'CLIENT DATA'!A:S, 19, FALSE))</f>
        <v/>
      </c>
      <c r="D310" s="107">
        <f t="array" ref="D310">IF(B310="", "", _xlfn.TEXTJOIN(", ", TRUE, IF('CLIENT DATA'!$A$2:$A$205=B310, 'CLIENT DATA'!$C$2:$F$205, "")))</f>
        <v/>
      </c>
      <c r="E310" s="52" t="n"/>
      <c r="F310" s="52" t="n"/>
      <c r="G310" s="52" t="n"/>
      <c r="H310" s="52" t="n"/>
      <c r="I310" s="52" t="n"/>
      <c r="J310" s="59" t="n"/>
      <c r="K310" s="59" t="n"/>
      <c r="L310" s="59" t="n"/>
      <c r="M310" s="59" t="n"/>
      <c r="N310" s="59" t="n"/>
      <c r="O310" s="297" t="n"/>
      <c r="P310" s="297" t="n"/>
      <c r="Q310" s="297" t="n"/>
      <c r="R310" s="297" t="n"/>
      <c r="S310" s="297" t="n"/>
      <c r="T310" s="297" t="n"/>
      <c r="U310" s="297" t="n"/>
    </row>
    <row r="311" customFormat="1" s="106">
      <c r="A311" s="174" t="n"/>
      <c r="B311" s="298" t="n"/>
      <c r="C311" s="107">
        <f>IF(B311="", "", VLOOKUP(B311, 'CLIENT DATA'!A:S, 19, FALSE))</f>
        <v/>
      </c>
      <c r="D311" s="107">
        <f t="array" ref="D311">IF(B311="", "", _xlfn.TEXTJOIN(", ", TRUE, IF('CLIENT DATA'!$A$2:$A$205=B311, 'CLIENT DATA'!$C$2:$F$205, "")))</f>
        <v/>
      </c>
      <c r="E311" s="52" t="n"/>
      <c r="F311" s="52" t="n"/>
      <c r="G311" s="52" t="n"/>
      <c r="H311" s="52" t="n"/>
      <c r="I311" s="52" t="n"/>
      <c r="J311" s="59" t="n"/>
      <c r="K311" s="59" t="n"/>
      <c r="L311" s="59" t="n"/>
      <c r="M311" s="59" t="n"/>
      <c r="N311" s="59" t="n"/>
      <c r="O311" s="297" t="n"/>
      <c r="P311" s="297" t="n"/>
      <c r="Q311" s="297" t="n"/>
      <c r="R311" s="297" t="n"/>
      <c r="S311" s="297" t="n"/>
      <c r="T311" s="297" t="n"/>
      <c r="U311" s="297" t="n"/>
    </row>
    <row r="312" customFormat="1" s="106">
      <c r="A312" s="174" t="n"/>
      <c r="B312" s="298" t="n"/>
      <c r="C312" s="107">
        <f>IF(B312="", "", VLOOKUP(B312, 'CLIENT DATA'!A:S, 19, FALSE))</f>
        <v/>
      </c>
      <c r="D312" s="107">
        <f t="array" ref="D312">IF(B312="", "", _xlfn.TEXTJOIN(", ", TRUE, IF('CLIENT DATA'!$A$2:$A$205=B312, 'CLIENT DATA'!$C$2:$F$205, "")))</f>
        <v/>
      </c>
      <c r="E312" s="52" t="n"/>
      <c r="F312" s="52" t="n"/>
      <c r="G312" s="52" t="n"/>
      <c r="H312" s="52" t="n"/>
      <c r="I312" s="52" t="n"/>
      <c r="J312" s="59" t="n"/>
      <c r="K312" s="59" t="n"/>
      <c r="L312" s="59" t="n"/>
      <c r="M312" s="59" t="n"/>
      <c r="N312" s="59" t="n"/>
      <c r="O312" s="297" t="n"/>
      <c r="P312" s="297" t="n"/>
      <c r="Q312" s="297" t="n"/>
      <c r="R312" s="297" t="n"/>
      <c r="S312" s="297" t="n"/>
      <c r="T312" s="297" t="n"/>
      <c r="U312" s="297" t="n"/>
    </row>
    <row r="313" customFormat="1" s="106">
      <c r="A313" s="174" t="n"/>
      <c r="B313" s="298" t="n"/>
      <c r="C313" s="107">
        <f>IF(B313="", "", VLOOKUP(B313, 'CLIENT DATA'!A:S, 19, FALSE))</f>
        <v/>
      </c>
      <c r="D313" s="107">
        <f t="array" ref="D313">IF(B313="", "", _xlfn.TEXTJOIN(", ", TRUE, IF('CLIENT DATA'!$A$2:$A$205=B313, 'CLIENT DATA'!$C$2:$F$205, "")))</f>
        <v/>
      </c>
      <c r="E313" s="52" t="n"/>
      <c r="F313" s="52" t="n"/>
      <c r="G313" s="52" t="n"/>
      <c r="H313" s="52" t="n"/>
      <c r="I313" s="52" t="n"/>
      <c r="J313" s="59" t="n"/>
      <c r="K313" s="59" t="n"/>
      <c r="L313" s="59" t="n"/>
      <c r="M313" s="59" t="n"/>
      <c r="N313" s="59" t="n"/>
      <c r="O313" s="297" t="n"/>
      <c r="P313" s="297" t="n"/>
      <c r="Q313" s="297" t="n"/>
      <c r="R313" s="297" t="n"/>
      <c r="S313" s="297" t="n"/>
      <c r="T313" s="297" t="n"/>
      <c r="U313" s="297" t="n"/>
    </row>
    <row r="314" customFormat="1" s="106">
      <c r="A314" s="174" t="n"/>
      <c r="B314" s="298" t="n"/>
      <c r="C314" s="107">
        <f>IF(B314="", "", VLOOKUP(B314, 'CLIENT DATA'!A:S, 19, FALSE))</f>
        <v/>
      </c>
      <c r="D314" s="107">
        <f t="array" ref="D314">IF(B314="", "", _xlfn.TEXTJOIN(", ", TRUE, IF('CLIENT DATA'!$A$2:$A$205=B314, 'CLIENT DATA'!$C$2:$F$205, "")))</f>
        <v/>
      </c>
      <c r="E314" s="52" t="n"/>
      <c r="F314" s="52" t="n"/>
      <c r="G314" s="52" t="n"/>
      <c r="H314" s="52" t="n"/>
      <c r="I314" s="52" t="n"/>
      <c r="J314" s="59" t="n"/>
      <c r="K314" s="59" t="n"/>
      <c r="L314" s="59" t="n"/>
      <c r="M314" s="59" t="n"/>
      <c r="N314" s="59" t="n"/>
      <c r="O314" s="297" t="n"/>
      <c r="P314" s="297" t="n"/>
      <c r="Q314" s="297" t="n"/>
      <c r="R314" s="297" t="n"/>
      <c r="S314" s="297" t="n"/>
      <c r="T314" s="297" t="n"/>
      <c r="U314" s="297" t="n"/>
    </row>
    <row r="315" customFormat="1" s="106">
      <c r="A315" s="174" t="n"/>
      <c r="B315" s="298" t="n"/>
      <c r="C315" s="107">
        <f>IF(B315="", "", VLOOKUP(B315, 'CLIENT DATA'!A:S, 19, FALSE))</f>
        <v/>
      </c>
      <c r="D315" s="107">
        <f t="array" ref="D315">IF(B315="", "", _xlfn.TEXTJOIN(", ", TRUE, IF('CLIENT DATA'!$A$2:$A$205=B315, 'CLIENT DATA'!$C$2:$F$205, "")))</f>
        <v/>
      </c>
      <c r="E315" s="52" t="n"/>
      <c r="F315" s="52" t="n"/>
      <c r="G315" s="52" t="n"/>
      <c r="H315" s="52" t="n"/>
      <c r="I315" s="52" t="n"/>
      <c r="J315" s="59" t="n"/>
      <c r="K315" s="59" t="n"/>
      <c r="L315" s="59" t="n"/>
      <c r="M315" s="59" t="n"/>
      <c r="N315" s="59" t="n"/>
      <c r="O315" s="297" t="n"/>
      <c r="P315" s="297" t="n"/>
      <c r="Q315" s="297" t="n"/>
      <c r="R315" s="297" t="n"/>
      <c r="S315" s="297" t="n"/>
      <c r="T315" s="297" t="n"/>
      <c r="U315" s="297" t="n"/>
    </row>
    <row r="316" customFormat="1" s="106">
      <c r="A316" s="174" t="n"/>
      <c r="B316" s="298" t="n"/>
      <c r="C316" s="107">
        <f>IF(B316="", "", VLOOKUP(B316, 'CLIENT DATA'!A:S, 19, FALSE))</f>
        <v/>
      </c>
      <c r="D316" s="107">
        <f t="array" ref="D316">IF(B316="", "", _xlfn.TEXTJOIN(", ", TRUE, IF('CLIENT DATA'!$A$2:$A$205=B316, 'CLIENT DATA'!$C$2:$F$205, "")))</f>
        <v/>
      </c>
      <c r="E316" s="52" t="n"/>
      <c r="F316" s="52" t="n"/>
      <c r="G316" s="52" t="n"/>
      <c r="H316" s="52" t="n"/>
      <c r="I316" s="52" t="n"/>
      <c r="J316" s="59" t="n"/>
      <c r="K316" s="59" t="n"/>
      <c r="L316" s="59" t="n"/>
      <c r="M316" s="59" t="n"/>
      <c r="N316" s="59" t="n"/>
      <c r="O316" s="297" t="n"/>
      <c r="P316" s="297" t="n"/>
      <c r="Q316" s="297" t="n"/>
      <c r="R316" s="297" t="n"/>
      <c r="S316" s="297" t="n"/>
      <c r="T316" s="297" t="n"/>
      <c r="U316" s="297" t="n"/>
    </row>
    <row r="317" customFormat="1" s="106">
      <c r="A317" s="174" t="n"/>
      <c r="B317" s="298" t="n"/>
      <c r="C317" s="107">
        <f>IF(B317="", "", VLOOKUP(B317, 'CLIENT DATA'!A:S, 19, FALSE))</f>
        <v/>
      </c>
      <c r="D317" s="107">
        <f t="array" ref="D317">IF(B317="", "", _xlfn.TEXTJOIN(", ", TRUE, IF('CLIENT DATA'!$A$2:$A$205=B317, 'CLIENT DATA'!$C$2:$F$205, "")))</f>
        <v/>
      </c>
      <c r="E317" s="52" t="n"/>
      <c r="F317" s="52" t="n"/>
      <c r="G317" s="52" t="n"/>
      <c r="H317" s="52" t="n"/>
      <c r="I317" s="52" t="n"/>
      <c r="J317" s="59" t="n"/>
      <c r="K317" s="59" t="n"/>
      <c r="L317" s="59" t="n"/>
      <c r="M317" s="59" t="n"/>
      <c r="N317" s="59" t="n"/>
      <c r="O317" s="297" t="n"/>
      <c r="P317" s="297" t="n"/>
      <c r="Q317" s="297" t="n"/>
      <c r="R317" s="297" t="n"/>
      <c r="S317" s="297" t="n"/>
      <c r="T317" s="297" t="n"/>
      <c r="U317" s="297" t="n"/>
    </row>
    <row r="318" customFormat="1" s="106">
      <c r="A318" s="174" t="n"/>
      <c r="B318" s="298" t="n"/>
      <c r="C318" s="107">
        <f>IF(B318="", "", VLOOKUP(B318, 'CLIENT DATA'!A:S, 19, FALSE))</f>
        <v/>
      </c>
      <c r="D318" s="107">
        <f t="array" ref="D318">IF(B318="", "", _xlfn.TEXTJOIN(", ", TRUE, IF('CLIENT DATA'!$A$2:$A$205=B318, 'CLIENT DATA'!$C$2:$F$205, "")))</f>
        <v/>
      </c>
      <c r="E318" s="52" t="n"/>
      <c r="F318" s="52" t="n"/>
      <c r="G318" s="52" t="n"/>
      <c r="H318" s="52" t="n"/>
      <c r="I318" s="52" t="n"/>
      <c r="J318" s="59" t="n"/>
      <c r="K318" s="59" t="n"/>
      <c r="L318" s="59" t="n"/>
      <c r="M318" s="59" t="n"/>
      <c r="N318" s="59" t="n"/>
      <c r="O318" s="297" t="n"/>
      <c r="P318" s="297" t="n"/>
      <c r="Q318" s="297" t="n"/>
      <c r="R318" s="297" t="n"/>
      <c r="S318" s="297" t="n"/>
      <c r="T318" s="297" t="n"/>
      <c r="U318" s="297" t="n"/>
    </row>
    <row r="319" customFormat="1" s="106">
      <c r="A319" s="174" t="n"/>
      <c r="B319" s="298" t="n"/>
      <c r="C319" s="107">
        <f>IF(B319="", "", VLOOKUP(B319, 'CLIENT DATA'!A:S, 19, FALSE))</f>
        <v/>
      </c>
      <c r="D319" s="107">
        <f t="array" ref="D319">IF(B319="", "", _xlfn.TEXTJOIN(", ", TRUE, IF('CLIENT DATA'!$A$2:$A$205=B319, 'CLIENT DATA'!$C$2:$F$205, "")))</f>
        <v/>
      </c>
      <c r="E319" s="52" t="n"/>
      <c r="F319" s="52" t="n"/>
      <c r="G319" s="52" t="n"/>
      <c r="H319" s="52" t="n"/>
      <c r="I319" s="52" t="n"/>
      <c r="J319" s="59" t="n"/>
      <c r="K319" s="59" t="n"/>
      <c r="L319" s="59" t="n"/>
      <c r="M319" s="59" t="n"/>
      <c r="N319" s="59" t="n"/>
      <c r="O319" s="297" t="n"/>
      <c r="P319" s="297" t="n"/>
      <c r="Q319" s="297" t="n"/>
      <c r="R319" s="297" t="n"/>
      <c r="S319" s="297" t="n"/>
      <c r="T319" s="297" t="n"/>
      <c r="U319" s="297" t="n"/>
    </row>
    <row r="320" customFormat="1" s="106">
      <c r="A320" s="174" t="n"/>
      <c r="B320" s="298" t="n"/>
      <c r="C320" s="107">
        <f>IF(B320="", "", VLOOKUP(B320, 'CLIENT DATA'!A:S, 19, FALSE))</f>
        <v/>
      </c>
      <c r="D320" s="107">
        <f t="array" ref="D320">IF(B320="", "", _xlfn.TEXTJOIN(", ", TRUE, IF('CLIENT DATA'!$A$2:$A$205=B320, 'CLIENT DATA'!$C$2:$F$205, "")))</f>
        <v/>
      </c>
      <c r="E320" s="52" t="n"/>
      <c r="F320" s="52" t="n"/>
      <c r="G320" s="52" t="n"/>
      <c r="H320" s="52" t="n"/>
      <c r="I320" s="52" t="n"/>
      <c r="J320" s="59" t="n"/>
      <c r="K320" s="59" t="n"/>
      <c r="L320" s="59" t="n"/>
      <c r="M320" s="59" t="n"/>
      <c r="N320" s="59" t="n"/>
      <c r="O320" s="297" t="n"/>
      <c r="P320" s="297" t="n"/>
      <c r="Q320" s="297" t="n"/>
      <c r="R320" s="297" t="n"/>
      <c r="S320" s="297" t="n"/>
      <c r="T320" s="297" t="n"/>
      <c r="U320" s="297" t="n"/>
    </row>
    <row r="321" customFormat="1" s="106">
      <c r="A321" s="174" t="n"/>
      <c r="B321" s="298" t="n"/>
      <c r="C321" s="107">
        <f>IF(B321="", "", VLOOKUP(B321, 'CLIENT DATA'!A:S, 19, FALSE))</f>
        <v/>
      </c>
      <c r="D321" s="107">
        <f t="array" ref="D321">IF(B321="", "", _xlfn.TEXTJOIN(", ", TRUE, IF('CLIENT DATA'!$A$2:$A$205=B321, 'CLIENT DATA'!$C$2:$F$205, "")))</f>
        <v/>
      </c>
      <c r="E321" s="52" t="n"/>
      <c r="F321" s="52" t="n"/>
      <c r="G321" s="52" t="n"/>
      <c r="H321" s="52" t="n"/>
      <c r="I321" s="52" t="n"/>
      <c r="J321" s="59" t="n"/>
      <c r="K321" s="59" t="n"/>
      <c r="L321" s="59" t="n"/>
      <c r="M321" s="59" t="n"/>
      <c r="N321" s="59" t="n"/>
      <c r="O321" s="297" t="n"/>
      <c r="P321" s="297" t="n"/>
      <c r="Q321" s="297" t="n"/>
      <c r="R321" s="297" t="n"/>
      <c r="S321" s="297" t="n"/>
      <c r="T321" s="297" t="n"/>
      <c r="U321" s="297" t="n"/>
    </row>
    <row r="322" customFormat="1" s="106">
      <c r="A322" s="174" t="n"/>
      <c r="B322" s="52" t="n"/>
      <c r="C322" s="107">
        <f>IF(B322="", "", VLOOKUP(B322, 'CLIENT DATA'!A:S, 19, FALSE))</f>
        <v/>
      </c>
      <c r="D322" s="107">
        <f t="array" ref="D322">IF(B322="", "", _xlfn.TEXTJOIN(", ", TRUE, IF('CLIENT DATA'!$A$2:$A$205=B322, 'CLIENT DATA'!$C$2:$F$205, "")))</f>
        <v/>
      </c>
      <c r="E322" s="52" t="n"/>
      <c r="F322" s="52" t="n"/>
      <c r="G322" s="52" t="n"/>
      <c r="H322" s="52" t="n"/>
      <c r="I322" s="52" t="n"/>
      <c r="J322" s="59" t="n"/>
      <c r="K322" s="59" t="n"/>
      <c r="L322" s="59" t="n"/>
      <c r="M322" s="59" t="n"/>
      <c r="N322" s="59" t="n"/>
      <c r="O322" s="297" t="n"/>
      <c r="P322" s="297" t="n"/>
      <c r="Q322" s="297" t="n"/>
      <c r="R322" s="297" t="n"/>
      <c r="S322" s="297" t="n"/>
      <c r="T322" s="297" t="n"/>
      <c r="U322" s="297" t="n"/>
    </row>
    <row r="323" customFormat="1" s="106">
      <c r="A323" s="174" t="n"/>
      <c r="B323" s="52" t="n"/>
      <c r="C323" s="107">
        <f>IF(B323="", "", VLOOKUP(B323, 'CLIENT DATA'!A:S, 19, FALSE))</f>
        <v/>
      </c>
      <c r="D323" s="107">
        <f t="array" ref="D323">IF(B323="", "", _xlfn.TEXTJOIN(", ", TRUE, IF('CLIENT DATA'!$A$2:$A$205=B323, 'CLIENT DATA'!$C$2:$F$205, "")))</f>
        <v/>
      </c>
      <c r="E323" s="52" t="n"/>
      <c r="F323" s="52" t="n"/>
      <c r="G323" s="52" t="n"/>
      <c r="H323" s="52" t="n"/>
      <c r="I323" s="52" t="n"/>
      <c r="J323" s="59" t="n"/>
      <c r="K323" s="59" t="n"/>
      <c r="L323" s="59" t="n"/>
      <c r="M323" s="59" t="n"/>
      <c r="N323" s="59" t="n"/>
      <c r="O323" s="297" t="n"/>
      <c r="P323" s="297" t="n"/>
      <c r="Q323" s="297" t="n"/>
      <c r="R323" s="297" t="n"/>
      <c r="S323" s="297" t="n"/>
      <c r="T323" s="297" t="n"/>
      <c r="U323" s="297" t="n"/>
    </row>
    <row r="324" customFormat="1" s="106">
      <c r="A324" s="174" t="n"/>
      <c r="B324" s="52" t="n"/>
      <c r="C324" s="107">
        <f>IF(B324="", "", VLOOKUP(B324, 'CLIENT DATA'!A:S, 19, FALSE))</f>
        <v/>
      </c>
      <c r="D324" s="107">
        <f t="array" ref="D324">IF(B324="", "", _xlfn.TEXTJOIN(", ", TRUE, IF('CLIENT DATA'!$A$2:$A$205=B324, 'CLIENT DATA'!$C$2:$F$205, "")))</f>
        <v/>
      </c>
      <c r="E324" s="52" t="n"/>
      <c r="F324" s="52" t="n"/>
      <c r="G324" s="52" t="n"/>
      <c r="H324" s="52" t="n"/>
      <c r="I324" s="52" t="n"/>
      <c r="J324" s="59" t="n"/>
      <c r="K324" s="59" t="n"/>
      <c r="L324" s="59" t="n"/>
      <c r="M324" s="59" t="n"/>
      <c r="N324" s="59" t="n"/>
      <c r="O324" s="297" t="n"/>
      <c r="P324" s="297" t="n"/>
      <c r="Q324" s="297" t="n"/>
      <c r="R324" s="297" t="n"/>
      <c r="S324" s="297" t="n"/>
      <c r="T324" s="297" t="n"/>
      <c r="U324" s="297" t="n"/>
    </row>
    <row r="325" customFormat="1" s="106">
      <c r="A325" s="174" t="n"/>
      <c r="B325" s="52" t="n"/>
      <c r="C325" s="107">
        <f>IF(B325="", "", VLOOKUP(B325, 'CLIENT DATA'!A:S, 19, FALSE))</f>
        <v/>
      </c>
      <c r="D325" s="107">
        <f t="array" ref="D325">IF(B325="", "", _xlfn.TEXTJOIN(", ", TRUE, IF('CLIENT DATA'!$A$2:$A$205=B325, 'CLIENT DATA'!$C$2:$F$205, "")))</f>
        <v/>
      </c>
      <c r="E325" s="52" t="n"/>
      <c r="F325" s="52" t="n"/>
      <c r="G325" s="52" t="n"/>
      <c r="H325" s="52" t="n"/>
      <c r="I325" s="52" t="n"/>
      <c r="J325" s="59" t="n"/>
      <c r="K325" s="59" t="n"/>
      <c r="L325" s="59" t="n"/>
      <c r="M325" s="59" t="n"/>
      <c r="N325" s="59" t="n"/>
      <c r="O325" s="297" t="n"/>
      <c r="P325" s="297" t="n"/>
      <c r="Q325" s="297" t="n"/>
      <c r="R325" s="297" t="n"/>
      <c r="S325" s="297" t="n"/>
      <c r="T325" s="297" t="n"/>
      <c r="U325" s="297" t="n"/>
    </row>
    <row r="326" customFormat="1" s="106">
      <c r="A326" s="174" t="n"/>
      <c r="B326" s="52" t="n"/>
      <c r="C326" s="107">
        <f>IF(B326="", "", VLOOKUP(B326, 'CLIENT DATA'!A:S, 19, FALSE))</f>
        <v/>
      </c>
      <c r="D326" s="107">
        <f t="array" ref="D326">IF(B326="", "", _xlfn.TEXTJOIN(", ", TRUE, IF('CLIENT DATA'!$A$2:$A$205=B326, 'CLIENT DATA'!$C$2:$F$205, "")))</f>
        <v/>
      </c>
      <c r="E326" s="52" t="n"/>
      <c r="F326" s="52" t="n"/>
      <c r="G326" s="52" t="n"/>
      <c r="H326" s="52" t="n"/>
      <c r="I326" s="52" t="n"/>
      <c r="J326" s="59" t="n"/>
      <c r="K326" s="59" t="n"/>
      <c r="L326" s="59" t="n"/>
      <c r="M326" s="59" t="n"/>
      <c r="N326" s="59" t="n"/>
      <c r="O326" s="297" t="n"/>
      <c r="P326" s="297" t="n"/>
      <c r="Q326" s="297" t="n"/>
      <c r="R326" s="297" t="n"/>
      <c r="S326" s="297" t="n"/>
      <c r="T326" s="297" t="n"/>
      <c r="U326" s="297" t="n"/>
    </row>
    <row r="327" customFormat="1" s="106">
      <c r="A327" s="174" t="n"/>
      <c r="B327" s="52" t="n"/>
      <c r="C327" s="107">
        <f>IF(B327="", "", VLOOKUP(B327, 'CLIENT DATA'!A:S, 19, FALSE))</f>
        <v/>
      </c>
      <c r="D327" s="107">
        <f t="array" ref="D327">IF(B327="", "", _xlfn.TEXTJOIN(", ", TRUE, IF('CLIENT DATA'!$A$2:$A$205=B327, 'CLIENT DATA'!$C$2:$F$205, "")))</f>
        <v/>
      </c>
      <c r="E327" s="52" t="n"/>
      <c r="F327" s="52" t="n"/>
      <c r="G327" s="52" t="n"/>
      <c r="H327" s="52" t="n"/>
      <c r="I327" s="52" t="n"/>
      <c r="J327" s="59" t="n"/>
      <c r="K327" s="59" t="n"/>
      <c r="L327" s="59" t="n"/>
      <c r="M327" s="59" t="n"/>
      <c r="N327" s="59" t="n"/>
      <c r="O327" s="297" t="n"/>
      <c r="P327" s="297" t="n"/>
      <c r="Q327" s="297" t="n"/>
      <c r="R327" s="297" t="n"/>
      <c r="S327" s="297" t="n"/>
      <c r="T327" s="297" t="n"/>
      <c r="U327" s="297" t="n"/>
    </row>
    <row r="328" customFormat="1" s="106">
      <c r="A328" s="174" t="n"/>
      <c r="B328" s="52" t="n"/>
      <c r="C328" s="107">
        <f>IF(B328="", "", VLOOKUP(B328, 'CLIENT DATA'!A:S, 19, FALSE))</f>
        <v/>
      </c>
      <c r="D328" s="107">
        <f t="array" ref="D328">IF(B328="", "", _xlfn.TEXTJOIN(", ", TRUE, IF('CLIENT DATA'!$A$2:$A$205=B328, 'CLIENT DATA'!$C$2:$F$205, "")))</f>
        <v/>
      </c>
      <c r="E328" s="52" t="n"/>
      <c r="F328" s="52" t="n"/>
      <c r="G328" s="52" t="n"/>
      <c r="H328" s="52" t="n"/>
      <c r="I328" s="52" t="n"/>
      <c r="J328" s="59" t="n"/>
      <c r="K328" s="59" t="n"/>
      <c r="L328" s="59" t="n"/>
      <c r="M328" s="59" t="n"/>
      <c r="N328" s="59" t="n"/>
      <c r="O328" s="297" t="n"/>
      <c r="P328" s="297" t="n"/>
      <c r="Q328" s="297" t="n"/>
      <c r="R328" s="297" t="n"/>
      <c r="S328" s="297" t="n"/>
      <c r="T328" s="297" t="n"/>
      <c r="U328" s="297" t="n"/>
    </row>
    <row r="329" customFormat="1" s="106">
      <c r="A329" s="174" t="n"/>
      <c r="B329" s="52" t="n"/>
      <c r="C329" s="107">
        <f>IF(B329="", "", VLOOKUP(B329, 'CLIENT DATA'!A:S, 19, FALSE))</f>
        <v/>
      </c>
      <c r="D329" s="107">
        <f t="array" ref="D329">IF(B329="", "", _xlfn.TEXTJOIN(", ", TRUE, IF('CLIENT DATA'!$A$2:$A$205=B329, 'CLIENT DATA'!$C$2:$F$205, "")))</f>
        <v/>
      </c>
      <c r="E329" s="52" t="n"/>
      <c r="F329" s="52" t="n"/>
      <c r="G329" s="52" t="n"/>
      <c r="H329" s="52" t="n"/>
      <c r="I329" s="52" t="n"/>
      <c r="J329" s="59" t="n"/>
      <c r="K329" s="59" t="n"/>
      <c r="L329" s="59" t="n"/>
      <c r="M329" s="59" t="n"/>
      <c r="N329" s="59" t="n"/>
      <c r="O329" s="297" t="n"/>
      <c r="P329" s="297" t="n"/>
      <c r="Q329" s="297" t="n"/>
      <c r="R329" s="297" t="n"/>
      <c r="S329" s="297" t="n"/>
      <c r="T329" s="297" t="n"/>
      <c r="U329" s="297" t="n"/>
    </row>
    <row r="330" customFormat="1" s="106">
      <c r="A330" s="174" t="n"/>
      <c r="B330" s="298" t="n"/>
      <c r="C330" s="107">
        <f>IF(B330="", "", VLOOKUP(B330, 'CLIENT DATA'!A:S, 19, FALSE))</f>
        <v/>
      </c>
      <c r="D330" s="107">
        <f t="array" ref="D330">IF(B330="", "", _xlfn.TEXTJOIN(", ", TRUE, IF('CLIENT DATA'!$A$2:$A$205=B330, 'CLIENT DATA'!$C$2:$F$205, "")))</f>
        <v/>
      </c>
      <c r="E330" s="52" t="n"/>
      <c r="F330" s="52" t="n"/>
      <c r="G330" s="52" t="n"/>
      <c r="H330" s="52" t="n"/>
      <c r="I330" s="52" t="n"/>
      <c r="J330" s="59" t="n"/>
      <c r="K330" s="59" t="n"/>
      <c r="L330" s="59" t="n"/>
      <c r="M330" s="59" t="n"/>
      <c r="N330" s="59" t="n"/>
      <c r="O330" s="297" t="n"/>
      <c r="P330" s="297" t="n"/>
      <c r="Q330" s="297" t="n"/>
      <c r="R330" s="297" t="n"/>
      <c r="S330" s="297" t="n"/>
      <c r="T330" s="297" t="n"/>
      <c r="U330" s="297" t="n"/>
    </row>
    <row r="331" customFormat="1" s="106">
      <c r="A331" s="174" t="n"/>
      <c r="B331" s="298" t="n"/>
      <c r="C331" s="107">
        <f>IF(B331="", "", VLOOKUP(B331, 'CLIENT DATA'!A:S, 19, FALSE))</f>
        <v/>
      </c>
      <c r="D331" s="107">
        <f t="array" ref="D331">IF(B331="", "", _xlfn.TEXTJOIN(", ", TRUE, IF('CLIENT DATA'!$A$2:$A$205=B331, 'CLIENT DATA'!$C$2:$F$205, "")))</f>
        <v/>
      </c>
      <c r="E331" s="52" t="n"/>
      <c r="F331" s="52" t="n"/>
      <c r="G331" s="52" t="n"/>
      <c r="H331" s="52" t="n"/>
      <c r="I331" s="52" t="n"/>
      <c r="J331" s="59" t="n"/>
      <c r="K331" s="59" t="n"/>
      <c r="L331" s="59" t="n"/>
      <c r="M331" s="59" t="n"/>
      <c r="N331" s="59" t="n"/>
      <c r="O331" s="297" t="n"/>
      <c r="P331" s="297" t="n"/>
      <c r="Q331" s="297" t="n"/>
      <c r="R331" s="297" t="n"/>
      <c r="S331" s="297" t="n"/>
      <c r="T331" s="297" t="n"/>
      <c r="U331" s="297" t="n"/>
    </row>
    <row r="332" customFormat="1" s="106">
      <c r="A332" s="174" t="n"/>
      <c r="B332" s="298" t="n"/>
      <c r="C332" s="107">
        <f>IF(B332="", "", VLOOKUP(B332, 'CLIENT DATA'!A:S, 19, FALSE))</f>
        <v/>
      </c>
      <c r="D332" s="107">
        <f t="array" ref="D332">IF(B332="", "", _xlfn.TEXTJOIN(", ", TRUE, IF('CLIENT DATA'!$A$2:$A$205=B332, 'CLIENT DATA'!$C$2:$F$205, "")))</f>
        <v/>
      </c>
      <c r="E332" s="52" t="n"/>
      <c r="F332" s="52" t="n"/>
      <c r="G332" s="52" t="n"/>
      <c r="H332" s="52" t="n"/>
      <c r="I332" s="52" t="n"/>
      <c r="J332" s="59" t="n"/>
      <c r="K332" s="59" t="n"/>
      <c r="L332" s="59" t="n"/>
      <c r="M332" s="59" t="n"/>
      <c r="N332" s="59" t="n"/>
      <c r="O332" s="297" t="n"/>
      <c r="P332" s="297" t="n"/>
      <c r="Q332" s="297" t="n"/>
      <c r="R332" s="297" t="n"/>
      <c r="S332" s="297" t="n"/>
      <c r="T332" s="297" t="n"/>
      <c r="U332" s="297" t="n"/>
    </row>
    <row r="333" customFormat="1" s="106">
      <c r="A333" s="174" t="n"/>
      <c r="B333" s="298" t="n"/>
      <c r="C333" s="107">
        <f>IF(B333="", "", VLOOKUP(B333, 'CLIENT DATA'!A:S, 19, FALSE))</f>
        <v/>
      </c>
      <c r="D333" s="107">
        <f t="array" ref="D333">IF(B333="", "", _xlfn.TEXTJOIN(", ", TRUE, IF('CLIENT DATA'!$A$2:$A$205=B333, 'CLIENT DATA'!$C$2:$F$205, "")))</f>
        <v/>
      </c>
      <c r="E333" s="52" t="n"/>
      <c r="F333" s="52" t="n"/>
      <c r="G333" s="52" t="n"/>
      <c r="H333" s="52" t="n"/>
      <c r="I333" s="52" t="n"/>
      <c r="J333" s="59" t="n"/>
      <c r="K333" s="59" t="n"/>
      <c r="L333" s="59" t="n"/>
      <c r="M333" s="59" t="n"/>
      <c r="N333" s="59" t="n"/>
      <c r="O333" s="297" t="n"/>
      <c r="P333" s="297" t="n"/>
      <c r="Q333" s="297" t="n"/>
      <c r="R333" s="297" t="n"/>
      <c r="S333" s="297" t="n"/>
      <c r="T333" s="297" t="n"/>
      <c r="U333" s="297" t="n"/>
    </row>
    <row r="334" customFormat="1" s="106">
      <c r="A334" s="174" t="n"/>
      <c r="B334" s="298" t="n"/>
      <c r="C334" s="107">
        <f>IF(B334="", "", VLOOKUP(B334, 'CLIENT DATA'!A:S, 19, FALSE))</f>
        <v/>
      </c>
      <c r="D334" s="107">
        <f t="array" ref="D334">IF(B334="", "", _xlfn.TEXTJOIN(", ", TRUE, IF('CLIENT DATA'!$A$2:$A$205=B334, 'CLIENT DATA'!$C$2:$F$205, "")))</f>
        <v/>
      </c>
      <c r="E334" s="52" t="n"/>
      <c r="F334" s="52" t="n"/>
      <c r="G334" s="52" t="n"/>
      <c r="H334" s="52" t="n"/>
      <c r="I334" s="52" t="n"/>
      <c r="J334" s="59" t="n"/>
      <c r="K334" s="59" t="n"/>
      <c r="L334" s="59" t="n"/>
      <c r="M334" s="59" t="n"/>
      <c r="N334" s="59" t="n"/>
      <c r="O334" s="297" t="n"/>
      <c r="P334" s="297" t="n"/>
      <c r="Q334" s="297" t="n"/>
      <c r="R334" s="297" t="n"/>
      <c r="S334" s="297" t="n"/>
      <c r="T334" s="297" t="n"/>
      <c r="U334" s="297" t="n"/>
    </row>
    <row r="335" customFormat="1" s="106">
      <c r="A335" s="174" t="n"/>
      <c r="B335" s="298" t="n"/>
      <c r="C335" s="107">
        <f>IF(B335="", "", VLOOKUP(B335, 'CLIENT DATA'!A:S, 19, FALSE))</f>
        <v/>
      </c>
      <c r="D335" s="107">
        <f t="array" ref="D335">IF(B335="", "", _xlfn.TEXTJOIN(", ", TRUE, IF('CLIENT DATA'!$A$2:$A$205=B335, 'CLIENT DATA'!$C$2:$F$205, "")))</f>
        <v/>
      </c>
      <c r="E335" s="52" t="n"/>
      <c r="F335" s="52" t="n"/>
      <c r="G335" s="52" t="n"/>
      <c r="H335" s="52" t="n"/>
      <c r="I335" s="52" t="n"/>
      <c r="J335" s="59" t="n"/>
      <c r="K335" s="59" t="n"/>
      <c r="L335" s="59" t="n"/>
      <c r="M335" s="59" t="n"/>
      <c r="N335" s="59" t="n"/>
      <c r="O335" s="297" t="n"/>
      <c r="P335" s="297" t="n"/>
      <c r="Q335" s="297" t="n"/>
      <c r="R335" s="297" t="n"/>
      <c r="S335" s="297" t="n"/>
      <c r="T335" s="297" t="n"/>
      <c r="U335" s="297" t="n"/>
    </row>
    <row r="336" customFormat="1" s="106">
      <c r="A336" s="174" t="n"/>
      <c r="B336" s="298" t="n"/>
      <c r="C336" s="107">
        <f>IF(B336="", "", VLOOKUP(B336, 'CLIENT DATA'!A:S, 19, FALSE))</f>
        <v/>
      </c>
      <c r="D336" s="107">
        <f t="array" ref="D336">IF(B336="", "", _xlfn.TEXTJOIN(", ", TRUE, IF('CLIENT DATA'!$A$2:$A$205=B336, 'CLIENT DATA'!$C$2:$F$205, "")))</f>
        <v/>
      </c>
      <c r="E336" s="52" t="n"/>
      <c r="F336" s="52" t="n"/>
      <c r="G336" s="52" t="n"/>
      <c r="H336" s="52" t="n"/>
      <c r="I336" s="52" t="n"/>
      <c r="J336" s="59" t="n"/>
      <c r="K336" s="59" t="n"/>
      <c r="L336" s="59" t="n"/>
      <c r="M336" s="59" t="n"/>
      <c r="N336" s="59" t="n"/>
      <c r="O336" s="297" t="n"/>
      <c r="P336" s="297" t="n"/>
      <c r="Q336" s="297" t="n"/>
      <c r="R336" s="297" t="n"/>
      <c r="S336" s="297" t="n"/>
      <c r="T336" s="297" t="n"/>
      <c r="U336" s="297" t="n"/>
    </row>
    <row r="337" customFormat="1" s="106">
      <c r="A337" s="174" t="n"/>
      <c r="B337" s="298" t="n"/>
      <c r="C337" s="107">
        <f>IF(B337="", "", VLOOKUP(B337, 'CLIENT DATA'!A:S, 19, FALSE))</f>
        <v/>
      </c>
      <c r="D337" s="107">
        <f t="array" ref="D337">IF(B337="", "", _xlfn.TEXTJOIN(", ", TRUE, IF('CLIENT DATA'!$A$2:$A$205=B337, 'CLIENT DATA'!$C$2:$F$205, "")))</f>
        <v/>
      </c>
      <c r="E337" s="52" t="n"/>
      <c r="F337" s="52" t="n"/>
      <c r="G337" s="52" t="n"/>
      <c r="H337" s="52" t="n"/>
      <c r="I337" s="52" t="n"/>
      <c r="J337" s="59" t="n"/>
      <c r="K337" s="59" t="n"/>
      <c r="L337" s="59" t="n"/>
      <c r="M337" s="59" t="n"/>
      <c r="N337" s="59" t="n"/>
      <c r="O337" s="297" t="n"/>
      <c r="P337" s="297" t="n"/>
      <c r="Q337" s="297" t="n"/>
      <c r="R337" s="297" t="n"/>
      <c r="S337" s="297" t="n"/>
      <c r="T337" s="297" t="n"/>
      <c r="U337" s="297" t="n"/>
    </row>
    <row r="338" customFormat="1" s="106">
      <c r="A338" s="174" t="n"/>
      <c r="B338" s="298" t="n"/>
      <c r="C338" s="107">
        <f>IF(B338="", "", VLOOKUP(B338, 'CLIENT DATA'!A:S, 19, FALSE))</f>
        <v/>
      </c>
      <c r="D338" s="107">
        <f t="array" ref="D338">IF(B338="", "", _xlfn.TEXTJOIN(", ", TRUE, IF('CLIENT DATA'!$A$2:$A$205=B338, 'CLIENT DATA'!$C$2:$F$205, "")))</f>
        <v/>
      </c>
      <c r="E338" s="52" t="n"/>
      <c r="F338" s="52" t="n"/>
      <c r="G338" s="52" t="n"/>
      <c r="H338" s="52" t="n"/>
      <c r="I338" s="52" t="n"/>
      <c r="J338" s="59" t="n"/>
      <c r="K338" s="59" t="n"/>
      <c r="L338" s="59" t="n"/>
      <c r="M338" s="59" t="n"/>
      <c r="N338" s="59" t="n"/>
      <c r="O338" s="297" t="n"/>
      <c r="P338" s="297" t="n"/>
      <c r="Q338" s="297" t="n"/>
      <c r="R338" s="297" t="n"/>
      <c r="S338" s="297" t="n"/>
      <c r="T338" s="297" t="n"/>
      <c r="U338" s="297" t="n"/>
    </row>
    <row r="339" customFormat="1" s="106">
      <c r="A339" s="174" t="n"/>
      <c r="B339" s="298" t="n"/>
      <c r="C339" s="107">
        <f>IF(B339="", "", VLOOKUP(B339, 'CLIENT DATA'!A:S, 19, FALSE))</f>
        <v/>
      </c>
      <c r="D339" s="107">
        <f t="array" ref="D339">IF(B339="", "", _xlfn.TEXTJOIN(", ", TRUE, IF('CLIENT DATA'!$A$2:$A$205=B339, 'CLIENT DATA'!$C$2:$F$205, "")))</f>
        <v/>
      </c>
      <c r="E339" s="52" t="n"/>
      <c r="F339" s="52" t="n"/>
      <c r="G339" s="52" t="n"/>
      <c r="H339" s="52" t="n"/>
      <c r="I339" s="52" t="n"/>
      <c r="J339" s="59" t="n"/>
      <c r="K339" s="59" t="n"/>
      <c r="L339" s="59" t="n"/>
      <c r="M339" s="59" t="n"/>
      <c r="N339" s="59" t="n"/>
      <c r="O339" s="297" t="n"/>
      <c r="P339" s="297" t="n"/>
      <c r="Q339" s="297" t="n"/>
      <c r="R339" s="297" t="n"/>
      <c r="S339" s="297" t="n"/>
      <c r="T339" s="297" t="n"/>
      <c r="U339" s="297" t="n"/>
    </row>
    <row r="340" customFormat="1" s="106">
      <c r="A340" s="174" t="n"/>
      <c r="B340" s="298" t="n"/>
      <c r="C340" s="107">
        <f>IF(B340="", "", VLOOKUP(B340, 'CLIENT DATA'!A:S, 19, FALSE))</f>
        <v/>
      </c>
      <c r="D340" s="107">
        <f t="array" ref="D340">IF(B340="", "", _xlfn.TEXTJOIN(", ", TRUE, IF('CLIENT DATA'!$A$2:$A$205=B340, 'CLIENT DATA'!$C$2:$F$205, "")))</f>
        <v/>
      </c>
      <c r="E340" s="52" t="n"/>
      <c r="F340" s="52" t="n"/>
      <c r="G340" s="52" t="n"/>
      <c r="H340" s="52" t="n"/>
      <c r="I340" s="52" t="n"/>
      <c r="J340" s="59" t="n"/>
      <c r="K340" s="59" t="n"/>
      <c r="L340" s="59" t="n"/>
      <c r="M340" s="59" t="n"/>
      <c r="N340" s="59" t="n"/>
      <c r="O340" s="297" t="n"/>
      <c r="P340" s="297" t="n"/>
      <c r="Q340" s="297" t="n"/>
      <c r="R340" s="297" t="n"/>
      <c r="S340" s="297" t="n"/>
      <c r="T340" s="297" t="n"/>
      <c r="U340" s="297" t="n"/>
    </row>
    <row r="341" customFormat="1" s="106">
      <c r="A341" s="174" t="n"/>
      <c r="B341" s="298" t="n"/>
      <c r="C341" s="107">
        <f>IF(B341="", "", VLOOKUP(B341, 'CLIENT DATA'!A:S, 19, FALSE))</f>
        <v/>
      </c>
      <c r="D341" s="107">
        <f t="array" ref="D341">IF(B341="", "", _xlfn.TEXTJOIN(", ", TRUE, IF('CLIENT DATA'!$A$2:$A$205=B341, 'CLIENT DATA'!$C$2:$F$205, "")))</f>
        <v/>
      </c>
      <c r="E341" s="52" t="n"/>
      <c r="F341" s="52" t="n"/>
      <c r="G341" s="52" t="n"/>
      <c r="H341" s="52" t="n"/>
      <c r="I341" s="52" t="n"/>
      <c r="J341" s="59" t="n"/>
      <c r="K341" s="59" t="n"/>
      <c r="L341" s="59" t="n"/>
      <c r="M341" s="59" t="n"/>
      <c r="N341" s="59" t="n"/>
      <c r="O341" s="297" t="n"/>
      <c r="P341" s="297" t="n"/>
      <c r="Q341" s="297" t="n"/>
      <c r="R341" s="297" t="n"/>
      <c r="S341" s="297" t="n"/>
      <c r="T341" s="297" t="n"/>
      <c r="U341" s="297" t="n"/>
    </row>
    <row r="342" customFormat="1" s="106">
      <c r="A342" s="174" t="n"/>
      <c r="B342" s="298" t="n"/>
      <c r="C342" s="107">
        <f>IF(B342="", "", VLOOKUP(B342, 'CLIENT DATA'!A:S, 19, FALSE))</f>
        <v/>
      </c>
      <c r="D342" s="107">
        <f t="array" ref="D342">IF(B342="", "", _xlfn.TEXTJOIN(", ", TRUE, IF('CLIENT DATA'!$A$2:$A$205=B342, 'CLIENT DATA'!$C$2:$F$205, "")))</f>
        <v/>
      </c>
      <c r="E342" s="52" t="n"/>
      <c r="F342" s="52" t="n"/>
      <c r="G342" s="52" t="n"/>
      <c r="H342" s="52" t="n"/>
      <c r="I342" s="52" t="n"/>
      <c r="J342" s="59" t="n"/>
      <c r="K342" s="59" t="n"/>
      <c r="L342" s="59" t="n"/>
      <c r="M342" s="59" t="n"/>
      <c r="N342" s="59" t="n"/>
      <c r="O342" s="297" t="n"/>
      <c r="P342" s="297" t="n"/>
      <c r="Q342" s="297" t="n"/>
      <c r="R342" s="297" t="n"/>
      <c r="S342" s="297" t="n"/>
      <c r="T342" s="297" t="n"/>
      <c r="U342" s="297" t="n"/>
    </row>
    <row r="343">
      <c r="A343" s="174" t="n"/>
      <c r="B343" s="52" t="n"/>
      <c r="C343" s="107">
        <f>IF(B343="", "", VLOOKUP(B343, 'CLIENT DATA'!A:S, 19, FALSE))</f>
        <v/>
      </c>
      <c r="D343" s="107">
        <f t="array" ref="D343">IF(B343="", "", _xlfn.TEXTJOIN(", ", TRUE, IF('CLIENT DATA'!$A$2:$A$205=B343, 'CLIENT DATA'!$C$2:$F$205, "")))</f>
        <v/>
      </c>
      <c r="E343" s="52" t="n"/>
      <c r="F343" s="52" t="n"/>
      <c r="G343" s="52" t="n"/>
      <c r="H343" s="52" t="n"/>
      <c r="I343" s="52" t="n"/>
      <c r="J343" s="59" t="n"/>
      <c r="K343" s="59" t="n"/>
      <c r="L343" s="59" t="n"/>
      <c r="M343" s="59" t="n"/>
      <c r="N343" s="59" t="n"/>
      <c r="O343" s="297" t="n"/>
      <c r="P343" s="297" t="n"/>
      <c r="Q343" s="297" t="n"/>
      <c r="R343" s="297" t="n"/>
      <c r="S343" s="297" t="n"/>
      <c r="T343" s="297" t="n"/>
      <c r="U343" s="297" t="n"/>
    </row>
    <row r="344">
      <c r="A344" s="174" t="n"/>
      <c r="B344" s="52" t="n"/>
      <c r="C344" s="107">
        <f>IF(B344="", "", VLOOKUP(B344, 'CLIENT DATA'!A:S, 19, FALSE))</f>
        <v/>
      </c>
      <c r="D344" s="107">
        <f t="array" ref="D344">IF(B344="", "", _xlfn.TEXTJOIN(", ", TRUE, IF('CLIENT DATA'!$A$2:$A$205=B344, 'CLIENT DATA'!$C$2:$F$205, "")))</f>
        <v/>
      </c>
      <c r="E344" s="52" t="n"/>
      <c r="F344" s="52" t="n"/>
      <c r="G344" s="52" t="n"/>
      <c r="H344" s="52" t="n"/>
      <c r="I344" s="52" t="n"/>
      <c r="J344" s="59" t="n"/>
      <c r="K344" s="59" t="n"/>
      <c r="L344" s="59" t="n"/>
      <c r="M344" s="59" t="n"/>
      <c r="N344" s="59" t="n"/>
      <c r="O344" s="297" t="n"/>
      <c r="P344" s="297" t="n"/>
      <c r="Q344" s="297" t="n"/>
      <c r="R344" s="297" t="n"/>
      <c r="S344" s="297" t="n"/>
      <c r="T344" s="297" t="n"/>
      <c r="U344" s="297" t="n"/>
    </row>
    <row r="345">
      <c r="A345" s="174" t="n"/>
      <c r="B345" s="52" t="n"/>
      <c r="C345" s="107">
        <f>IF(B345="", "", VLOOKUP(B345, 'CLIENT DATA'!A:S, 19, FALSE))</f>
        <v/>
      </c>
      <c r="D345" s="107">
        <f t="array" ref="D345">IF(B345="", "", _xlfn.TEXTJOIN(", ", TRUE, IF('CLIENT DATA'!$A$2:$A$205=B345, 'CLIENT DATA'!$C$2:$F$205, "")))</f>
        <v/>
      </c>
      <c r="E345" s="52" t="n"/>
      <c r="F345" s="52" t="n"/>
      <c r="G345" s="52" t="n"/>
      <c r="H345" s="52" t="n"/>
      <c r="I345" s="52" t="n"/>
      <c r="J345" s="59" t="n"/>
      <c r="K345" s="59" t="n"/>
      <c r="L345" s="59" t="n"/>
      <c r="M345" s="59" t="n"/>
      <c r="N345" s="59" t="n"/>
      <c r="O345" s="297" t="n"/>
      <c r="P345" s="297" t="n"/>
      <c r="Q345" s="297" t="n"/>
      <c r="R345" s="297" t="n"/>
      <c r="S345" s="297" t="n"/>
      <c r="T345" s="297" t="n"/>
      <c r="U345" s="297" t="n"/>
    </row>
    <row r="346">
      <c r="A346" s="174" t="n"/>
      <c r="B346" s="52" t="n"/>
      <c r="C346" s="107">
        <f>IF(B346="", "", VLOOKUP(B346, 'CLIENT DATA'!A:S, 19, FALSE))</f>
        <v/>
      </c>
      <c r="D346" s="107">
        <f t="array" ref="D346">IF(B346="", "", _xlfn.TEXTJOIN(", ", TRUE, IF('CLIENT DATA'!$A$2:$A$205=B346, 'CLIENT DATA'!$C$2:$F$205, "")))</f>
        <v/>
      </c>
      <c r="E346" s="52" t="n"/>
      <c r="F346" s="52" t="n"/>
      <c r="G346" s="52" t="n"/>
      <c r="H346" s="52" t="n"/>
      <c r="I346" s="52" t="n"/>
      <c r="J346" s="59" t="n"/>
      <c r="K346" s="59" t="n"/>
      <c r="L346" s="59" t="n"/>
      <c r="M346" s="59" t="n"/>
      <c r="N346" s="59" t="n"/>
      <c r="O346" s="297" t="n"/>
      <c r="P346" s="297" t="n"/>
      <c r="Q346" s="297" t="n"/>
      <c r="R346" s="297" t="n"/>
      <c r="S346" s="297" t="n"/>
      <c r="T346" s="297" t="n"/>
      <c r="U346" s="297" t="n"/>
    </row>
    <row r="347">
      <c r="A347" s="174" t="n"/>
      <c r="B347" s="52" t="n"/>
      <c r="C347" s="107">
        <f>IF(B347="", "", VLOOKUP(B347, 'CLIENT DATA'!A:S, 19, FALSE))</f>
        <v/>
      </c>
      <c r="D347" s="107">
        <f t="array" ref="D347">IF(B347="", "", _xlfn.TEXTJOIN(", ", TRUE, IF('CLIENT DATA'!$A$2:$A$205=B347, 'CLIENT DATA'!$C$2:$F$205, "")))</f>
        <v/>
      </c>
      <c r="E347" s="52" t="n"/>
      <c r="F347" s="52" t="n"/>
      <c r="G347" s="52" t="n"/>
      <c r="H347" s="52" t="n"/>
      <c r="I347" s="52" t="n"/>
      <c r="J347" s="59" t="n"/>
      <c r="K347" s="59" t="n"/>
      <c r="L347" s="59" t="n"/>
      <c r="M347" s="59" t="n"/>
      <c r="N347" s="59" t="n"/>
      <c r="O347" s="297" t="n"/>
      <c r="P347" s="297" t="n"/>
      <c r="Q347" s="297" t="n"/>
      <c r="R347" s="297" t="n"/>
      <c r="S347" s="297" t="n"/>
      <c r="T347" s="297" t="n"/>
      <c r="U347" s="297" t="n"/>
    </row>
    <row r="348">
      <c r="A348" s="174" t="n"/>
      <c r="B348" s="52" t="n"/>
      <c r="C348" s="107">
        <f>IF(B348="", "", VLOOKUP(B348, 'CLIENT DATA'!A:S, 19, FALSE))</f>
        <v/>
      </c>
      <c r="D348" s="107">
        <f t="array" ref="D348">IF(B348="", "", _xlfn.TEXTJOIN(", ", TRUE, IF('CLIENT DATA'!$A$2:$A$205=B348, 'CLIENT DATA'!$C$2:$F$205, "")))</f>
        <v/>
      </c>
      <c r="E348" s="52" t="n"/>
      <c r="F348" s="52" t="n"/>
      <c r="G348" s="52" t="n"/>
      <c r="H348" s="52" t="n"/>
      <c r="I348" s="52" t="n"/>
      <c r="J348" s="59" t="n"/>
      <c r="K348" s="59" t="n"/>
      <c r="L348" s="59" t="n"/>
      <c r="M348" s="59" t="n"/>
      <c r="N348" s="59" t="n"/>
      <c r="O348" s="297" t="n"/>
      <c r="P348" s="297" t="n"/>
      <c r="Q348" s="297" t="n"/>
      <c r="R348" s="297" t="n"/>
      <c r="S348" s="297" t="n"/>
      <c r="T348" s="297" t="n"/>
      <c r="U348" s="297" t="n"/>
    </row>
    <row r="349">
      <c r="A349" s="174" t="n"/>
      <c r="B349" s="52" t="n"/>
      <c r="C349" s="107">
        <f>IF(B349="", "", VLOOKUP(B349, 'CLIENT DATA'!A:S, 19, FALSE))</f>
        <v/>
      </c>
      <c r="D349" s="107">
        <f t="array" ref="D349">IF(B349="", "", _xlfn.TEXTJOIN(", ", TRUE, IF('CLIENT DATA'!$A$2:$A$205=B349, 'CLIENT DATA'!$C$2:$F$205, "")))</f>
        <v/>
      </c>
      <c r="E349" s="52" t="n"/>
      <c r="F349" s="52" t="n"/>
      <c r="G349" s="52" t="n"/>
      <c r="H349" s="52" t="n"/>
      <c r="I349" s="52" t="n"/>
      <c r="J349" s="59" t="n"/>
      <c r="K349" s="59" t="n"/>
      <c r="L349" s="59" t="n"/>
      <c r="M349" s="59" t="n"/>
      <c r="N349" s="59" t="n"/>
      <c r="O349" s="297" t="n"/>
      <c r="P349" s="297" t="n"/>
      <c r="Q349" s="297" t="n"/>
      <c r="R349" s="297" t="n"/>
      <c r="S349" s="297" t="n"/>
      <c r="T349" s="297" t="n"/>
      <c r="U349" s="297" t="n"/>
    </row>
    <row r="350">
      <c r="A350" s="174" t="n"/>
      <c r="B350" s="52" t="n"/>
      <c r="C350" s="107">
        <f>IF(B350="", "", VLOOKUP(B350, 'CLIENT DATA'!A:S, 19, FALSE))</f>
        <v/>
      </c>
      <c r="D350" s="107">
        <f t="array" ref="D350">IF(B350="", "", _xlfn.TEXTJOIN(", ", TRUE, IF('CLIENT DATA'!$A$2:$A$205=B350, 'CLIENT DATA'!$C$2:$F$205, "")))</f>
        <v/>
      </c>
      <c r="E350" s="52" t="n"/>
      <c r="F350" s="52" t="n"/>
      <c r="G350" s="52" t="n"/>
      <c r="H350" s="52" t="n"/>
      <c r="I350" s="52" t="n"/>
      <c r="J350" s="59" t="n"/>
      <c r="K350" s="59" t="n"/>
      <c r="L350" s="59" t="n"/>
      <c r="M350" s="59" t="n"/>
      <c r="N350" s="59" t="n"/>
      <c r="O350" s="297" t="n"/>
      <c r="P350" s="297" t="n"/>
      <c r="Q350" s="297" t="n"/>
      <c r="R350" s="297" t="n"/>
      <c r="S350" s="297" t="n"/>
      <c r="T350" s="297" t="n"/>
      <c r="U350" s="297" t="n"/>
    </row>
    <row r="351">
      <c r="A351" s="174" t="n"/>
      <c r="B351" s="298" t="n"/>
      <c r="C351" s="107">
        <f>IF(B351="", "", VLOOKUP(B351, 'CLIENT DATA'!A:S, 19, FALSE))</f>
        <v/>
      </c>
      <c r="D351" s="107">
        <f t="array" ref="D351">IF(B351="", "", _xlfn.TEXTJOIN(", ", TRUE, IF('CLIENT DATA'!$A$2:$A$205=B351, 'CLIENT DATA'!$C$2:$F$205, "")))</f>
        <v/>
      </c>
      <c r="E351" s="52" t="n"/>
      <c r="F351" s="52" t="n"/>
      <c r="G351" s="52" t="n"/>
      <c r="H351" s="52" t="n"/>
      <c r="I351" s="52" t="n"/>
      <c r="J351" s="59" t="n"/>
      <c r="K351" s="59" t="n"/>
      <c r="L351" s="59" t="n"/>
      <c r="M351" s="59" t="n"/>
      <c r="N351" s="59" t="n"/>
      <c r="O351" s="297" t="n"/>
      <c r="P351" s="297" t="n"/>
      <c r="Q351" s="297" t="n"/>
      <c r="R351" s="297" t="n"/>
      <c r="S351" s="297" t="n"/>
      <c r="T351" s="297" t="n"/>
      <c r="U351" s="297" t="n"/>
    </row>
    <row r="352">
      <c r="A352" s="174" t="n"/>
      <c r="B352" s="298" t="n"/>
      <c r="C352" s="107">
        <f>IF(B352="", "", VLOOKUP(B352, 'CLIENT DATA'!A:S, 19, FALSE))</f>
        <v/>
      </c>
      <c r="D352" s="107">
        <f t="array" ref="D352">IF(B352="", "", _xlfn.TEXTJOIN(", ", TRUE, IF('CLIENT DATA'!$A$2:$A$205=B352, 'CLIENT DATA'!$C$2:$F$205, "")))</f>
        <v/>
      </c>
      <c r="E352" s="52" t="n"/>
      <c r="F352" s="52" t="n"/>
      <c r="G352" s="52" t="n"/>
      <c r="H352" s="52" t="n"/>
      <c r="I352" s="52" t="n"/>
      <c r="J352" s="59" t="n"/>
      <c r="K352" s="59" t="n"/>
      <c r="L352" s="59" t="n"/>
      <c r="M352" s="59" t="n"/>
      <c r="N352" s="59" t="n"/>
      <c r="O352" s="297" t="n"/>
      <c r="P352" s="297" t="n"/>
      <c r="Q352" s="297" t="n"/>
      <c r="R352" s="297" t="n"/>
      <c r="S352" s="297" t="n"/>
      <c r="T352" s="297" t="n"/>
      <c r="U352" s="297" t="n"/>
    </row>
    <row r="353">
      <c r="A353" s="174" t="n"/>
      <c r="B353" s="298" t="n"/>
      <c r="C353" s="107">
        <f>IF(B353="", "", VLOOKUP(B353, 'CLIENT DATA'!A:S, 19, FALSE))</f>
        <v/>
      </c>
      <c r="D353" s="107">
        <f t="array" ref="D353">IF(B353="", "", _xlfn.TEXTJOIN(", ", TRUE, IF('CLIENT DATA'!$A$2:$A$205=B353, 'CLIENT DATA'!$C$2:$F$205, "")))</f>
        <v/>
      </c>
      <c r="E353" s="52" t="n"/>
      <c r="F353" s="52" t="n"/>
      <c r="G353" s="52" t="n"/>
      <c r="H353" s="52" t="n"/>
      <c r="I353" s="52" t="n"/>
      <c r="J353" s="59" t="n"/>
      <c r="K353" s="59" t="n"/>
      <c r="L353" s="59" t="n"/>
      <c r="M353" s="59" t="n"/>
      <c r="N353" s="59" t="n"/>
      <c r="O353" s="297" t="n"/>
      <c r="P353" s="297" t="n"/>
      <c r="Q353" s="297" t="n"/>
      <c r="R353" s="297" t="n"/>
      <c r="S353" s="297" t="n"/>
      <c r="T353" s="297" t="n"/>
      <c r="U353" s="297" t="n"/>
    </row>
    <row r="354">
      <c r="A354" s="174" t="n"/>
      <c r="B354" s="298" t="n"/>
      <c r="C354" s="107">
        <f>IF(B354="", "", VLOOKUP(B354, 'CLIENT DATA'!A:S, 19, FALSE))</f>
        <v/>
      </c>
      <c r="D354" s="107">
        <f t="array" ref="D354">IF(B354="", "", _xlfn.TEXTJOIN(", ", TRUE, IF('CLIENT DATA'!$A$2:$A$205=B354, 'CLIENT DATA'!$C$2:$F$205, "")))</f>
        <v/>
      </c>
      <c r="E354" s="52" t="n"/>
      <c r="F354" s="52" t="n"/>
      <c r="G354" s="52" t="n"/>
      <c r="H354" s="52" t="n"/>
      <c r="I354" s="52" t="n"/>
      <c r="J354" s="59" t="n"/>
      <c r="K354" s="59" t="n"/>
      <c r="L354" s="59" t="n"/>
      <c r="M354" s="59" t="n"/>
      <c r="N354" s="59" t="n"/>
      <c r="O354" s="297" t="n"/>
      <c r="P354" s="297" t="n"/>
      <c r="Q354" s="297" t="n"/>
      <c r="R354" s="297" t="n"/>
      <c r="S354" s="297" t="n"/>
      <c r="T354" s="297" t="n"/>
      <c r="U354" s="297" t="n"/>
    </row>
    <row r="355">
      <c r="A355" s="174" t="n"/>
      <c r="B355" s="298" t="n"/>
      <c r="C355" s="107">
        <f>IF(B355="", "", VLOOKUP(B355, 'CLIENT DATA'!A:S, 19, FALSE))</f>
        <v/>
      </c>
      <c r="D355" s="107">
        <f t="array" ref="D355">IF(B355="", "", _xlfn.TEXTJOIN(", ", TRUE, IF('CLIENT DATA'!$A$2:$A$205=B355, 'CLIENT DATA'!$C$2:$F$205, "")))</f>
        <v/>
      </c>
      <c r="E355" s="52" t="n"/>
      <c r="F355" s="52" t="n"/>
      <c r="G355" s="52" t="n"/>
      <c r="H355" s="52" t="n"/>
      <c r="I355" s="52" t="n"/>
      <c r="J355" s="59" t="n"/>
      <c r="K355" s="59" t="n"/>
      <c r="L355" s="59" t="n"/>
      <c r="M355" s="59" t="n"/>
      <c r="N355" s="59" t="n"/>
      <c r="O355" s="297" t="n"/>
      <c r="P355" s="297" t="n"/>
      <c r="Q355" s="297" t="n"/>
      <c r="R355" s="297" t="n"/>
      <c r="S355" s="297" t="n"/>
      <c r="T355" s="297" t="n"/>
      <c r="U355" s="297" t="n"/>
    </row>
    <row r="356">
      <c r="A356" s="174" t="n"/>
      <c r="B356" s="298" t="n"/>
      <c r="C356" s="107">
        <f>IF(B356="", "", VLOOKUP(B356, 'CLIENT DATA'!A:S, 19, FALSE))</f>
        <v/>
      </c>
      <c r="D356" s="107">
        <f t="array" ref="D356">IF(B356="", "", _xlfn.TEXTJOIN(", ", TRUE, IF('CLIENT DATA'!$A$2:$A$205=B356, 'CLIENT DATA'!$C$2:$F$205, "")))</f>
        <v/>
      </c>
      <c r="E356" s="52" t="n"/>
      <c r="F356" s="52" t="n"/>
      <c r="G356" s="52" t="n"/>
      <c r="H356" s="52" t="n"/>
      <c r="I356" s="52" t="n"/>
      <c r="J356" s="59" t="n"/>
      <c r="K356" s="59" t="n"/>
      <c r="L356" s="59" t="n"/>
      <c r="M356" s="59" t="n"/>
      <c r="N356" s="59" t="n"/>
      <c r="O356" s="297" t="n"/>
      <c r="P356" s="297" t="n"/>
      <c r="Q356" s="297" t="n"/>
      <c r="R356" s="297" t="n"/>
      <c r="S356" s="297" t="n"/>
      <c r="T356" s="297" t="n"/>
      <c r="U356" s="297" t="n"/>
    </row>
    <row r="357">
      <c r="A357" s="174" t="n"/>
      <c r="B357" s="298" t="n"/>
      <c r="C357" s="107">
        <f>IF(B357="", "", VLOOKUP(B357, 'CLIENT DATA'!A:S, 19, FALSE))</f>
        <v/>
      </c>
      <c r="D357" s="107">
        <f t="array" ref="D357">IF(B357="", "", _xlfn.TEXTJOIN(", ", TRUE, IF('CLIENT DATA'!$A$2:$A$205=B357, 'CLIENT DATA'!$C$2:$F$205, "")))</f>
        <v/>
      </c>
      <c r="E357" s="52" t="n"/>
      <c r="F357" s="52" t="n"/>
      <c r="G357" s="52" t="n"/>
      <c r="H357" s="52" t="n"/>
      <c r="I357" s="52" t="n"/>
      <c r="J357" s="59" t="n"/>
      <c r="K357" s="59" t="n"/>
      <c r="L357" s="59" t="n"/>
      <c r="M357" s="59" t="n"/>
      <c r="N357" s="59" t="n"/>
      <c r="O357" s="297" t="n"/>
      <c r="P357" s="297" t="n"/>
      <c r="Q357" s="297" t="n"/>
      <c r="R357" s="297" t="n"/>
      <c r="S357" s="297" t="n"/>
      <c r="T357" s="297" t="n"/>
      <c r="U357" s="297" t="n"/>
    </row>
    <row r="358">
      <c r="A358" s="174" t="n"/>
      <c r="B358" s="298" t="n"/>
      <c r="C358" s="107">
        <f>IF(B358="", "", VLOOKUP(B358, 'CLIENT DATA'!A:S, 19, FALSE))</f>
        <v/>
      </c>
      <c r="D358" s="107">
        <f t="array" ref="D358">IF(B358="", "", _xlfn.TEXTJOIN(", ", TRUE, IF('CLIENT DATA'!$A$2:$A$205=B358, 'CLIENT DATA'!$C$2:$F$205, "")))</f>
        <v/>
      </c>
      <c r="E358" s="52" t="n"/>
      <c r="F358" s="52" t="n"/>
      <c r="G358" s="52" t="n"/>
      <c r="H358" s="52" t="n"/>
      <c r="I358" s="52" t="n"/>
      <c r="J358" s="59" t="n"/>
      <c r="K358" s="59" t="n"/>
      <c r="L358" s="59" t="n"/>
      <c r="M358" s="59" t="n"/>
      <c r="N358" s="59" t="n"/>
      <c r="O358" s="297" t="n"/>
      <c r="P358" s="297" t="n"/>
      <c r="Q358" s="297" t="n"/>
      <c r="R358" s="297" t="n"/>
      <c r="S358" s="297" t="n"/>
      <c r="T358" s="297" t="n"/>
      <c r="U358" s="297" t="n"/>
    </row>
    <row r="359">
      <c r="A359" s="174" t="n"/>
      <c r="B359" s="298" t="n"/>
      <c r="C359" s="107">
        <f>IF(B359="", "", VLOOKUP(B359, 'CLIENT DATA'!A:S, 19, FALSE))</f>
        <v/>
      </c>
      <c r="D359" s="107">
        <f t="array" ref="D359">IF(B359="", "", _xlfn.TEXTJOIN(", ", TRUE, IF('CLIENT DATA'!$A$2:$A$205=B359, 'CLIENT DATA'!$C$2:$F$205, "")))</f>
        <v/>
      </c>
      <c r="E359" s="52" t="n"/>
      <c r="F359" s="52" t="n"/>
      <c r="G359" s="52" t="n"/>
      <c r="H359" s="52" t="n"/>
      <c r="I359" s="52" t="n"/>
      <c r="J359" s="59" t="n"/>
      <c r="K359" s="59" t="n"/>
      <c r="L359" s="59" t="n"/>
      <c r="M359" s="59" t="n"/>
      <c r="N359" s="59" t="n"/>
      <c r="O359" s="297" t="n"/>
      <c r="P359" s="297" t="n"/>
      <c r="Q359" s="297" t="n"/>
      <c r="R359" s="297" t="n"/>
      <c r="S359" s="297" t="n"/>
      <c r="T359" s="297" t="n"/>
      <c r="U359" s="297" t="n"/>
    </row>
    <row r="360">
      <c r="A360" s="174" t="n"/>
      <c r="B360" s="298" t="n"/>
      <c r="C360" s="107">
        <f>IF(B360="", "", VLOOKUP(B360, 'CLIENT DATA'!A:S, 19, FALSE))</f>
        <v/>
      </c>
      <c r="D360" s="107">
        <f t="array" ref="D360">IF(B360="", "", _xlfn.TEXTJOIN(", ", TRUE, IF('CLIENT DATA'!$A$2:$A$205=B360, 'CLIENT DATA'!$C$2:$F$205, "")))</f>
        <v/>
      </c>
      <c r="E360" s="52" t="n"/>
      <c r="F360" s="52" t="n"/>
      <c r="G360" s="52" t="n"/>
      <c r="H360" s="52" t="n"/>
      <c r="I360" s="52" t="n"/>
      <c r="J360" s="59" t="n"/>
      <c r="K360" s="59" t="n"/>
      <c r="L360" s="59" t="n"/>
      <c r="M360" s="59" t="n"/>
      <c r="N360" s="59" t="n"/>
      <c r="O360" s="297" t="n"/>
      <c r="P360" s="297" t="n"/>
      <c r="Q360" s="297" t="n"/>
      <c r="R360" s="297" t="n"/>
      <c r="S360" s="297" t="n"/>
      <c r="T360" s="297" t="n"/>
      <c r="U360" s="297" t="n"/>
    </row>
    <row r="361">
      <c r="A361" s="174" t="n"/>
      <c r="B361" s="298" t="n"/>
      <c r="C361" s="107">
        <f>IF(B361="", "", VLOOKUP(B361, 'CLIENT DATA'!A:S, 19, FALSE))</f>
        <v/>
      </c>
      <c r="D361" s="107">
        <f t="array" ref="D361">IF(B361="", "", _xlfn.TEXTJOIN(", ", TRUE, IF('CLIENT DATA'!$A$2:$A$205=B361, 'CLIENT DATA'!$C$2:$F$205, "")))</f>
        <v/>
      </c>
      <c r="E361" s="52" t="n"/>
      <c r="F361" s="52" t="n"/>
      <c r="G361" s="52" t="n"/>
      <c r="H361" s="52" t="n"/>
      <c r="I361" s="52" t="n"/>
      <c r="J361" s="59" t="n"/>
      <c r="K361" s="59" t="n"/>
      <c r="L361" s="59" t="n"/>
      <c r="M361" s="59" t="n"/>
      <c r="N361" s="59" t="n"/>
      <c r="O361" s="297" t="n"/>
      <c r="P361" s="297" t="n"/>
      <c r="Q361" s="297" t="n"/>
      <c r="R361" s="297" t="n"/>
      <c r="S361" s="297" t="n"/>
      <c r="T361" s="297" t="n"/>
      <c r="U361" s="297" t="n"/>
    </row>
    <row r="362">
      <c r="A362" s="174" t="n"/>
      <c r="B362" s="298" t="n"/>
      <c r="C362" s="107">
        <f>IF(B362="", "", VLOOKUP(B362, 'CLIENT DATA'!A:S, 19, FALSE))</f>
        <v/>
      </c>
      <c r="D362" s="107">
        <f t="array" ref="D362">IF(B362="", "", _xlfn.TEXTJOIN(", ", TRUE, IF('CLIENT DATA'!$A$2:$A$205=B362, 'CLIENT DATA'!$C$2:$F$205, "")))</f>
        <v/>
      </c>
      <c r="E362" s="52" t="n"/>
      <c r="F362" s="52" t="n"/>
      <c r="G362" s="52" t="n"/>
      <c r="H362" s="52" t="n"/>
      <c r="I362" s="52" t="n"/>
      <c r="J362" s="59" t="n"/>
      <c r="K362" s="59" t="n"/>
      <c r="L362" s="59" t="n"/>
      <c r="M362" s="59" t="n"/>
      <c r="N362" s="59" t="n"/>
      <c r="O362" s="297" t="n"/>
      <c r="P362" s="297" t="n"/>
      <c r="Q362" s="297" t="n"/>
      <c r="R362" s="297" t="n"/>
      <c r="S362" s="297" t="n"/>
      <c r="T362" s="297" t="n"/>
      <c r="U362" s="297" t="n"/>
    </row>
    <row r="363">
      <c r="A363" s="174" t="n"/>
      <c r="B363" s="298" t="n"/>
      <c r="C363" s="107">
        <f>IF(B363="", "", VLOOKUP(B363, 'CLIENT DATA'!A:S, 19, FALSE))</f>
        <v/>
      </c>
      <c r="D363" s="107">
        <f t="array" ref="D363">IF(B363="", "", _xlfn.TEXTJOIN(", ", TRUE, IF('CLIENT DATA'!$A$2:$A$205=B363, 'CLIENT DATA'!$C$2:$F$205, "")))</f>
        <v/>
      </c>
      <c r="E363" s="52" t="n"/>
      <c r="F363" s="52" t="n"/>
      <c r="G363" s="52" t="n"/>
      <c r="H363" s="52" t="n"/>
      <c r="I363" s="52" t="n"/>
      <c r="J363" s="59" t="n"/>
      <c r="K363" s="59" t="n"/>
      <c r="L363" s="59" t="n"/>
      <c r="M363" s="59" t="n"/>
      <c r="N363" s="59" t="n"/>
      <c r="O363" s="297" t="n"/>
      <c r="P363" s="297" t="n"/>
      <c r="Q363" s="297" t="n"/>
      <c r="R363" s="297" t="n"/>
      <c r="S363" s="297" t="n"/>
      <c r="T363" s="297" t="n"/>
      <c r="U363" s="297" t="n"/>
    </row>
    <row r="364">
      <c r="A364" s="174" t="n"/>
      <c r="B364" s="187" t="n"/>
      <c r="C364" s="107">
        <f>IF(B364="", "", VLOOKUP(B364, 'CLIENT DATA'!A:S, 19, FALSE))</f>
        <v/>
      </c>
      <c r="D364" s="107">
        <f t="array" ref="D364">IF(B364="", "", _xlfn.TEXTJOIN(", ", TRUE, IF('CLIENT DATA'!$A$2:$A$205=B364, 'CLIENT DATA'!$C$2:$F$205, "")))</f>
        <v/>
      </c>
      <c r="E364" s="52" t="n"/>
      <c r="F364" s="52" t="n"/>
      <c r="G364" s="52" t="n"/>
      <c r="H364" s="52" t="n"/>
      <c r="I364" s="52" t="n"/>
      <c r="J364" s="59" t="n"/>
      <c r="K364" s="59" t="n"/>
      <c r="L364" s="59" t="n"/>
      <c r="M364" s="59" t="n"/>
      <c r="N364" s="59" t="n"/>
      <c r="O364" s="297" t="n"/>
      <c r="P364" s="297" t="n"/>
      <c r="Q364" s="297" t="n"/>
      <c r="R364" s="297" t="n"/>
      <c r="S364" s="297" t="n"/>
      <c r="T364" s="297" t="n"/>
      <c r="U364" s="297" t="n"/>
    </row>
    <row r="365">
      <c r="A365" s="174" t="n"/>
      <c r="B365" s="187" t="n"/>
      <c r="C365" s="107">
        <f>IF(B365="", "", VLOOKUP(B365, 'CLIENT DATA'!A:S, 19, FALSE))</f>
        <v/>
      </c>
      <c r="D365" s="107">
        <f t="array" ref="D365">IF(B365="", "", _xlfn.TEXTJOIN(", ", TRUE, IF('CLIENT DATA'!$A$2:$A$205=B365, 'CLIENT DATA'!$C$2:$F$205, "")))</f>
        <v/>
      </c>
      <c r="E365" s="52" t="n"/>
      <c r="F365" s="52" t="n"/>
      <c r="G365" s="52" t="n"/>
      <c r="H365" s="52" t="n"/>
      <c r="I365" s="52" t="n"/>
      <c r="J365" s="59" t="n"/>
      <c r="K365" s="59" t="n"/>
      <c r="L365" s="59" t="n"/>
      <c r="M365" s="59" t="n"/>
      <c r="N365" s="59" t="n"/>
      <c r="O365" s="297" t="n"/>
      <c r="P365" s="297" t="n"/>
      <c r="Q365" s="297" t="n"/>
      <c r="R365" s="297" t="n"/>
      <c r="S365" s="297" t="n"/>
      <c r="T365" s="297" t="n"/>
      <c r="U365" s="297" t="n"/>
    </row>
    <row r="366">
      <c r="A366" s="174" t="n"/>
      <c r="B366" s="187" t="n"/>
      <c r="C366" s="107">
        <f>IF(B366="", "", VLOOKUP(B366, 'CLIENT DATA'!A:S, 19, FALSE))</f>
        <v/>
      </c>
      <c r="D366" s="107">
        <f t="array" ref="D366">IF(B366="", "", _xlfn.TEXTJOIN(", ", TRUE, IF('CLIENT DATA'!$A$2:$A$205=B366, 'CLIENT DATA'!$C$2:$F$205, "")))</f>
        <v/>
      </c>
      <c r="E366" s="52" t="n"/>
      <c r="F366" s="52" t="n"/>
      <c r="G366" s="52" t="n"/>
      <c r="H366" s="52" t="n"/>
      <c r="I366" s="52" t="n"/>
      <c r="J366" s="59" t="n"/>
      <c r="K366" s="59" t="n"/>
      <c r="L366" s="59" t="n"/>
      <c r="M366" s="59" t="n"/>
      <c r="N366" s="59" t="n"/>
      <c r="O366" s="297" t="n"/>
      <c r="P366" s="297" t="n"/>
      <c r="Q366" s="297" t="n"/>
      <c r="R366" s="297" t="n"/>
      <c r="S366" s="297" t="n"/>
      <c r="T366" s="297" t="n"/>
      <c r="U366" s="297" t="n"/>
    </row>
    <row r="367">
      <c r="A367" s="174" t="n"/>
      <c r="B367" s="187" t="n"/>
      <c r="C367" s="107">
        <f>IF(B367="", "", VLOOKUP(B367, 'CLIENT DATA'!A:S, 19, FALSE))</f>
        <v/>
      </c>
      <c r="D367" s="107">
        <f t="array" ref="D367">IF(B367="", "", _xlfn.TEXTJOIN(", ", TRUE, IF('CLIENT DATA'!$A$2:$A$205=B367, 'CLIENT DATA'!$C$2:$F$205, "")))</f>
        <v/>
      </c>
      <c r="E367" s="52" t="n"/>
      <c r="F367" s="52" t="n"/>
      <c r="G367" s="52" t="n"/>
      <c r="H367" s="52" t="n"/>
      <c r="I367" s="52" t="n"/>
      <c r="J367" s="59" t="n"/>
      <c r="K367" s="59" t="n"/>
      <c r="L367" s="59" t="n"/>
      <c r="M367" s="59" t="n"/>
      <c r="N367" s="59" t="n"/>
      <c r="O367" s="297" t="n"/>
      <c r="P367" s="297" t="n"/>
      <c r="Q367" s="297" t="n"/>
      <c r="R367" s="297" t="n"/>
      <c r="S367" s="297" t="n"/>
      <c r="T367" s="297" t="n"/>
      <c r="U367" s="297" t="n"/>
    </row>
    <row r="368">
      <c r="A368" s="174" t="n"/>
      <c r="B368" s="187" t="n"/>
      <c r="C368" s="107">
        <f>IF(B368="", "", VLOOKUP(B368, 'CLIENT DATA'!A:S, 19, FALSE))</f>
        <v/>
      </c>
      <c r="D368" s="107">
        <f t="array" ref="D368">IF(B368="", "", _xlfn.TEXTJOIN(", ", TRUE, IF('CLIENT DATA'!$A$2:$A$205=B368, 'CLIENT DATA'!$C$2:$F$205, "")))</f>
        <v/>
      </c>
      <c r="E368" s="52" t="n"/>
      <c r="F368" s="52" t="n"/>
      <c r="G368" s="52" t="n"/>
      <c r="H368" s="52" t="n"/>
      <c r="I368" s="52" t="n"/>
      <c r="J368" s="59" t="n"/>
      <c r="K368" s="59" t="n"/>
      <c r="L368" s="59" t="n"/>
      <c r="M368" s="59" t="n"/>
      <c r="N368" s="59" t="n"/>
      <c r="O368" s="297" t="n"/>
      <c r="P368" s="297" t="n"/>
      <c r="Q368" s="297" t="n"/>
      <c r="R368" s="297" t="n"/>
      <c r="S368" s="297" t="n"/>
      <c r="T368" s="297" t="n"/>
      <c r="U368" s="297" t="n"/>
    </row>
    <row r="369">
      <c r="A369" s="174" t="n"/>
      <c r="B369" s="187" t="n"/>
      <c r="C369" s="107">
        <f>IF(B369="", "", VLOOKUP(B369, 'CLIENT DATA'!A:S, 19, FALSE))</f>
        <v/>
      </c>
      <c r="D369" s="107">
        <f t="array" ref="D369">IF(B369="", "", _xlfn.TEXTJOIN(", ", TRUE, IF('CLIENT DATA'!$A$2:$A$205=B369, 'CLIENT DATA'!$C$2:$F$205, "")))</f>
        <v/>
      </c>
      <c r="E369" s="52" t="n"/>
      <c r="F369" s="52" t="n"/>
      <c r="G369" s="52" t="n"/>
      <c r="H369" s="52" t="n"/>
      <c r="I369" s="52" t="n"/>
      <c r="J369" s="59" t="n"/>
      <c r="K369" s="59" t="n"/>
      <c r="L369" s="59" t="n"/>
      <c r="M369" s="59" t="n"/>
      <c r="N369" s="59" t="n"/>
      <c r="O369" s="297" t="n"/>
      <c r="P369" s="297" t="n"/>
      <c r="Q369" s="297" t="n"/>
      <c r="R369" s="297" t="n"/>
      <c r="S369" s="297" t="n"/>
      <c r="T369" s="297" t="n"/>
      <c r="U369" s="297" t="n"/>
    </row>
    <row r="370">
      <c r="A370" s="174" t="n"/>
      <c r="B370" s="187" t="n"/>
      <c r="C370" s="107">
        <f>IF(B370="", "", VLOOKUP(B370, 'CLIENT DATA'!A:S, 19, FALSE))</f>
        <v/>
      </c>
      <c r="D370" s="107">
        <f t="array" ref="D370">IF(B370="", "", _xlfn.TEXTJOIN(", ", TRUE, IF('CLIENT DATA'!$A$2:$A$205=B370, 'CLIENT DATA'!$C$2:$F$205, "")))</f>
        <v/>
      </c>
      <c r="E370" s="52" t="n"/>
      <c r="F370" s="52" t="n"/>
      <c r="G370" s="52" t="n"/>
      <c r="H370" s="52" t="n"/>
      <c r="I370" s="52" t="n"/>
      <c r="J370" s="59" t="n"/>
      <c r="K370" s="59" t="n"/>
      <c r="L370" s="59" t="n"/>
      <c r="M370" s="59" t="n"/>
      <c r="N370" s="59" t="n"/>
      <c r="O370" s="297" t="n"/>
      <c r="P370" s="297" t="n"/>
      <c r="Q370" s="297" t="n"/>
      <c r="R370" s="297" t="n"/>
      <c r="S370" s="297" t="n"/>
      <c r="T370" s="297" t="n"/>
      <c r="U370" s="297" t="n"/>
    </row>
    <row r="371">
      <c r="A371" s="174" t="n"/>
      <c r="B371" s="187" t="n"/>
      <c r="C371" s="107">
        <f>IF(B371="", "", VLOOKUP(B371, 'CLIENT DATA'!A:S, 19, FALSE))</f>
        <v/>
      </c>
      <c r="D371" s="107">
        <f t="array" ref="D371">IF(B371="", "", _xlfn.TEXTJOIN(", ", TRUE, IF('CLIENT DATA'!$A$2:$A$205=B371, 'CLIENT DATA'!$C$2:$F$205, "")))</f>
        <v/>
      </c>
      <c r="E371" s="52" t="n"/>
      <c r="F371" s="52" t="n"/>
      <c r="G371" s="52" t="n"/>
      <c r="H371" s="52" t="n"/>
      <c r="I371" s="52" t="n"/>
      <c r="J371" s="59" t="n"/>
      <c r="K371" s="59" t="n"/>
      <c r="L371" s="59" t="n"/>
      <c r="M371" s="59" t="n"/>
      <c r="N371" s="59" t="n"/>
      <c r="O371" s="297" t="n"/>
      <c r="P371" s="297" t="n"/>
      <c r="Q371" s="297" t="n"/>
      <c r="R371" s="297" t="n"/>
      <c r="S371" s="297" t="n"/>
      <c r="T371" s="297" t="n"/>
      <c r="U371" s="297" t="n"/>
    </row>
    <row r="372">
      <c r="A372" s="174" t="n"/>
      <c r="B372" s="299" t="n"/>
      <c r="C372" s="107">
        <f>IF(B372="", "", VLOOKUP(B372, 'CLIENT DATA'!A:S, 19, FALSE))</f>
        <v/>
      </c>
      <c r="D372" s="107">
        <f t="array" ref="D372">IF(B372="", "", _xlfn.TEXTJOIN(", ", TRUE, IF('CLIENT DATA'!$A$2:$A$205=B372, 'CLIENT DATA'!$C$2:$F$205, "")))</f>
        <v/>
      </c>
      <c r="E372" s="52" t="n"/>
      <c r="F372" s="52" t="n"/>
      <c r="G372" s="52" t="n"/>
      <c r="H372" s="52" t="n"/>
      <c r="I372" s="52" t="n"/>
      <c r="J372" s="59" t="n"/>
      <c r="K372" s="59" t="n"/>
      <c r="L372" s="59" t="n"/>
      <c r="M372" s="59" t="n"/>
      <c r="N372" s="59" t="n"/>
      <c r="O372" s="297" t="n"/>
      <c r="P372" s="297" t="n"/>
      <c r="Q372" s="297" t="n"/>
      <c r="R372" s="297" t="n"/>
      <c r="S372" s="297" t="n"/>
      <c r="T372" s="297" t="n"/>
      <c r="U372" s="297" t="n"/>
    </row>
    <row r="373">
      <c r="A373" s="174" t="n"/>
      <c r="B373" s="299" t="n"/>
      <c r="C373" s="107">
        <f>IF(B373="", "", VLOOKUP(B373, 'CLIENT DATA'!A:S, 19, FALSE))</f>
        <v/>
      </c>
      <c r="D373" s="107">
        <f t="array" ref="D373">IF(B373="", "", _xlfn.TEXTJOIN(", ", TRUE, IF('CLIENT DATA'!$A$2:$A$205=B373, 'CLIENT DATA'!$C$2:$F$205, "")))</f>
        <v/>
      </c>
      <c r="E373" s="52" t="n"/>
      <c r="F373" s="52" t="n"/>
      <c r="G373" s="52" t="n"/>
      <c r="H373" s="52" t="n"/>
      <c r="I373" s="52" t="n"/>
      <c r="J373" s="59" t="n"/>
      <c r="K373" s="59" t="n"/>
      <c r="L373" s="59" t="n"/>
      <c r="M373" s="59" t="n"/>
      <c r="N373" s="59" t="n"/>
      <c r="O373" s="297" t="n"/>
      <c r="P373" s="297" t="n"/>
      <c r="Q373" s="297" t="n"/>
      <c r="R373" s="297" t="n"/>
      <c r="S373" s="297" t="n"/>
      <c r="T373" s="297" t="n"/>
      <c r="U373" s="297" t="n"/>
    </row>
    <row r="374">
      <c r="A374" s="174" t="n"/>
      <c r="B374" s="299" t="n"/>
      <c r="C374" s="107">
        <f>IF(B374="", "", VLOOKUP(B374, 'CLIENT DATA'!A:S, 19, FALSE))</f>
        <v/>
      </c>
      <c r="D374" s="107">
        <f t="array" ref="D374">IF(B374="", "", _xlfn.TEXTJOIN(", ", TRUE, IF('CLIENT DATA'!$A$2:$A$205=B374, 'CLIENT DATA'!$C$2:$F$205, "")))</f>
        <v/>
      </c>
      <c r="E374" s="52" t="n"/>
      <c r="F374" s="52" t="n"/>
      <c r="G374" s="52" t="n"/>
      <c r="H374" s="52" t="n"/>
      <c r="I374" s="52" t="n"/>
      <c r="J374" s="59" t="n"/>
      <c r="K374" s="59" t="n"/>
      <c r="L374" s="59" t="n"/>
      <c r="M374" s="59" t="n"/>
      <c r="N374" s="59" t="n"/>
      <c r="O374" s="297" t="n"/>
      <c r="P374" s="297" t="n"/>
      <c r="Q374" s="297" t="n"/>
      <c r="R374" s="297" t="n"/>
      <c r="S374" s="297" t="n"/>
      <c r="T374" s="297" t="n"/>
      <c r="U374" s="297" t="n"/>
    </row>
    <row r="375">
      <c r="A375" s="174" t="n"/>
      <c r="B375" s="299" t="n"/>
      <c r="C375" s="107">
        <f>IF(B375="", "", VLOOKUP(B375, 'CLIENT DATA'!A:S, 19, FALSE))</f>
        <v/>
      </c>
      <c r="D375" s="107">
        <f t="array" ref="D375">IF(B375="", "", _xlfn.TEXTJOIN(", ", TRUE, IF('CLIENT DATA'!$A$2:$A$205=B375, 'CLIENT DATA'!$C$2:$F$205, "")))</f>
        <v/>
      </c>
      <c r="E375" s="52" t="n"/>
      <c r="F375" s="52" t="n"/>
      <c r="G375" s="52" t="n"/>
      <c r="H375" s="52" t="n"/>
      <c r="I375" s="52" t="n"/>
      <c r="J375" s="59" t="n"/>
      <c r="K375" s="59" t="n"/>
      <c r="L375" s="59" t="n"/>
      <c r="M375" s="59" t="n"/>
      <c r="N375" s="59" t="n"/>
      <c r="O375" s="297" t="n"/>
      <c r="P375" s="297" t="n"/>
      <c r="Q375" s="297" t="n"/>
      <c r="R375" s="297" t="n"/>
      <c r="S375" s="297" t="n"/>
      <c r="T375" s="297" t="n"/>
      <c r="U375" s="297" t="n"/>
    </row>
    <row r="376">
      <c r="A376" s="174" t="n"/>
      <c r="B376" s="299" t="n"/>
      <c r="C376" s="107">
        <f>IF(B376="", "", VLOOKUP(B376, 'CLIENT DATA'!A:S, 19, FALSE))</f>
        <v/>
      </c>
      <c r="D376" s="107">
        <f t="array" ref="D376">IF(B376="", "", _xlfn.TEXTJOIN(", ", TRUE, IF('CLIENT DATA'!$A$2:$A$205=B376, 'CLIENT DATA'!$C$2:$F$205, "")))</f>
        <v/>
      </c>
      <c r="E376" s="52" t="n"/>
      <c r="F376" s="52" t="n"/>
      <c r="G376" s="52" t="n"/>
      <c r="H376" s="52" t="n"/>
      <c r="I376" s="52" t="n"/>
      <c r="J376" s="59" t="n"/>
      <c r="K376" s="59" t="n"/>
      <c r="L376" s="59" t="n"/>
      <c r="M376" s="59" t="n"/>
      <c r="N376" s="59" t="n"/>
      <c r="O376" s="297" t="n"/>
      <c r="P376" s="297" t="n"/>
      <c r="Q376" s="297" t="n"/>
      <c r="R376" s="297" t="n"/>
      <c r="S376" s="297" t="n"/>
      <c r="T376" s="297" t="n"/>
      <c r="U376" s="297" t="n"/>
    </row>
    <row r="377">
      <c r="A377" s="174" t="n"/>
      <c r="B377" s="299" t="n"/>
      <c r="C377" s="107">
        <f>IF(B377="", "", VLOOKUP(B377, 'CLIENT DATA'!A:S, 19, FALSE))</f>
        <v/>
      </c>
      <c r="D377" s="107">
        <f t="array" ref="D377">IF(B377="", "", _xlfn.TEXTJOIN(", ", TRUE, IF('CLIENT DATA'!$A$2:$A$205=B377, 'CLIENT DATA'!$C$2:$F$205, "")))</f>
        <v/>
      </c>
      <c r="E377" s="52" t="n"/>
      <c r="F377" s="52" t="n"/>
      <c r="G377" s="52" t="n"/>
      <c r="H377" s="52" t="n"/>
      <c r="I377" s="52" t="n"/>
      <c r="J377" s="59" t="n"/>
      <c r="K377" s="59" t="n"/>
      <c r="L377" s="59" t="n"/>
      <c r="M377" s="59" t="n"/>
      <c r="N377" s="59" t="n"/>
      <c r="O377" s="297" t="n"/>
      <c r="P377" s="297" t="n"/>
      <c r="Q377" s="297" t="n"/>
      <c r="R377" s="297" t="n"/>
      <c r="S377" s="297" t="n"/>
      <c r="T377" s="297" t="n"/>
      <c r="U377" s="297" t="n"/>
    </row>
    <row r="378">
      <c r="A378" s="174" t="n"/>
      <c r="B378" s="299" t="n"/>
      <c r="C378" s="107">
        <f>IF(B378="", "", VLOOKUP(B378, 'CLIENT DATA'!A:S, 19, FALSE))</f>
        <v/>
      </c>
      <c r="D378" s="107">
        <f t="array" ref="D378">IF(B378="", "", _xlfn.TEXTJOIN(", ", TRUE, IF('CLIENT DATA'!$A$2:$A$205=B378, 'CLIENT DATA'!$C$2:$F$205, "")))</f>
        <v/>
      </c>
      <c r="E378" s="52" t="n"/>
      <c r="F378" s="52" t="n"/>
      <c r="G378" s="52" t="n"/>
      <c r="H378" s="52" t="n"/>
      <c r="I378" s="52" t="n"/>
      <c r="J378" s="59" t="n"/>
      <c r="K378" s="59" t="n"/>
      <c r="L378" s="59" t="n"/>
      <c r="M378" s="59" t="n"/>
      <c r="N378" s="59" t="n"/>
      <c r="O378" s="297" t="n"/>
      <c r="P378" s="297" t="n"/>
      <c r="Q378" s="297" t="n"/>
      <c r="R378" s="297" t="n"/>
      <c r="S378" s="297" t="n"/>
      <c r="T378" s="297" t="n"/>
      <c r="U378" s="297" t="n"/>
    </row>
    <row r="379">
      <c r="A379" s="174" t="n"/>
      <c r="B379" s="299" t="n"/>
      <c r="C379" s="107">
        <f>IF(B379="", "", VLOOKUP(B379, 'CLIENT DATA'!A:S, 19, FALSE))</f>
        <v/>
      </c>
      <c r="D379" s="107">
        <f t="array" ref="D379">IF(B379="", "", _xlfn.TEXTJOIN(", ", TRUE, IF('CLIENT DATA'!$A$2:$A$205=B379, 'CLIENT DATA'!$C$2:$F$205, "")))</f>
        <v/>
      </c>
      <c r="E379" s="52" t="n"/>
      <c r="F379" s="52" t="n"/>
      <c r="G379" s="52" t="n"/>
      <c r="H379" s="52" t="n"/>
      <c r="I379" s="52" t="n"/>
      <c r="J379" s="59" t="n"/>
      <c r="K379" s="59" t="n"/>
      <c r="L379" s="59" t="n"/>
      <c r="M379" s="59" t="n"/>
      <c r="N379" s="59" t="n"/>
      <c r="O379" s="297" t="n"/>
      <c r="P379" s="297" t="n"/>
      <c r="Q379" s="297" t="n"/>
      <c r="R379" s="297" t="n"/>
      <c r="S379" s="297" t="n"/>
      <c r="T379" s="297" t="n"/>
      <c r="U379" s="297" t="n"/>
    </row>
    <row r="380">
      <c r="A380" s="174" t="n"/>
      <c r="B380" s="299" t="n"/>
      <c r="C380" s="107">
        <f>IF(B380="", "", VLOOKUP(B380, 'CLIENT DATA'!A:S, 19, FALSE))</f>
        <v/>
      </c>
      <c r="D380" s="107">
        <f t="array" ref="D380">IF(B380="", "", _xlfn.TEXTJOIN(", ", TRUE, IF('CLIENT DATA'!$A$2:$A$205=B380, 'CLIENT DATA'!$C$2:$F$205, "")))</f>
        <v/>
      </c>
      <c r="E380" s="52" t="n"/>
      <c r="F380" s="52" t="n"/>
      <c r="G380" s="52" t="n"/>
      <c r="H380" s="52" t="n"/>
      <c r="I380" s="52" t="n"/>
      <c r="J380" s="59" t="n"/>
      <c r="K380" s="59" t="n"/>
      <c r="L380" s="59" t="n"/>
      <c r="M380" s="59" t="n"/>
      <c r="N380" s="59" t="n"/>
      <c r="O380" s="297" t="n"/>
      <c r="P380" s="297" t="n"/>
      <c r="Q380" s="297" t="n"/>
      <c r="R380" s="297" t="n"/>
      <c r="S380" s="297" t="n"/>
      <c r="T380" s="297" t="n"/>
      <c r="U380" s="297" t="n"/>
    </row>
    <row r="381">
      <c r="A381" s="174" t="n"/>
      <c r="B381" s="299" t="n"/>
      <c r="C381" s="107">
        <f>IF(B381="", "", VLOOKUP(B381, 'CLIENT DATA'!A:S, 19, FALSE))</f>
        <v/>
      </c>
      <c r="D381" s="107">
        <f t="array" ref="D381">IF(B381="", "", _xlfn.TEXTJOIN(", ", TRUE, IF('CLIENT DATA'!$A$2:$A$205=B381, 'CLIENT DATA'!$C$2:$F$205, "")))</f>
        <v/>
      </c>
      <c r="E381" s="52" t="n"/>
      <c r="F381" s="52" t="n"/>
      <c r="G381" s="52" t="n"/>
      <c r="H381" s="52" t="n"/>
      <c r="I381" s="52" t="n"/>
      <c r="J381" s="59" t="n"/>
      <c r="K381" s="59" t="n"/>
      <c r="L381" s="59" t="n"/>
      <c r="M381" s="59" t="n"/>
      <c r="N381" s="59" t="n"/>
      <c r="O381" s="297" t="n"/>
      <c r="P381" s="297" t="n"/>
      <c r="Q381" s="297" t="n"/>
      <c r="R381" s="297" t="n"/>
      <c r="S381" s="297" t="n"/>
      <c r="T381" s="297" t="n"/>
      <c r="U381" s="297" t="n"/>
    </row>
    <row r="382">
      <c r="A382" s="174" t="n"/>
      <c r="B382" s="299" t="n"/>
      <c r="C382" s="107">
        <f>IF(B382="", "", VLOOKUP(B382, 'CLIENT DATA'!A:S, 19, FALSE))</f>
        <v/>
      </c>
      <c r="D382" s="107">
        <f t="array" ref="D382">IF(B382="", "", _xlfn.TEXTJOIN(", ", TRUE, IF('CLIENT DATA'!$A$2:$A$205=B382, 'CLIENT DATA'!$C$2:$F$205, "")))</f>
        <v/>
      </c>
      <c r="E382" s="52" t="n"/>
      <c r="F382" s="52" t="n"/>
      <c r="G382" s="52" t="n"/>
      <c r="H382" s="52" t="n"/>
      <c r="I382" s="52" t="n"/>
      <c r="J382" s="59" t="n"/>
      <c r="K382" s="59" t="n"/>
      <c r="L382" s="59" t="n"/>
      <c r="M382" s="59" t="n"/>
      <c r="N382" s="59" t="n"/>
      <c r="O382" s="297" t="n"/>
      <c r="P382" s="297" t="n"/>
      <c r="Q382" s="297" t="n"/>
      <c r="R382" s="297" t="n"/>
      <c r="S382" s="297" t="n"/>
      <c r="T382" s="297" t="n"/>
      <c r="U382" s="297" t="n"/>
    </row>
    <row r="383">
      <c r="A383" s="174" t="n"/>
      <c r="B383" s="299" t="n"/>
      <c r="C383" s="107">
        <f>IF(B383="", "", VLOOKUP(B383, 'CLIENT DATA'!A:S, 19, FALSE))</f>
        <v/>
      </c>
      <c r="D383" s="107">
        <f t="array" ref="D383">IF(B383="", "", _xlfn.TEXTJOIN(", ", TRUE, IF('CLIENT DATA'!$A$2:$A$205=B383, 'CLIENT DATA'!$C$2:$F$205, "")))</f>
        <v/>
      </c>
      <c r="E383" s="52" t="n"/>
      <c r="F383" s="52" t="n"/>
      <c r="G383" s="52" t="n"/>
      <c r="H383" s="52" t="n"/>
      <c r="I383" s="52" t="n"/>
      <c r="J383" s="59" t="n"/>
      <c r="K383" s="59" t="n"/>
      <c r="L383" s="59" t="n"/>
      <c r="M383" s="59" t="n"/>
      <c r="N383" s="59" t="n"/>
      <c r="O383" s="297" t="n"/>
      <c r="P383" s="297" t="n"/>
      <c r="Q383" s="297" t="n"/>
      <c r="R383" s="297" t="n"/>
      <c r="S383" s="297" t="n"/>
      <c r="T383" s="297" t="n"/>
      <c r="U383" s="297" t="n"/>
    </row>
    <row r="384">
      <c r="A384" s="174" t="n"/>
      <c r="B384" s="299" t="n"/>
      <c r="C384" s="107">
        <f>IF(B384="", "", VLOOKUP(B384, 'CLIENT DATA'!A:S, 19, FALSE))</f>
        <v/>
      </c>
      <c r="D384" s="107">
        <f t="array" ref="D384">IF(B384="", "", _xlfn.TEXTJOIN(", ", TRUE, IF('CLIENT DATA'!$A$2:$A$205=B384, 'CLIENT DATA'!$C$2:$F$205, "")))</f>
        <v/>
      </c>
      <c r="E384" s="52" t="n"/>
      <c r="F384" s="52" t="n"/>
      <c r="G384" s="52" t="n"/>
      <c r="H384" s="52" t="n"/>
      <c r="I384" s="52" t="n"/>
      <c r="J384" s="59" t="n"/>
      <c r="K384" s="59" t="n"/>
      <c r="L384" s="59" t="n"/>
      <c r="M384" s="59" t="n"/>
      <c r="N384" s="59" t="n"/>
      <c r="O384" s="297" t="n"/>
      <c r="P384" s="297" t="n"/>
      <c r="Q384" s="297" t="n"/>
      <c r="R384" s="297" t="n"/>
      <c r="S384" s="297" t="n"/>
      <c r="T384" s="297" t="n"/>
      <c r="U384" s="297" t="n"/>
    </row>
    <row r="385">
      <c r="A385" s="174" t="n"/>
      <c r="B385" s="187" t="n"/>
      <c r="C385" s="107">
        <f>IF(B385="", "", VLOOKUP(B385, 'CLIENT DATA'!A:S, 19, FALSE))</f>
        <v/>
      </c>
      <c r="D385" s="107">
        <f t="array" ref="D385">IF(B385="", "", _xlfn.TEXTJOIN(", ", TRUE, IF('CLIENT DATA'!$A$2:$A$205=B385, 'CLIENT DATA'!$C$2:$F$205, "")))</f>
        <v/>
      </c>
      <c r="E385" s="52" t="n"/>
      <c r="F385" s="52" t="n"/>
      <c r="G385" s="52" t="n"/>
      <c r="H385" s="52" t="n"/>
      <c r="I385" s="52" t="n"/>
      <c r="J385" s="59" t="n"/>
      <c r="K385" s="59" t="n"/>
      <c r="L385" s="59" t="n"/>
      <c r="M385" s="59" t="n"/>
      <c r="N385" s="59" t="n"/>
      <c r="O385" s="297" t="n"/>
      <c r="P385" s="297" t="n"/>
      <c r="Q385" s="297" t="n"/>
      <c r="R385" s="297" t="n"/>
      <c r="S385" s="297" t="n"/>
      <c r="T385" s="297" t="n"/>
      <c r="U385" s="297" t="n"/>
    </row>
    <row r="386">
      <c r="A386" s="174" t="n"/>
      <c r="B386" s="187" t="n"/>
      <c r="C386" s="107">
        <f>IF(B386="", "", VLOOKUP(B386, 'CLIENT DATA'!A:S, 19, FALSE))</f>
        <v/>
      </c>
      <c r="D386" s="107">
        <f t="array" ref="D386">IF(B386="", "", _xlfn.TEXTJOIN(", ", TRUE, IF('CLIENT DATA'!$A$2:$A$205=B386, 'CLIENT DATA'!$C$2:$F$205, "")))</f>
        <v/>
      </c>
      <c r="E386" s="52" t="n"/>
      <c r="F386" s="52" t="n"/>
      <c r="G386" s="52" t="n"/>
      <c r="H386" s="52" t="n"/>
      <c r="I386" s="52" t="n"/>
      <c r="J386" s="59" t="n"/>
      <c r="K386" s="59" t="n"/>
      <c r="L386" s="59" t="n"/>
      <c r="M386" s="59" t="n"/>
      <c r="N386" s="59" t="n"/>
      <c r="O386" s="297" t="n"/>
      <c r="P386" s="297" t="n"/>
      <c r="Q386" s="297" t="n"/>
      <c r="R386" s="297" t="n"/>
      <c r="S386" s="297" t="n"/>
      <c r="T386" s="297" t="n"/>
      <c r="U386" s="297" t="n"/>
    </row>
    <row r="387">
      <c r="A387" s="174" t="n"/>
      <c r="B387" s="187" t="n"/>
      <c r="C387" s="107">
        <f>IF(B387="", "", VLOOKUP(B387, 'CLIENT DATA'!A:S, 19, FALSE))</f>
        <v/>
      </c>
      <c r="D387" s="107">
        <f t="array" ref="D387">IF(B387="", "", _xlfn.TEXTJOIN(", ", TRUE, IF('CLIENT DATA'!$A$2:$A$205=B387, 'CLIENT DATA'!$C$2:$F$205, "")))</f>
        <v/>
      </c>
      <c r="E387" s="52" t="n"/>
      <c r="F387" s="52" t="n"/>
      <c r="G387" s="52" t="n"/>
      <c r="H387" s="52" t="n"/>
      <c r="I387" s="52" t="n"/>
      <c r="J387" s="59" t="n"/>
      <c r="K387" s="59" t="n"/>
      <c r="L387" s="59" t="n"/>
      <c r="M387" s="59" t="n"/>
      <c r="N387" s="59" t="n"/>
      <c r="O387" s="297" t="n"/>
      <c r="P387" s="297" t="n"/>
      <c r="Q387" s="297" t="n"/>
      <c r="R387" s="297" t="n"/>
      <c r="S387" s="297" t="n"/>
      <c r="T387" s="297" t="n"/>
      <c r="U387" s="297" t="n"/>
    </row>
    <row r="388">
      <c r="A388" s="174" t="n"/>
      <c r="B388" s="187" t="n"/>
      <c r="C388" s="107">
        <f>IF(B388="", "", VLOOKUP(B388, 'CLIENT DATA'!A:S, 19, FALSE))</f>
        <v/>
      </c>
      <c r="D388" s="107">
        <f t="array" ref="D388">IF(B388="", "", _xlfn.TEXTJOIN(", ", TRUE, IF('CLIENT DATA'!$A$2:$A$205=B388, 'CLIENT DATA'!$C$2:$F$205, "")))</f>
        <v/>
      </c>
      <c r="E388" s="52" t="n"/>
      <c r="F388" s="52" t="n"/>
      <c r="G388" s="52" t="n"/>
      <c r="H388" s="52" t="n"/>
      <c r="I388" s="52" t="n"/>
      <c r="J388" s="59" t="n"/>
      <c r="K388" s="59" t="n"/>
      <c r="L388" s="59" t="n"/>
      <c r="M388" s="59" t="n"/>
      <c r="N388" s="59" t="n"/>
      <c r="O388" s="297" t="n"/>
      <c r="P388" s="297" t="n"/>
      <c r="Q388" s="297" t="n"/>
      <c r="R388" s="297" t="n"/>
      <c r="S388" s="297" t="n"/>
      <c r="T388" s="297" t="n"/>
      <c r="U388" s="297" t="n"/>
    </row>
    <row r="389">
      <c r="A389" s="174" t="n"/>
      <c r="B389" s="187" t="n"/>
      <c r="C389" s="107">
        <f>IF(B389="", "", VLOOKUP(B389, 'CLIENT DATA'!A:S, 19, FALSE))</f>
        <v/>
      </c>
      <c r="D389" s="107">
        <f t="array" ref="D389">IF(B389="", "", _xlfn.TEXTJOIN(", ", TRUE, IF('CLIENT DATA'!$A$2:$A$205=B389, 'CLIENT DATA'!$C$2:$F$205, "")))</f>
        <v/>
      </c>
      <c r="E389" s="52" t="n"/>
      <c r="F389" s="52" t="n"/>
      <c r="G389" s="52" t="n"/>
      <c r="H389" s="52" t="n"/>
      <c r="I389" s="52" t="n"/>
      <c r="J389" s="59" t="n"/>
      <c r="K389" s="59" t="n"/>
      <c r="L389" s="59" t="n"/>
      <c r="M389" s="59" t="n"/>
      <c r="N389" s="59" t="n"/>
      <c r="O389" s="297" t="n"/>
      <c r="P389" s="297" t="n"/>
      <c r="Q389" s="297" t="n"/>
      <c r="R389" s="297" t="n"/>
      <c r="S389" s="297" t="n"/>
      <c r="T389" s="297" t="n"/>
      <c r="U389" s="297" t="n"/>
    </row>
    <row r="390">
      <c r="A390" s="174" t="n"/>
      <c r="B390" s="187" t="n"/>
      <c r="C390" s="107">
        <f>IF(B390="", "", VLOOKUP(B390, 'CLIENT DATA'!A:S, 19, FALSE))</f>
        <v/>
      </c>
      <c r="D390" s="107">
        <f t="array" ref="D390">IF(B390="", "", _xlfn.TEXTJOIN(", ", TRUE, IF('CLIENT DATA'!$A$2:$A$205=B390, 'CLIENT DATA'!$C$2:$F$205, "")))</f>
        <v/>
      </c>
      <c r="E390" s="52" t="n"/>
      <c r="F390" s="52" t="n"/>
      <c r="G390" s="52" t="n"/>
      <c r="H390" s="52" t="n"/>
      <c r="I390" s="52" t="n"/>
      <c r="J390" s="59" t="n"/>
      <c r="K390" s="59" t="n"/>
      <c r="L390" s="59" t="n"/>
      <c r="M390" s="59" t="n"/>
      <c r="N390" s="59" t="n"/>
      <c r="O390" s="297" t="n"/>
      <c r="P390" s="297" t="n"/>
      <c r="Q390" s="297" t="n"/>
      <c r="R390" s="297" t="n"/>
      <c r="S390" s="297" t="n"/>
      <c r="T390" s="297" t="n"/>
      <c r="U390" s="297" t="n"/>
    </row>
    <row r="391">
      <c r="A391" s="174" t="n"/>
      <c r="B391" s="187" t="n"/>
      <c r="C391" s="107">
        <f>IF(B391="", "", VLOOKUP(B391, 'CLIENT DATA'!A:S, 19, FALSE))</f>
        <v/>
      </c>
      <c r="D391" s="107">
        <f t="array" ref="D391">IF(B391="", "", _xlfn.TEXTJOIN(", ", TRUE, IF('CLIENT DATA'!$A$2:$A$205=B391, 'CLIENT DATA'!$C$2:$F$205, "")))</f>
        <v/>
      </c>
      <c r="E391" s="52" t="n"/>
      <c r="F391" s="52" t="n"/>
      <c r="G391" s="52" t="n"/>
      <c r="H391" s="52" t="n"/>
      <c r="I391" s="52" t="n"/>
      <c r="J391" s="59" t="n"/>
      <c r="K391" s="59" t="n"/>
      <c r="L391" s="59" t="n"/>
      <c r="M391" s="59" t="n"/>
      <c r="N391" s="59" t="n"/>
      <c r="O391" s="297" t="n"/>
      <c r="P391" s="297" t="n"/>
      <c r="Q391" s="297" t="n"/>
      <c r="R391" s="297" t="n"/>
      <c r="S391" s="297" t="n"/>
      <c r="T391" s="297" t="n"/>
      <c r="U391" s="297" t="n"/>
    </row>
    <row r="392">
      <c r="A392" s="174" t="n"/>
      <c r="B392" s="187" t="n"/>
      <c r="C392" s="107">
        <f>IF(B392="", "", VLOOKUP(B392, 'CLIENT DATA'!A:S, 19, FALSE))</f>
        <v/>
      </c>
      <c r="D392" s="107">
        <f t="array" ref="D392">IF(B392="", "", _xlfn.TEXTJOIN(", ", TRUE, IF('CLIENT DATA'!$A$2:$A$205=B392, 'CLIENT DATA'!$C$2:$F$205, "")))</f>
        <v/>
      </c>
      <c r="E392" s="52" t="n"/>
      <c r="F392" s="52" t="n"/>
      <c r="G392" s="52" t="n"/>
      <c r="H392" s="52" t="n"/>
      <c r="I392" s="52" t="n"/>
      <c r="J392" s="59" t="n"/>
      <c r="K392" s="59" t="n"/>
      <c r="L392" s="59" t="n"/>
      <c r="M392" s="59" t="n"/>
      <c r="N392" s="59" t="n"/>
      <c r="O392" s="297" t="n"/>
      <c r="P392" s="297" t="n"/>
      <c r="Q392" s="297" t="n"/>
      <c r="R392" s="297" t="n"/>
      <c r="S392" s="297" t="n"/>
      <c r="T392" s="297" t="n"/>
      <c r="U392" s="297" t="n"/>
    </row>
    <row r="393">
      <c r="A393" s="174" t="n"/>
      <c r="B393" s="299" t="n"/>
      <c r="C393" s="107">
        <f>IF(B393="", "", VLOOKUP(B393, 'CLIENT DATA'!A:S, 19, FALSE))</f>
        <v/>
      </c>
      <c r="D393" s="107">
        <f t="array" ref="D393">IF(B393="", "", _xlfn.TEXTJOIN(", ", TRUE, IF('CLIENT DATA'!$A$2:$A$205=B393, 'CLIENT DATA'!$C$2:$F$205, "")))</f>
        <v/>
      </c>
      <c r="E393" s="52" t="n"/>
      <c r="F393" s="52" t="n"/>
      <c r="G393" s="52" t="n"/>
      <c r="H393" s="52" t="n"/>
      <c r="I393" s="52" t="n"/>
      <c r="J393" s="59" t="n"/>
      <c r="K393" s="59" t="n"/>
      <c r="L393" s="59" t="n"/>
      <c r="M393" s="59" t="n"/>
      <c r="N393" s="59" t="n"/>
      <c r="O393" s="297" t="n"/>
      <c r="P393" s="297" t="n"/>
      <c r="Q393" s="297" t="n"/>
      <c r="R393" s="297" t="n"/>
      <c r="S393" s="297" t="n"/>
      <c r="T393" s="297" t="n"/>
      <c r="U393" s="297" t="n"/>
    </row>
    <row r="394">
      <c r="A394" s="174" t="n"/>
      <c r="B394" s="299" t="n"/>
      <c r="C394" s="107">
        <f>IF(B394="", "", VLOOKUP(B394, 'CLIENT DATA'!A:S, 19, FALSE))</f>
        <v/>
      </c>
      <c r="D394" s="107">
        <f t="array" ref="D394">IF(B394="", "", _xlfn.TEXTJOIN(", ", TRUE, IF('CLIENT DATA'!$A$2:$A$205=B394, 'CLIENT DATA'!$C$2:$F$205, "")))</f>
        <v/>
      </c>
      <c r="E394" s="52" t="n"/>
      <c r="F394" s="52" t="n"/>
      <c r="G394" s="52" t="n"/>
      <c r="H394" s="52" t="n"/>
      <c r="I394" s="52" t="n"/>
      <c r="J394" s="59" t="n"/>
      <c r="K394" s="59" t="n"/>
      <c r="L394" s="59" t="n"/>
      <c r="M394" s="59" t="n"/>
      <c r="N394" s="59" t="n"/>
      <c r="O394" s="297" t="n"/>
      <c r="P394" s="297" t="n"/>
      <c r="Q394" s="297" t="n"/>
      <c r="R394" s="297" t="n"/>
      <c r="S394" s="297" t="n"/>
      <c r="T394" s="297" t="n"/>
      <c r="U394" s="297" t="n"/>
    </row>
    <row r="395">
      <c r="A395" s="174" t="n"/>
      <c r="B395" s="299" t="n"/>
      <c r="C395" s="107">
        <f>IF(B395="", "", VLOOKUP(B395, 'CLIENT DATA'!A:S, 19, FALSE))</f>
        <v/>
      </c>
      <c r="D395" s="107">
        <f t="array" ref="D395">IF(B395="", "", _xlfn.TEXTJOIN(", ", TRUE, IF('CLIENT DATA'!$A$2:$A$205=B395, 'CLIENT DATA'!$C$2:$F$205, "")))</f>
        <v/>
      </c>
      <c r="E395" s="52" t="n"/>
      <c r="F395" s="52" t="n"/>
      <c r="G395" s="52" t="n"/>
      <c r="H395" s="52" t="n"/>
      <c r="I395" s="52" t="n"/>
      <c r="J395" s="59" t="n"/>
      <c r="K395" s="59" t="n"/>
      <c r="L395" s="59" t="n"/>
      <c r="M395" s="59" t="n"/>
      <c r="N395" s="59" t="n"/>
      <c r="O395" s="297" t="n"/>
      <c r="P395" s="297" t="n"/>
      <c r="Q395" s="297" t="n"/>
      <c r="R395" s="297" t="n"/>
      <c r="S395" s="297" t="n"/>
      <c r="T395" s="297" t="n"/>
      <c r="U395" s="297" t="n"/>
    </row>
    <row r="396">
      <c r="A396" s="174" t="n"/>
      <c r="B396" s="299" t="n"/>
      <c r="C396" s="107">
        <f>IF(B396="", "", VLOOKUP(B396, 'CLIENT DATA'!A:S, 19, FALSE))</f>
        <v/>
      </c>
      <c r="D396" s="107">
        <f t="array" ref="D396">IF(B396="", "", _xlfn.TEXTJOIN(", ", TRUE, IF('CLIENT DATA'!$A$2:$A$205=B396, 'CLIENT DATA'!$C$2:$F$205, "")))</f>
        <v/>
      </c>
      <c r="E396" s="52" t="n"/>
      <c r="F396" s="52" t="n"/>
      <c r="G396" s="52" t="n"/>
      <c r="H396" s="52" t="n"/>
      <c r="I396" s="52" t="n"/>
      <c r="J396" s="59" t="n"/>
      <c r="K396" s="59" t="n"/>
      <c r="L396" s="59" t="n"/>
      <c r="M396" s="59" t="n"/>
      <c r="N396" s="59" t="n"/>
      <c r="O396" s="297" t="n"/>
      <c r="P396" s="297" t="n"/>
      <c r="Q396" s="297" t="n"/>
      <c r="R396" s="297" t="n"/>
      <c r="S396" s="297" t="n"/>
      <c r="T396" s="297" t="n"/>
      <c r="U396" s="297" t="n"/>
    </row>
    <row r="397">
      <c r="A397" s="174" t="n"/>
      <c r="B397" s="299" t="n"/>
      <c r="C397" s="107">
        <f>IF(B397="", "", VLOOKUP(B397, 'CLIENT DATA'!A:S, 19, FALSE))</f>
        <v/>
      </c>
      <c r="D397" s="107">
        <f t="array" ref="D397">IF(B397="", "", _xlfn.TEXTJOIN(", ", TRUE, IF('CLIENT DATA'!$A$2:$A$205=B397, 'CLIENT DATA'!$C$2:$F$205, "")))</f>
        <v/>
      </c>
      <c r="E397" s="52" t="n"/>
      <c r="F397" s="52" t="n"/>
      <c r="G397" s="52" t="n"/>
      <c r="H397" s="52" t="n"/>
      <c r="I397" s="52" t="n"/>
      <c r="J397" s="59" t="n"/>
      <c r="K397" s="59" t="n"/>
      <c r="L397" s="59" t="n"/>
      <c r="M397" s="59" t="n"/>
      <c r="N397" s="59" t="n"/>
      <c r="O397" s="297" t="n"/>
      <c r="P397" s="297" t="n"/>
      <c r="Q397" s="297" t="n"/>
      <c r="R397" s="297" t="n"/>
      <c r="S397" s="297" t="n"/>
      <c r="T397" s="297" t="n"/>
      <c r="U397" s="297" t="n"/>
    </row>
    <row r="398">
      <c r="A398" s="174" t="n"/>
      <c r="B398" s="299" t="n"/>
      <c r="C398" s="107">
        <f>IF(B398="", "", VLOOKUP(B398, 'CLIENT DATA'!A:S, 19, FALSE))</f>
        <v/>
      </c>
      <c r="D398" s="107">
        <f t="array" ref="D398">IF(B398="", "", _xlfn.TEXTJOIN(", ", TRUE, IF('CLIENT DATA'!$A$2:$A$205=B398, 'CLIENT DATA'!$C$2:$F$205, "")))</f>
        <v/>
      </c>
      <c r="E398" s="52" t="n"/>
      <c r="F398" s="52" t="n"/>
      <c r="G398" s="52" t="n"/>
      <c r="H398" s="52" t="n"/>
      <c r="I398" s="52" t="n"/>
      <c r="J398" s="59" t="n"/>
      <c r="K398" s="59" t="n"/>
      <c r="L398" s="59" t="n"/>
      <c r="M398" s="59" t="n"/>
      <c r="N398" s="59" t="n"/>
      <c r="O398" s="297" t="n"/>
      <c r="P398" s="297" t="n"/>
      <c r="Q398" s="297" t="n"/>
      <c r="R398" s="297" t="n"/>
      <c r="S398" s="297" t="n"/>
      <c r="T398" s="297" t="n"/>
      <c r="U398" s="297" t="n"/>
    </row>
    <row r="399">
      <c r="A399" s="174" t="n"/>
      <c r="B399" s="299" t="n"/>
      <c r="C399" s="107">
        <f>IF(B399="", "", VLOOKUP(B399, 'CLIENT DATA'!A:S, 19, FALSE))</f>
        <v/>
      </c>
      <c r="D399" s="107">
        <f t="array" ref="D399">IF(B399="", "", _xlfn.TEXTJOIN(", ", TRUE, IF('CLIENT DATA'!$A$2:$A$205=B399, 'CLIENT DATA'!$C$2:$F$205, "")))</f>
        <v/>
      </c>
      <c r="E399" s="52" t="n"/>
      <c r="F399" s="52" t="n"/>
      <c r="G399" s="52" t="n"/>
      <c r="H399" s="52" t="n"/>
      <c r="I399" s="52" t="n"/>
      <c r="J399" s="59" t="n"/>
      <c r="K399" s="59" t="n"/>
      <c r="L399" s="59" t="n"/>
      <c r="M399" s="59" t="n"/>
      <c r="N399" s="59" t="n"/>
      <c r="O399" s="297" t="n"/>
      <c r="P399" s="297" t="n"/>
      <c r="Q399" s="297" t="n"/>
      <c r="R399" s="297" t="n"/>
      <c r="S399" s="297" t="n"/>
      <c r="T399" s="297" t="n"/>
      <c r="U399" s="297" t="n"/>
    </row>
    <row r="400">
      <c r="A400" s="174" t="n"/>
      <c r="B400" s="299" t="n"/>
      <c r="C400" s="107">
        <f>IF(B400="", "", VLOOKUP(B400, 'CLIENT DATA'!A:S, 19, FALSE))</f>
        <v/>
      </c>
      <c r="D400" s="107">
        <f t="array" ref="D400">IF(B400="", "", _xlfn.TEXTJOIN(", ", TRUE, IF('CLIENT DATA'!$A$2:$A$205=B400, 'CLIENT DATA'!$C$2:$F$205, "")))</f>
        <v/>
      </c>
      <c r="E400" s="52" t="n"/>
      <c r="F400" s="52" t="n"/>
      <c r="G400" s="52" t="n"/>
      <c r="H400" s="52" t="n"/>
      <c r="I400" s="52" t="n"/>
      <c r="J400" s="59" t="n"/>
      <c r="K400" s="59" t="n"/>
      <c r="L400" s="59" t="n"/>
      <c r="M400" s="59" t="n"/>
      <c r="N400" s="59" t="n"/>
      <c r="O400" s="297" t="n"/>
      <c r="P400" s="297" t="n"/>
      <c r="Q400" s="297" t="n"/>
      <c r="R400" s="297" t="n"/>
      <c r="S400" s="297" t="n"/>
      <c r="T400" s="297" t="n"/>
      <c r="U400" s="297" t="n"/>
    </row>
    <row r="401">
      <c r="A401" s="174" t="n"/>
      <c r="B401" s="299" t="n"/>
      <c r="C401" s="107">
        <f>IF(B401="", "", VLOOKUP(B401, 'CLIENT DATA'!A:S, 19, FALSE))</f>
        <v/>
      </c>
      <c r="D401" s="107">
        <f t="array" ref="D401">IF(B401="", "", _xlfn.TEXTJOIN(", ", TRUE, IF('CLIENT DATA'!$A$2:$A$205=B401, 'CLIENT DATA'!$C$2:$F$205, "")))</f>
        <v/>
      </c>
      <c r="E401" s="52" t="n"/>
      <c r="F401" s="52" t="n"/>
      <c r="G401" s="52" t="n"/>
      <c r="H401" s="52" t="n"/>
      <c r="I401" s="52" t="n"/>
      <c r="J401" s="59" t="n"/>
      <c r="K401" s="59" t="n"/>
      <c r="L401" s="59" t="n"/>
      <c r="M401" s="59" t="n"/>
      <c r="N401" s="59" t="n"/>
      <c r="O401" s="297" t="n"/>
      <c r="P401" s="297" t="n"/>
      <c r="Q401" s="297" t="n"/>
      <c r="R401" s="297" t="n"/>
      <c r="S401" s="297" t="n"/>
      <c r="T401" s="297" t="n"/>
      <c r="U401" s="297" t="n"/>
    </row>
    <row r="402">
      <c r="A402" s="174" t="n"/>
      <c r="B402" s="299" t="n"/>
      <c r="C402" s="107">
        <f>IF(B402="", "", VLOOKUP(B402, 'CLIENT DATA'!A:S, 19, FALSE))</f>
        <v/>
      </c>
      <c r="D402" s="107">
        <f t="array" ref="D402">IF(B402="", "", _xlfn.TEXTJOIN(", ", TRUE, IF('CLIENT DATA'!$A$2:$A$205=B402, 'CLIENT DATA'!$C$2:$F$205, "")))</f>
        <v/>
      </c>
      <c r="E402" s="52" t="n"/>
      <c r="F402" s="52" t="n"/>
      <c r="G402" s="52" t="n"/>
      <c r="H402" s="52" t="n"/>
      <c r="I402" s="52" t="n"/>
      <c r="J402" s="59" t="n"/>
      <c r="K402" s="59" t="n"/>
      <c r="L402" s="59" t="n"/>
      <c r="M402" s="59" t="n"/>
      <c r="N402" s="59" t="n"/>
      <c r="O402" s="297" t="n"/>
      <c r="P402" s="297" t="n"/>
      <c r="Q402" s="297" t="n"/>
      <c r="R402" s="297" t="n"/>
      <c r="S402" s="297" t="n"/>
      <c r="T402" s="297" t="n"/>
      <c r="U402" s="297" t="n"/>
    </row>
    <row r="403">
      <c r="A403" s="174" t="n"/>
      <c r="B403" s="299" t="n"/>
      <c r="C403" s="107">
        <f>IF(B403="", "", VLOOKUP(B403, 'CLIENT DATA'!A:S, 19, FALSE))</f>
        <v/>
      </c>
      <c r="D403" s="107">
        <f t="array" ref="D403">IF(B403="", "", _xlfn.TEXTJOIN(", ", TRUE, IF('CLIENT DATA'!$A$2:$A$205=B403, 'CLIENT DATA'!$C$2:$F$205, "")))</f>
        <v/>
      </c>
      <c r="E403" s="52" t="n"/>
      <c r="F403" s="52" t="n"/>
      <c r="G403" s="52" t="n"/>
      <c r="H403" s="52" t="n"/>
      <c r="I403" s="52" t="n"/>
      <c r="J403" s="59" t="n"/>
      <c r="K403" s="59" t="n"/>
      <c r="L403" s="59" t="n"/>
      <c r="M403" s="59" t="n"/>
      <c r="N403" s="59" t="n"/>
      <c r="O403" s="297" t="n"/>
      <c r="P403" s="297" t="n"/>
      <c r="Q403" s="297" t="n"/>
      <c r="R403" s="297" t="n"/>
      <c r="S403" s="297" t="n"/>
      <c r="T403" s="297" t="n"/>
      <c r="U403" s="297" t="n"/>
    </row>
    <row r="404">
      <c r="A404" s="174" t="n"/>
      <c r="B404" s="299" t="n"/>
      <c r="C404" s="107">
        <f>IF(B404="", "", VLOOKUP(B404, 'CLIENT DATA'!A:S, 19, FALSE))</f>
        <v/>
      </c>
      <c r="D404" s="107">
        <f t="array" ref="D404">IF(B404="", "", _xlfn.TEXTJOIN(", ", TRUE, IF('CLIENT DATA'!$A$2:$A$205=B404, 'CLIENT DATA'!$C$2:$F$205, "")))</f>
        <v/>
      </c>
      <c r="E404" s="52" t="n"/>
      <c r="F404" s="52" t="n"/>
      <c r="G404" s="52" t="n"/>
      <c r="H404" s="52" t="n"/>
      <c r="I404" s="52" t="n"/>
      <c r="J404" s="59" t="n"/>
      <c r="K404" s="59" t="n"/>
      <c r="L404" s="59" t="n"/>
      <c r="M404" s="59" t="n"/>
      <c r="N404" s="59" t="n"/>
      <c r="O404" s="297" t="n"/>
      <c r="P404" s="297" t="n"/>
      <c r="Q404" s="297" t="n"/>
      <c r="R404" s="297" t="n"/>
      <c r="S404" s="297" t="n"/>
      <c r="T404" s="297" t="n"/>
      <c r="U404" s="297" t="n"/>
    </row>
    <row r="405">
      <c r="A405" s="174" t="n"/>
      <c r="B405" s="300" t="n"/>
      <c r="C405" s="182">
        <f>IF(B405="", "", VLOOKUP(B405, 'CLIENT DATA'!A:S, 19, FALSE))</f>
        <v/>
      </c>
      <c r="D405" s="182">
        <f t="array" ref="D405">IF(B405="", "", _xlfn.TEXTJOIN(", ", TRUE, IF('CLIENT DATA'!$A$2:$A$205=B405, 'CLIENT DATA'!$C$2:$F$205, "")))</f>
        <v/>
      </c>
      <c r="E405" s="183" t="n"/>
      <c r="F405" s="183" t="n"/>
      <c r="G405" s="183" t="n"/>
      <c r="H405" s="183" t="n"/>
      <c r="I405" s="183" t="n"/>
      <c r="J405" s="184" t="n"/>
      <c r="K405" s="184" t="n"/>
      <c r="L405" s="184" t="n"/>
      <c r="M405" s="184" t="n"/>
      <c r="N405" s="184" t="n"/>
      <c r="O405" s="301" t="n"/>
      <c r="P405" s="301" t="n"/>
      <c r="Q405" s="301" t="n"/>
      <c r="R405" s="301" t="n"/>
      <c r="S405" s="301" t="n"/>
      <c r="T405" s="301" t="n"/>
      <c r="U405" s="301" t="n"/>
    </row>
    <row r="406">
      <c r="A406" s="174" t="n"/>
      <c r="B406" s="187" t="n"/>
      <c r="C406" s="107">
        <f>IF(B406="", "", VLOOKUP(B406, 'CLIENT DATA'!A:S, 19, FALSE))</f>
        <v/>
      </c>
      <c r="D406" s="107">
        <f t="array" ref="D406">IF(B406="", "", _xlfn.TEXTJOIN(", ", TRUE, IF('CLIENT DATA'!$A$2:$A$205=B406, 'CLIENT DATA'!$C$2:$F$205, "")))</f>
        <v/>
      </c>
      <c r="E406" s="52" t="n"/>
      <c r="F406" s="52" t="n"/>
      <c r="G406" s="52" t="n"/>
      <c r="H406" s="52" t="n"/>
      <c r="I406" s="52" t="n"/>
      <c r="J406" s="59" t="n"/>
      <c r="K406" s="59" t="n"/>
      <c r="L406" s="59" t="n"/>
      <c r="M406" s="59" t="n"/>
      <c r="N406" s="59" t="n"/>
      <c r="O406" s="297" t="n"/>
      <c r="P406" s="297" t="n"/>
      <c r="Q406" s="297" t="n"/>
      <c r="R406" s="297" t="n"/>
      <c r="S406" s="297" t="n"/>
      <c r="T406" s="297" t="n"/>
      <c r="U406" s="297" t="n"/>
    </row>
    <row r="407">
      <c r="A407" s="174" t="n"/>
      <c r="B407" s="187" t="n"/>
      <c r="C407" s="107">
        <f>IF(B407="", "", VLOOKUP(B407, 'CLIENT DATA'!A:S, 19, FALSE))</f>
        <v/>
      </c>
      <c r="D407" s="107">
        <f t="array" ref="D407">IF(B407="", "", _xlfn.TEXTJOIN(", ", TRUE, IF('CLIENT DATA'!$A$2:$A$205=B407, 'CLIENT DATA'!$C$2:$F$205, "")))</f>
        <v/>
      </c>
      <c r="E407" s="52" t="n"/>
      <c r="F407" s="52" t="n"/>
      <c r="G407" s="52" t="n"/>
      <c r="H407" s="52" t="n"/>
      <c r="I407" s="52" t="n"/>
      <c r="J407" s="59" t="n"/>
      <c r="K407" s="59" t="n"/>
      <c r="L407" s="59" t="n"/>
      <c r="M407" s="59" t="n"/>
      <c r="N407" s="59" t="n"/>
      <c r="O407" s="297" t="n"/>
      <c r="P407" s="297" t="n"/>
      <c r="Q407" s="297" t="n"/>
      <c r="R407" s="297" t="n"/>
      <c r="S407" s="297" t="n"/>
      <c r="T407" s="297" t="n"/>
      <c r="U407" s="297" t="n"/>
    </row>
    <row r="408">
      <c r="A408" s="174" t="n"/>
      <c r="B408" s="187" t="n"/>
      <c r="C408" s="107">
        <f>IF(B408="", "", VLOOKUP(B408, 'CLIENT DATA'!A:S, 19, FALSE))</f>
        <v/>
      </c>
      <c r="D408" s="107">
        <f t="array" ref="D408">IF(B408="", "", _xlfn.TEXTJOIN(", ", TRUE, IF('CLIENT DATA'!$A$2:$A$205=B408, 'CLIENT DATA'!$C$2:$F$205, "")))</f>
        <v/>
      </c>
      <c r="E408" s="52" t="n"/>
      <c r="F408" s="52" t="n"/>
      <c r="G408" s="52" t="n"/>
      <c r="H408" s="52" t="n"/>
      <c r="I408" s="52" t="n"/>
      <c r="J408" s="59" t="n"/>
      <c r="K408" s="59" t="n"/>
      <c r="L408" s="59" t="n"/>
      <c r="M408" s="59" t="n"/>
      <c r="N408" s="59" t="n"/>
      <c r="O408" s="297" t="n"/>
      <c r="P408" s="297" t="n"/>
      <c r="Q408" s="297" t="n"/>
      <c r="R408" s="297" t="n"/>
      <c r="S408" s="297" t="n"/>
      <c r="T408" s="297" t="n"/>
      <c r="U408" s="297" t="n"/>
    </row>
    <row r="409">
      <c r="A409" s="174" t="n"/>
      <c r="B409" s="187" t="n"/>
      <c r="C409" s="107">
        <f>IF(B409="", "", VLOOKUP(B409, 'CLIENT DATA'!A:S, 19, FALSE))</f>
        <v/>
      </c>
      <c r="D409" s="107">
        <f t="array" ref="D409">IF(B409="", "", _xlfn.TEXTJOIN(", ", TRUE, IF('CLIENT DATA'!$A$2:$A$205=B409, 'CLIENT DATA'!$C$2:$F$205, "")))</f>
        <v/>
      </c>
      <c r="E409" s="52" t="n"/>
      <c r="F409" s="52" t="n"/>
      <c r="G409" s="52" t="n"/>
      <c r="H409" s="52" t="n"/>
      <c r="I409" s="52" t="n"/>
      <c r="J409" s="59" t="n"/>
      <c r="K409" s="59" t="n"/>
      <c r="L409" s="59" t="n"/>
      <c r="M409" s="59" t="n"/>
      <c r="N409" s="59" t="n"/>
      <c r="O409" s="297" t="n"/>
      <c r="P409" s="297" t="n"/>
      <c r="Q409" s="297" t="n"/>
      <c r="R409" s="297" t="n"/>
      <c r="S409" s="297" t="n"/>
      <c r="T409" s="297" t="n"/>
      <c r="U409" s="297" t="n"/>
    </row>
    <row r="410">
      <c r="A410" s="174" t="n"/>
      <c r="B410" s="187" t="n"/>
      <c r="C410" s="107">
        <f>IF(B410="", "", VLOOKUP(B410, 'CLIENT DATA'!A:S, 19, FALSE))</f>
        <v/>
      </c>
      <c r="D410" s="107">
        <f t="array" ref="D410">IF(B410="", "", _xlfn.TEXTJOIN(", ", TRUE, IF('CLIENT DATA'!$A$2:$A$205=B410, 'CLIENT DATA'!$C$2:$F$205, "")))</f>
        <v/>
      </c>
      <c r="E410" s="52" t="n"/>
      <c r="F410" s="52" t="n"/>
      <c r="G410" s="52" t="n"/>
      <c r="H410" s="52" t="n"/>
      <c r="I410" s="52" t="n"/>
      <c r="J410" s="59" t="n"/>
      <c r="K410" s="59" t="n"/>
      <c r="L410" s="59" t="n"/>
      <c r="M410" s="59" t="n"/>
      <c r="N410" s="59" t="n"/>
      <c r="O410" s="297" t="n"/>
      <c r="P410" s="297" t="n"/>
      <c r="Q410" s="297" t="n"/>
      <c r="R410" s="297" t="n"/>
      <c r="S410" s="297" t="n"/>
      <c r="T410" s="297" t="n"/>
      <c r="U410" s="297" t="n"/>
    </row>
    <row r="411">
      <c r="A411" s="174" t="n"/>
      <c r="B411" s="187" t="n"/>
      <c r="C411" s="107">
        <f>IF(B411="", "", VLOOKUP(B411, 'CLIENT DATA'!A:S, 19, FALSE))</f>
        <v/>
      </c>
      <c r="D411" s="107">
        <f t="array" ref="D411">IF(B411="", "", _xlfn.TEXTJOIN(", ", TRUE, IF('CLIENT DATA'!$A$2:$A$205=B411, 'CLIENT DATA'!$C$2:$F$205, "")))</f>
        <v/>
      </c>
      <c r="E411" s="52" t="n"/>
      <c r="F411" s="52" t="n"/>
      <c r="G411" s="52" t="n"/>
      <c r="H411" s="52" t="n"/>
      <c r="I411" s="52" t="n"/>
      <c r="J411" s="59" t="n"/>
      <c r="K411" s="59" t="n"/>
      <c r="L411" s="59" t="n"/>
      <c r="M411" s="59" t="n"/>
      <c r="N411" s="59" t="n"/>
      <c r="O411" s="297" t="n"/>
      <c r="P411" s="297" t="n"/>
      <c r="Q411" s="297" t="n"/>
      <c r="R411" s="297" t="n"/>
      <c r="S411" s="297" t="n"/>
      <c r="T411" s="297" t="n"/>
      <c r="U411" s="297" t="n"/>
    </row>
    <row r="412">
      <c r="A412" s="174" t="n"/>
      <c r="B412" s="187" t="n"/>
      <c r="C412" s="107">
        <f>IF(B412="", "", VLOOKUP(B412, 'CLIENT DATA'!A:S, 19, FALSE))</f>
        <v/>
      </c>
      <c r="D412" s="107">
        <f t="array" ref="D412">IF(B412="", "", _xlfn.TEXTJOIN(", ", TRUE, IF('CLIENT DATA'!$A$2:$A$205=B412, 'CLIENT DATA'!$C$2:$F$205, "")))</f>
        <v/>
      </c>
      <c r="E412" s="52" t="n"/>
      <c r="F412" s="52" t="n"/>
      <c r="G412" s="52" t="n"/>
      <c r="H412" s="52" t="n"/>
      <c r="I412" s="52" t="n"/>
      <c r="J412" s="59" t="n"/>
      <c r="K412" s="59" t="n"/>
      <c r="L412" s="59" t="n"/>
      <c r="M412" s="59" t="n"/>
      <c r="N412" s="59" t="n"/>
      <c r="O412" s="297" t="n"/>
      <c r="P412" s="297" t="n"/>
      <c r="Q412" s="297" t="n"/>
      <c r="R412" s="297" t="n"/>
      <c r="S412" s="297" t="n"/>
      <c r="T412" s="297" t="n"/>
      <c r="U412" s="297" t="n"/>
    </row>
    <row r="413">
      <c r="A413" s="174" t="n"/>
      <c r="B413" s="187" t="n"/>
      <c r="C413" s="107">
        <f>IF(B413="", "", VLOOKUP(B413, 'CLIENT DATA'!A:S, 19, FALSE))</f>
        <v/>
      </c>
      <c r="D413" s="107">
        <f t="array" ref="D413">IF(B413="", "", _xlfn.TEXTJOIN(", ", TRUE, IF('CLIENT DATA'!$A$2:$A$205=B413, 'CLIENT DATA'!$C$2:$F$205, "")))</f>
        <v/>
      </c>
      <c r="E413" s="52" t="n"/>
      <c r="F413" s="52" t="n"/>
      <c r="G413" s="52" t="n"/>
      <c r="H413" s="52" t="n"/>
      <c r="I413" s="52" t="n"/>
      <c r="J413" s="59" t="n"/>
      <c r="K413" s="59" t="n"/>
      <c r="L413" s="59" t="n"/>
      <c r="M413" s="59" t="n"/>
      <c r="N413" s="59" t="n"/>
      <c r="O413" s="297" t="n"/>
      <c r="P413" s="297" t="n"/>
      <c r="Q413" s="297" t="n"/>
      <c r="R413" s="297" t="n"/>
      <c r="S413" s="297" t="n"/>
      <c r="T413" s="297" t="n"/>
      <c r="U413" s="297" t="n"/>
    </row>
    <row r="414">
      <c r="A414" s="174" t="n"/>
      <c r="B414" s="299" t="n"/>
      <c r="C414" s="107">
        <f>IF(B414="", "", VLOOKUP(B414, 'CLIENT DATA'!A:S, 19, FALSE))</f>
        <v/>
      </c>
      <c r="D414" s="107">
        <f t="array" ref="D414">IF(B414="", "", _xlfn.TEXTJOIN(", ", TRUE, IF('CLIENT DATA'!$A$2:$A$205=B414, 'CLIENT DATA'!$C$2:$F$205, "")))</f>
        <v/>
      </c>
      <c r="E414" s="52" t="n"/>
      <c r="F414" s="52" t="n"/>
      <c r="G414" s="52" t="n"/>
      <c r="H414" s="52" t="n"/>
      <c r="I414" s="52" t="n"/>
      <c r="J414" s="59" t="n"/>
      <c r="K414" s="59" t="n"/>
      <c r="L414" s="59" t="n"/>
      <c r="M414" s="59" t="n"/>
      <c r="N414" s="59" t="n"/>
      <c r="O414" s="297" t="n"/>
      <c r="P414" s="297" t="n"/>
      <c r="Q414" s="297" t="n"/>
      <c r="R414" s="297" t="n"/>
      <c r="S414" s="297" t="n"/>
      <c r="T414" s="297" t="n"/>
      <c r="U414" s="297" t="n"/>
    </row>
    <row r="415">
      <c r="A415" s="174" t="n"/>
      <c r="B415" s="299" t="n"/>
      <c r="C415" s="107">
        <f>IF(B415="", "", VLOOKUP(B415, 'CLIENT DATA'!A:S, 19, FALSE))</f>
        <v/>
      </c>
      <c r="D415" s="107">
        <f t="array" ref="D415">IF(B415="", "", _xlfn.TEXTJOIN(", ", TRUE, IF('CLIENT DATA'!$A$2:$A$205=B415, 'CLIENT DATA'!$C$2:$F$205, "")))</f>
        <v/>
      </c>
      <c r="E415" s="52" t="n"/>
      <c r="F415" s="52" t="n"/>
      <c r="G415" s="52" t="n"/>
      <c r="H415" s="52" t="n"/>
      <c r="I415" s="52" t="n"/>
      <c r="J415" s="59" t="n"/>
      <c r="K415" s="59" t="n"/>
      <c r="L415" s="59" t="n"/>
      <c r="M415" s="59" t="n"/>
      <c r="N415" s="59" t="n"/>
      <c r="O415" s="297" t="n"/>
      <c r="P415" s="297" t="n"/>
      <c r="Q415" s="297" t="n"/>
      <c r="R415" s="297" t="n"/>
      <c r="S415" s="297" t="n"/>
      <c r="T415" s="297" t="n"/>
      <c r="U415" s="297" t="n"/>
    </row>
    <row r="416">
      <c r="A416" s="174" t="n"/>
      <c r="B416" s="299" t="n"/>
      <c r="C416" s="107">
        <f>IF(B416="", "", VLOOKUP(B416, 'CLIENT DATA'!A:S, 19, FALSE))</f>
        <v/>
      </c>
      <c r="D416" s="107">
        <f t="array" ref="D416">IF(B416="", "", _xlfn.TEXTJOIN(", ", TRUE, IF('CLIENT DATA'!$A$2:$A$205=B416, 'CLIENT DATA'!$C$2:$F$205, "")))</f>
        <v/>
      </c>
      <c r="E416" s="52" t="n"/>
      <c r="F416" s="52" t="n"/>
      <c r="G416" s="52" t="n"/>
      <c r="H416" s="52" t="n"/>
      <c r="I416" s="52" t="n"/>
      <c r="J416" s="59" t="n"/>
      <c r="K416" s="59" t="n"/>
      <c r="L416" s="59" t="n"/>
      <c r="M416" s="59" t="n"/>
      <c r="N416" s="59" t="n"/>
      <c r="O416" s="297" t="n"/>
      <c r="P416" s="297" t="n"/>
      <c r="Q416" s="297" t="n"/>
      <c r="R416" s="297" t="n"/>
      <c r="S416" s="297" t="n"/>
      <c r="T416" s="297" t="n"/>
      <c r="U416" s="297" t="n"/>
    </row>
    <row r="417">
      <c r="A417" s="174" t="n"/>
      <c r="B417" s="299" t="n"/>
      <c r="C417" s="107">
        <f>IF(B417="", "", VLOOKUP(B417, 'CLIENT DATA'!A:S, 19, FALSE))</f>
        <v/>
      </c>
      <c r="D417" s="107">
        <f t="array" ref="D417">IF(B417="", "", _xlfn.TEXTJOIN(", ", TRUE, IF('CLIENT DATA'!$A$2:$A$205=B417, 'CLIENT DATA'!$C$2:$F$205, "")))</f>
        <v/>
      </c>
      <c r="E417" s="52" t="n"/>
      <c r="F417" s="52" t="n"/>
      <c r="G417" s="52" t="n"/>
      <c r="H417" s="52" t="n"/>
      <c r="I417" s="52" t="n"/>
      <c r="J417" s="59" t="n"/>
      <c r="K417" s="59" t="n"/>
      <c r="L417" s="59" t="n"/>
      <c r="M417" s="59" t="n"/>
      <c r="N417" s="59" t="n"/>
      <c r="O417" s="297" t="n"/>
      <c r="P417" s="297" t="n"/>
      <c r="Q417" s="297" t="n"/>
      <c r="R417" s="297" t="n"/>
      <c r="S417" s="297" t="n"/>
      <c r="T417" s="297" t="n"/>
      <c r="U417" s="297" t="n"/>
    </row>
    <row r="418">
      <c r="A418" s="174" t="n"/>
      <c r="B418" s="299" t="n"/>
      <c r="C418" s="107">
        <f>IF(B418="", "", VLOOKUP(B418, 'CLIENT DATA'!A:S, 19, FALSE))</f>
        <v/>
      </c>
      <c r="D418" s="107">
        <f t="array" ref="D418">IF(B418="", "", _xlfn.TEXTJOIN(", ", TRUE, IF('CLIENT DATA'!$A$2:$A$205=B418, 'CLIENT DATA'!$C$2:$F$205, "")))</f>
        <v/>
      </c>
      <c r="E418" s="52" t="n"/>
      <c r="F418" s="52" t="n"/>
      <c r="G418" s="52" t="n"/>
      <c r="H418" s="52" t="n"/>
      <c r="I418" s="52" t="n"/>
      <c r="J418" s="59" t="n"/>
      <c r="K418" s="59" t="n"/>
      <c r="L418" s="59" t="n"/>
      <c r="M418" s="59" t="n"/>
      <c r="N418" s="59" t="n"/>
      <c r="O418" s="297" t="n"/>
      <c r="P418" s="297" t="n"/>
      <c r="Q418" s="297" t="n"/>
      <c r="R418" s="297" t="n"/>
      <c r="S418" s="297" t="n"/>
      <c r="T418" s="297" t="n"/>
      <c r="U418" s="297" t="n"/>
    </row>
    <row r="419">
      <c r="A419" s="174" t="n"/>
      <c r="B419" s="299" t="n"/>
      <c r="C419" s="107">
        <f>IF(B419="", "", VLOOKUP(B419, 'CLIENT DATA'!A:S, 19, FALSE))</f>
        <v/>
      </c>
      <c r="D419" s="107">
        <f t="array" ref="D419">IF(B419="", "", _xlfn.TEXTJOIN(", ", TRUE, IF('CLIENT DATA'!$A$2:$A$205=B419, 'CLIENT DATA'!$C$2:$F$205, "")))</f>
        <v/>
      </c>
      <c r="E419" s="52" t="n"/>
      <c r="F419" s="52" t="n"/>
      <c r="G419" s="52" t="n"/>
      <c r="H419" s="52" t="n"/>
      <c r="I419" s="52" t="n"/>
      <c r="J419" s="59" t="n"/>
      <c r="K419" s="59" t="n"/>
      <c r="L419" s="59" t="n"/>
      <c r="M419" s="59" t="n"/>
      <c r="N419" s="59" t="n"/>
      <c r="O419" s="297" t="n"/>
      <c r="P419" s="297" t="n"/>
      <c r="Q419" s="297" t="n"/>
      <c r="R419" s="297" t="n"/>
      <c r="S419" s="297" t="n"/>
      <c r="T419" s="297" t="n"/>
      <c r="U419" s="297" t="n"/>
    </row>
    <row r="420">
      <c r="A420" s="174" t="n"/>
      <c r="B420" s="299" t="n"/>
      <c r="C420" s="107">
        <f>IF(B420="", "", VLOOKUP(B420, 'CLIENT DATA'!A:S, 19, FALSE))</f>
        <v/>
      </c>
      <c r="D420" s="107">
        <f t="array" ref="D420">IF(B420="", "", _xlfn.TEXTJOIN(", ", TRUE, IF('CLIENT DATA'!$A$2:$A$205=B420, 'CLIENT DATA'!$C$2:$F$205, "")))</f>
        <v/>
      </c>
      <c r="E420" s="52" t="n"/>
      <c r="F420" s="52" t="n"/>
      <c r="G420" s="52" t="n"/>
      <c r="H420" s="52" t="n"/>
      <c r="I420" s="52" t="n"/>
      <c r="J420" s="59" t="n"/>
      <c r="K420" s="59" t="n"/>
      <c r="L420" s="59" t="n"/>
      <c r="M420" s="59" t="n"/>
      <c r="N420" s="59" t="n"/>
      <c r="O420" s="297" t="n"/>
      <c r="P420" s="297" t="n"/>
      <c r="Q420" s="297" t="n"/>
      <c r="R420" s="297" t="n"/>
      <c r="S420" s="297" t="n"/>
      <c r="T420" s="297" t="n"/>
      <c r="U420" s="297" t="n"/>
    </row>
    <row r="421">
      <c r="A421" s="174" t="n"/>
      <c r="B421" s="299" t="n"/>
      <c r="C421" s="107">
        <f>IF(B421="", "", VLOOKUP(B421, 'CLIENT DATA'!A:S, 19, FALSE))</f>
        <v/>
      </c>
      <c r="D421" s="107">
        <f t="array" ref="D421">IF(B421="", "", _xlfn.TEXTJOIN(", ", TRUE, IF('CLIENT DATA'!$A$2:$A$205=B421, 'CLIENT DATA'!$C$2:$F$205, "")))</f>
        <v/>
      </c>
      <c r="E421" s="52" t="n"/>
      <c r="F421" s="52" t="n"/>
      <c r="G421" s="52" t="n"/>
      <c r="H421" s="52" t="n"/>
      <c r="I421" s="52" t="n"/>
      <c r="J421" s="59" t="n"/>
      <c r="K421" s="59" t="n"/>
      <c r="L421" s="59" t="n"/>
      <c r="M421" s="59" t="n"/>
      <c r="N421" s="59" t="n"/>
      <c r="O421" s="297" t="n"/>
      <c r="P421" s="297" t="n"/>
      <c r="Q421" s="297" t="n"/>
      <c r="R421" s="297" t="n"/>
      <c r="S421" s="297" t="n"/>
      <c r="T421" s="297" t="n"/>
      <c r="U421" s="297" t="n"/>
    </row>
    <row r="422">
      <c r="A422" s="174" t="n"/>
      <c r="B422" s="299" t="n"/>
      <c r="C422" s="107">
        <f>IF(B422="", "", VLOOKUP(B422, 'CLIENT DATA'!A:S, 19, FALSE))</f>
        <v/>
      </c>
      <c r="D422" s="107">
        <f t="array" ref="D422">IF(B422="", "", _xlfn.TEXTJOIN(", ", TRUE, IF('CLIENT DATA'!$A$2:$A$205=B422, 'CLIENT DATA'!$C$2:$F$205, "")))</f>
        <v/>
      </c>
      <c r="E422" s="52" t="n"/>
      <c r="F422" s="52" t="n"/>
      <c r="G422" s="52" t="n"/>
      <c r="H422" s="52" t="n"/>
      <c r="I422" s="52" t="n"/>
      <c r="J422" s="59" t="n"/>
      <c r="K422" s="59" t="n"/>
      <c r="L422" s="59" t="n"/>
      <c r="M422" s="59" t="n"/>
      <c r="N422" s="59" t="n"/>
      <c r="O422" s="297" t="n"/>
      <c r="P422" s="297" t="n"/>
      <c r="Q422" s="297" t="n"/>
      <c r="R422" s="297" t="n"/>
      <c r="S422" s="297" t="n"/>
      <c r="T422" s="297" t="n"/>
      <c r="U422" s="297" t="n"/>
    </row>
    <row r="423">
      <c r="A423" s="174" t="n"/>
      <c r="B423" s="299" t="n"/>
      <c r="C423" s="107">
        <f>IF(B423="", "", VLOOKUP(B423, 'CLIENT DATA'!A:S, 19, FALSE))</f>
        <v/>
      </c>
      <c r="D423" s="107">
        <f t="array" ref="D423">IF(B423="", "", _xlfn.TEXTJOIN(", ", TRUE, IF('CLIENT DATA'!$A$2:$A$205=B423, 'CLIENT DATA'!$C$2:$F$205, "")))</f>
        <v/>
      </c>
      <c r="E423" s="52" t="n"/>
      <c r="F423" s="52" t="n"/>
      <c r="G423" s="52" t="n"/>
      <c r="H423" s="52" t="n"/>
      <c r="I423" s="52" t="n"/>
      <c r="J423" s="59" t="n"/>
      <c r="K423" s="59" t="n"/>
      <c r="L423" s="59" t="n"/>
      <c r="M423" s="59" t="n"/>
      <c r="N423" s="59" t="n"/>
      <c r="O423" s="297" t="n"/>
      <c r="P423" s="297" t="n"/>
      <c r="Q423" s="297" t="n"/>
      <c r="R423" s="297" t="n"/>
      <c r="S423" s="297" t="n"/>
      <c r="T423" s="297" t="n"/>
      <c r="U423" s="297" t="n"/>
    </row>
    <row r="424">
      <c r="A424" s="174" t="n"/>
      <c r="B424" s="299" t="n"/>
      <c r="C424" s="107">
        <f>IF(B424="", "", VLOOKUP(B424, 'CLIENT DATA'!A:S, 19, FALSE))</f>
        <v/>
      </c>
      <c r="D424" s="107">
        <f t="array" ref="D424">IF(B424="", "", _xlfn.TEXTJOIN(", ", TRUE, IF('CLIENT DATA'!$A$2:$A$205=B424, 'CLIENT DATA'!$C$2:$F$205, "")))</f>
        <v/>
      </c>
      <c r="E424" s="52" t="n"/>
      <c r="F424" s="52" t="n"/>
      <c r="G424" s="52" t="n"/>
      <c r="H424" s="52" t="n"/>
      <c r="I424" s="52" t="n"/>
      <c r="J424" s="59" t="n"/>
      <c r="K424" s="59" t="n"/>
      <c r="L424" s="59" t="n"/>
      <c r="M424" s="59" t="n"/>
      <c r="N424" s="59" t="n"/>
      <c r="O424" s="297" t="n"/>
      <c r="P424" s="297" t="n"/>
      <c r="Q424" s="297" t="n"/>
      <c r="R424" s="297" t="n"/>
      <c r="S424" s="297" t="n"/>
      <c r="T424" s="297" t="n"/>
      <c r="U424" s="297" t="n"/>
    </row>
    <row r="425">
      <c r="A425" s="174" t="n"/>
      <c r="B425" s="299" t="n"/>
      <c r="C425" s="107">
        <f>IF(B425="", "", VLOOKUP(B425, 'CLIENT DATA'!A:S, 19, FALSE))</f>
        <v/>
      </c>
      <c r="D425" s="107">
        <f t="array" ref="D425">IF(B425="", "", _xlfn.TEXTJOIN(", ", TRUE, IF('CLIENT DATA'!$A$2:$A$205=B425, 'CLIENT DATA'!$C$2:$F$205, "")))</f>
        <v/>
      </c>
      <c r="E425" s="52" t="n"/>
      <c r="F425" s="52" t="n"/>
      <c r="G425" s="52" t="n"/>
      <c r="H425" s="52" t="n"/>
      <c r="I425" s="52" t="n"/>
      <c r="J425" s="59" t="n"/>
      <c r="K425" s="59" t="n"/>
      <c r="L425" s="59" t="n"/>
      <c r="M425" s="59" t="n"/>
      <c r="N425" s="59" t="n"/>
      <c r="O425" s="297" t="n"/>
      <c r="P425" s="297" t="n"/>
      <c r="Q425" s="297" t="n"/>
      <c r="R425" s="297" t="n"/>
      <c r="S425" s="297" t="n"/>
      <c r="T425" s="297" t="n"/>
      <c r="U425" s="297" t="n"/>
    </row>
    <row r="426">
      <c r="A426" s="174" t="n"/>
      <c r="B426" s="299" t="n"/>
      <c r="C426" s="107">
        <f>IF(B426="", "", VLOOKUP(B426, 'CLIENT DATA'!A:S, 19, FALSE))</f>
        <v/>
      </c>
      <c r="D426" s="107">
        <f t="array" ref="D426">IF(B426="", "", _xlfn.TEXTJOIN(", ", TRUE, IF('CLIENT DATA'!$A$2:$A$205=B426, 'CLIENT DATA'!$C$2:$F$205, "")))</f>
        <v/>
      </c>
      <c r="E426" s="52" t="n"/>
      <c r="F426" s="52" t="n"/>
      <c r="G426" s="52" t="n"/>
      <c r="H426" s="52" t="n"/>
      <c r="I426" s="52" t="n"/>
      <c r="J426" s="59" t="n"/>
      <c r="K426" s="59" t="n"/>
      <c r="L426" s="59" t="n"/>
      <c r="M426" s="59" t="n"/>
      <c r="N426" s="59" t="n"/>
      <c r="O426" s="297" t="n"/>
      <c r="P426" s="297" t="n"/>
      <c r="Q426" s="297" t="n"/>
      <c r="R426" s="297" t="n"/>
      <c r="S426" s="297" t="n"/>
      <c r="T426" s="297" t="n"/>
      <c r="U426" s="297" t="n"/>
    </row>
    <row r="427">
      <c r="A427" s="194" t="n"/>
      <c r="B427" s="299" t="n"/>
      <c r="C427" s="107">
        <f>IF(B427="", "", VLOOKUP(B427, 'CLIENT DATA'!A:S, 19, FALSE))</f>
        <v/>
      </c>
      <c r="D427" s="107">
        <f t="array" ref="D427">IF(B427="", "", _xlfn.TEXTJOIN(", ", TRUE, IF('CLIENT DATA'!$A$2:$A$205=B427, 'CLIENT DATA'!$C$2:$F$205, "")))</f>
        <v/>
      </c>
      <c r="E427" s="52" t="n"/>
      <c r="F427" s="52" t="n"/>
      <c r="G427" s="52" t="n"/>
      <c r="H427" s="52" t="n"/>
      <c r="I427" s="52" t="n"/>
      <c r="J427" s="59" t="n"/>
      <c r="K427" s="59" t="n"/>
      <c r="L427" s="59" t="n"/>
      <c r="M427" s="59" t="n"/>
      <c r="N427" s="59" t="n"/>
      <c r="O427" s="297" t="n"/>
      <c r="P427" s="297" t="n"/>
      <c r="Q427" s="297" t="n"/>
      <c r="R427" s="297" t="n"/>
      <c r="S427" s="297" t="n"/>
      <c r="T427" s="297" t="n"/>
      <c r="U427" s="297" t="n"/>
    </row>
    <row r="428">
      <c r="A428" s="194" t="n"/>
      <c r="B428" s="299" t="n"/>
      <c r="C428" s="107">
        <f>IF(B428="", "", VLOOKUP(B428, 'CLIENT DATA'!A:S, 19, FALSE))</f>
        <v/>
      </c>
      <c r="D428" s="107">
        <f t="array" ref="D428">IF(B428="", "", _xlfn.TEXTJOIN(", ", TRUE, IF('CLIENT DATA'!$A$2:$A$205=B428, 'CLIENT DATA'!$C$2:$F$205, "")))</f>
        <v/>
      </c>
      <c r="E428" s="52" t="n"/>
      <c r="F428" s="52" t="n"/>
      <c r="G428" s="52" t="n"/>
      <c r="H428" s="52" t="n"/>
      <c r="I428" s="52" t="n"/>
      <c r="J428" s="59" t="n"/>
      <c r="K428" s="59" t="n"/>
      <c r="L428" s="59" t="n"/>
      <c r="M428" s="59" t="n"/>
      <c r="N428" s="59" t="n"/>
      <c r="O428" s="297" t="n"/>
      <c r="P428" s="297" t="n"/>
      <c r="Q428" s="297" t="n"/>
      <c r="R428" s="297" t="n"/>
      <c r="S428" s="297" t="n"/>
      <c r="T428" s="297" t="n"/>
      <c r="U428" s="297" t="n"/>
    </row>
    <row r="429">
      <c r="A429" s="194" t="n"/>
      <c r="B429" s="299" t="n"/>
      <c r="C429" s="107">
        <f>IF(B429="", "", VLOOKUP(B429, 'CLIENT DATA'!A:S, 19, FALSE))</f>
        <v/>
      </c>
      <c r="D429" s="107">
        <f t="array" ref="D429">IF(B429="", "", _xlfn.TEXTJOIN(", ", TRUE, IF('CLIENT DATA'!$A$2:$A$205=B429, 'CLIENT DATA'!$C$2:$F$205, "")))</f>
        <v/>
      </c>
      <c r="E429" s="52" t="n"/>
      <c r="F429" s="52" t="n"/>
      <c r="G429" s="52" t="n"/>
      <c r="H429" s="52" t="n"/>
      <c r="I429" s="52" t="n"/>
      <c r="J429" s="59" t="n"/>
      <c r="K429" s="59" t="n"/>
      <c r="L429" s="59" t="n"/>
      <c r="M429" s="59" t="n"/>
      <c r="N429" s="59" t="n"/>
      <c r="O429" s="297" t="n"/>
      <c r="P429" s="297" t="n"/>
      <c r="Q429" s="297" t="n"/>
      <c r="R429" s="297" t="n"/>
      <c r="S429" s="297" t="n"/>
      <c r="T429" s="297" t="n"/>
      <c r="U429" s="297" t="n"/>
    </row>
    <row r="430">
      <c r="A430" s="194" t="n"/>
      <c r="B430" s="299" t="n"/>
      <c r="C430" s="107">
        <f>IF(B430="", "", VLOOKUP(B430, 'CLIENT DATA'!A:S, 19, FALSE))</f>
        <v/>
      </c>
      <c r="D430" s="107">
        <f t="array" ref="D430">IF(B430="", "", _xlfn.TEXTJOIN(", ", TRUE, IF('CLIENT DATA'!$A$2:$A$205=B430, 'CLIENT DATA'!$C$2:$F$205, "")))</f>
        <v/>
      </c>
      <c r="E430" s="52" t="n"/>
      <c r="F430" s="52" t="n"/>
      <c r="G430" s="52" t="n"/>
      <c r="H430" s="52" t="n"/>
      <c r="I430" s="52" t="n"/>
      <c r="J430" s="59" t="n"/>
      <c r="K430" s="59" t="n"/>
      <c r="L430" s="59" t="n"/>
      <c r="M430" s="59" t="n"/>
      <c r="N430" s="59" t="n"/>
      <c r="O430" s="297" t="n"/>
      <c r="P430" s="297" t="n"/>
      <c r="Q430" s="297" t="n"/>
      <c r="R430" s="297" t="n"/>
      <c r="S430" s="297" t="n"/>
      <c r="T430" s="297" t="n"/>
      <c r="U430" s="297" t="n"/>
    </row>
    <row r="431">
      <c r="A431" s="194" t="n"/>
      <c r="B431" s="299" t="n"/>
      <c r="C431" s="107">
        <f>IF(B431="", "", VLOOKUP(B431, 'CLIENT DATA'!A:S, 19, FALSE))</f>
        <v/>
      </c>
      <c r="D431" s="107">
        <f t="array" ref="D431">IF(B431="", "", _xlfn.TEXTJOIN(", ", TRUE, IF('CLIENT DATA'!$A$2:$A$205=B431, 'CLIENT DATA'!$C$2:$F$205, "")))</f>
        <v/>
      </c>
      <c r="E431" s="52" t="n"/>
      <c r="F431" s="52" t="n"/>
      <c r="G431" s="52" t="n"/>
      <c r="H431" s="52" t="n"/>
      <c r="I431" s="52" t="n"/>
      <c r="J431" s="59" t="n"/>
      <c r="K431" s="59" t="n"/>
      <c r="L431" s="59" t="n"/>
      <c r="M431" s="59" t="n"/>
      <c r="N431" s="59" t="n"/>
      <c r="O431" s="297" t="n"/>
      <c r="P431" s="297" t="n"/>
      <c r="Q431" s="297" t="n"/>
      <c r="R431" s="297" t="n"/>
      <c r="S431" s="297" t="n"/>
      <c r="T431" s="297" t="n"/>
      <c r="U431" s="297" t="n"/>
    </row>
    <row r="432">
      <c r="A432" s="194" t="n"/>
      <c r="B432" s="299" t="n"/>
      <c r="C432" s="107">
        <f>IF(B432="", "", VLOOKUP(B432, 'CLIENT DATA'!A:S, 19, FALSE))</f>
        <v/>
      </c>
      <c r="D432" s="107">
        <f t="array" ref="D432">IF(B432="", "", _xlfn.TEXTJOIN(", ", TRUE, IF('CLIENT DATA'!$A$2:$A$205=B432, 'CLIENT DATA'!$C$2:$F$205, "")))</f>
        <v/>
      </c>
      <c r="E432" s="52" t="n"/>
      <c r="F432" s="52" t="n"/>
      <c r="G432" s="52" t="n"/>
      <c r="H432" s="52" t="n"/>
      <c r="I432" s="52" t="n"/>
      <c r="J432" s="59" t="n"/>
      <c r="K432" s="59" t="n"/>
      <c r="L432" s="59" t="n"/>
      <c r="M432" s="59" t="n"/>
      <c r="N432" s="59" t="n"/>
      <c r="O432" s="297" t="n"/>
      <c r="P432" s="297" t="n"/>
      <c r="Q432" s="297" t="n"/>
      <c r="R432" s="297" t="n"/>
      <c r="S432" s="297" t="n"/>
      <c r="T432" s="297" t="n"/>
      <c r="U432" s="297" t="n"/>
    </row>
    <row r="433">
      <c r="A433" s="194" t="n"/>
      <c r="B433" s="299" t="n"/>
      <c r="C433" s="107">
        <f>IF(B433="", "", VLOOKUP(B433, 'CLIENT DATA'!A:S, 19, FALSE))</f>
        <v/>
      </c>
      <c r="D433" s="107">
        <f t="array" ref="D433">IF(B433="", "", _xlfn.TEXTJOIN(", ", TRUE, IF('CLIENT DATA'!$A$2:$A$205=B433, 'CLIENT DATA'!$C$2:$F$205, "")))</f>
        <v/>
      </c>
      <c r="E433" s="52" t="n"/>
      <c r="F433" s="52" t="n"/>
      <c r="G433" s="52" t="n"/>
      <c r="H433" s="52" t="n"/>
      <c r="I433" s="52" t="n"/>
      <c r="J433" s="59" t="n"/>
      <c r="K433" s="59" t="n"/>
      <c r="L433" s="59" t="n"/>
      <c r="M433" s="59" t="n"/>
      <c r="N433" s="59" t="n"/>
      <c r="O433" s="297" t="n"/>
      <c r="P433" s="297" t="n"/>
      <c r="Q433" s="297" t="n"/>
      <c r="R433" s="297" t="n"/>
      <c r="S433" s="297" t="n"/>
      <c r="T433" s="297" t="n"/>
      <c r="U433" s="297" t="n"/>
    </row>
    <row r="434">
      <c r="A434" s="194" t="n"/>
      <c r="B434" s="299" t="n"/>
      <c r="C434" s="107">
        <f>IF(B434="", "", VLOOKUP(B434, 'CLIENT DATA'!A:S, 19, FALSE))</f>
        <v/>
      </c>
      <c r="D434" s="107">
        <f t="array" ref="D434">IF(B434="", "", _xlfn.TEXTJOIN(", ", TRUE, IF('CLIENT DATA'!$A$2:$A$205=B434, 'CLIENT DATA'!$C$2:$F$205, "")))</f>
        <v/>
      </c>
      <c r="E434" s="52" t="n"/>
      <c r="F434" s="52" t="n"/>
      <c r="G434" s="52" t="n"/>
      <c r="H434" s="52" t="n"/>
      <c r="I434" s="52" t="n"/>
      <c r="J434" s="59" t="n"/>
      <c r="K434" s="59" t="n"/>
      <c r="L434" s="59" t="n"/>
      <c r="M434" s="59" t="n"/>
      <c r="N434" s="59" t="n"/>
      <c r="O434" s="297" t="n"/>
      <c r="P434" s="297" t="n"/>
      <c r="Q434" s="297" t="n"/>
      <c r="R434" s="297" t="n"/>
      <c r="S434" s="297" t="n"/>
      <c r="T434" s="297" t="n"/>
      <c r="U434" s="297" t="n"/>
    </row>
    <row r="435">
      <c r="A435" s="194" t="n"/>
      <c r="B435" s="299" t="n"/>
      <c r="C435" s="107">
        <f>IF(B435="", "", VLOOKUP(B435, 'CLIENT DATA'!A:S, 19, FALSE))</f>
        <v/>
      </c>
      <c r="D435" s="107">
        <f t="array" ref="D435">IF(B435="", "", _xlfn.TEXTJOIN(", ", TRUE, IF('CLIENT DATA'!$A$2:$A$205=B435, 'CLIENT DATA'!$C$2:$F$205, "")))</f>
        <v/>
      </c>
      <c r="E435" s="52" t="n"/>
      <c r="F435" s="52" t="n"/>
      <c r="G435" s="52" t="n"/>
      <c r="H435" s="52" t="n"/>
      <c r="I435" s="52" t="n"/>
      <c r="J435" s="59" t="n"/>
      <c r="K435" s="59" t="n"/>
      <c r="L435" s="59" t="n"/>
      <c r="M435" s="59" t="n"/>
      <c r="N435" s="59" t="n"/>
      <c r="O435" s="297" t="n"/>
      <c r="P435" s="297" t="n"/>
      <c r="Q435" s="297" t="n"/>
      <c r="R435" s="297" t="n"/>
      <c r="S435" s="297" t="n"/>
      <c r="T435" s="297" t="n"/>
      <c r="U435" s="297" t="n"/>
    </row>
    <row r="436">
      <c r="A436" s="194" t="n"/>
      <c r="B436" s="299" t="n"/>
      <c r="C436" s="107">
        <f>IF(B436="", "", VLOOKUP(B436, 'CLIENT DATA'!A:S, 19, FALSE))</f>
        <v/>
      </c>
      <c r="D436" s="107">
        <f t="array" ref="D436">IF(B436="", "", _xlfn.TEXTJOIN(", ", TRUE, IF('CLIENT DATA'!$A$2:$A$205=B436, 'CLIENT DATA'!$C$2:$F$205, "")))</f>
        <v/>
      </c>
      <c r="E436" s="52" t="n"/>
      <c r="F436" s="52" t="n"/>
      <c r="G436" s="52" t="n"/>
      <c r="H436" s="52" t="n"/>
      <c r="I436" s="52" t="n"/>
      <c r="J436" s="59" t="n"/>
      <c r="K436" s="59" t="n"/>
      <c r="L436" s="59" t="n"/>
      <c r="M436" s="59" t="n"/>
      <c r="N436" s="59" t="n"/>
      <c r="O436" s="297" t="n"/>
      <c r="P436" s="297" t="n"/>
      <c r="Q436" s="297" t="n"/>
      <c r="R436" s="297" t="n"/>
      <c r="S436" s="297" t="n"/>
      <c r="T436" s="297" t="n"/>
      <c r="U436" s="297" t="n"/>
    </row>
    <row r="437">
      <c r="A437" s="194" t="n"/>
      <c r="B437" s="299" t="n"/>
      <c r="C437" s="107">
        <f>IF(B437="", "", VLOOKUP(B437, 'CLIENT DATA'!A:S, 19, FALSE))</f>
        <v/>
      </c>
      <c r="D437" s="107">
        <f t="array" ref="D437">IF(B437="", "", _xlfn.TEXTJOIN(", ", TRUE, IF('CLIENT DATA'!$A$2:$A$205=B437, 'CLIENT DATA'!$C$2:$F$205, "")))</f>
        <v/>
      </c>
      <c r="E437" s="52" t="n"/>
      <c r="F437" s="52" t="n"/>
      <c r="G437" s="52" t="n"/>
      <c r="H437" s="52" t="n"/>
      <c r="I437" s="52" t="n"/>
      <c r="J437" s="59" t="n"/>
      <c r="K437" s="59" t="n"/>
      <c r="L437" s="59" t="n"/>
      <c r="M437" s="59" t="n"/>
      <c r="N437" s="59" t="n"/>
      <c r="O437" s="297" t="n"/>
      <c r="P437" s="297" t="n"/>
      <c r="Q437" s="297" t="n"/>
      <c r="R437" s="297" t="n"/>
      <c r="S437" s="297" t="n"/>
      <c r="T437" s="297" t="n"/>
      <c r="U437" s="297" t="n"/>
    </row>
    <row r="438">
      <c r="A438" s="194" t="n"/>
      <c r="B438" s="299" t="n"/>
      <c r="C438" s="107">
        <f>IF(B438="", "", VLOOKUP(B438, 'CLIENT DATA'!A:S, 19, FALSE))</f>
        <v/>
      </c>
      <c r="D438" s="107">
        <f t="array" ref="D438">IF(B438="", "", _xlfn.TEXTJOIN(", ", TRUE, IF('CLIENT DATA'!$A$2:$A$205=B438, 'CLIENT DATA'!$C$2:$F$205, "")))</f>
        <v/>
      </c>
      <c r="E438" s="52" t="n"/>
      <c r="F438" s="52" t="n"/>
      <c r="G438" s="52" t="n"/>
      <c r="H438" s="52" t="n"/>
      <c r="I438" s="52" t="n"/>
      <c r="J438" s="59" t="n"/>
      <c r="K438" s="59" t="n"/>
      <c r="L438" s="59" t="n"/>
      <c r="M438" s="59" t="n"/>
      <c r="N438" s="59" t="n"/>
      <c r="O438" s="297" t="n"/>
      <c r="P438" s="297" t="n"/>
      <c r="Q438" s="297" t="n"/>
      <c r="R438" s="297" t="n"/>
      <c r="S438" s="297" t="n"/>
      <c r="T438" s="297" t="n"/>
      <c r="U438" s="297" t="n"/>
    </row>
    <row r="439">
      <c r="A439" s="194" t="n"/>
      <c r="B439" s="299" t="n"/>
      <c r="C439" s="107">
        <f>IF(B439="", "", VLOOKUP(B439, 'CLIENT DATA'!A:S, 19, FALSE))</f>
        <v/>
      </c>
      <c r="D439" s="107">
        <f t="array" ref="D439">IF(B439="", "", _xlfn.TEXTJOIN(", ", TRUE, IF('CLIENT DATA'!$A$2:$A$205=B439, 'CLIENT DATA'!$C$2:$F$205, "")))</f>
        <v/>
      </c>
      <c r="E439" s="52" t="n"/>
      <c r="F439" s="52" t="n"/>
      <c r="G439" s="52" t="n"/>
      <c r="H439" s="52" t="n"/>
      <c r="I439" s="52" t="n"/>
      <c r="J439" s="59" t="n"/>
      <c r="K439" s="59" t="n"/>
      <c r="L439" s="59" t="n"/>
      <c r="M439" s="59" t="n"/>
      <c r="N439" s="59" t="n"/>
      <c r="O439" s="297" t="n"/>
      <c r="P439" s="297" t="n"/>
      <c r="Q439" s="297" t="n"/>
      <c r="R439" s="297" t="n"/>
      <c r="S439" s="297" t="n"/>
      <c r="T439" s="297" t="n"/>
      <c r="U439" s="297" t="n"/>
    </row>
    <row r="440">
      <c r="A440" s="194" t="n"/>
      <c r="B440" s="299" t="n"/>
      <c r="C440" s="107">
        <f>IF(B440="", "", VLOOKUP(B440, 'CLIENT DATA'!A:S, 19, FALSE))</f>
        <v/>
      </c>
      <c r="D440" s="107">
        <f t="array" ref="D440">IF(B440="", "", _xlfn.TEXTJOIN(", ", TRUE, IF('CLIENT DATA'!$A$2:$A$205=B440, 'CLIENT DATA'!$C$2:$F$205, "")))</f>
        <v/>
      </c>
      <c r="E440" s="52" t="n"/>
      <c r="F440" s="52" t="n"/>
      <c r="G440" s="52" t="n"/>
      <c r="H440" s="52" t="n"/>
      <c r="I440" s="52" t="n"/>
      <c r="J440" s="59" t="n"/>
      <c r="K440" s="59" t="n"/>
      <c r="L440" s="59" t="n"/>
      <c r="M440" s="59" t="n"/>
      <c r="N440" s="59" t="n"/>
      <c r="O440" s="297" t="n"/>
      <c r="P440" s="297" t="n"/>
      <c r="Q440" s="297" t="n"/>
      <c r="R440" s="297" t="n"/>
      <c r="S440" s="297" t="n"/>
      <c r="T440" s="297" t="n"/>
      <c r="U440" s="297" t="n"/>
    </row>
    <row r="441">
      <c r="A441" s="194" t="n"/>
      <c r="B441" s="299" t="n"/>
      <c r="C441" s="107">
        <f>IF(B441="", "", VLOOKUP(B441, 'CLIENT DATA'!A:S, 19, FALSE))</f>
        <v/>
      </c>
      <c r="D441" s="107">
        <f t="array" ref="D441">IF(B441="", "", _xlfn.TEXTJOIN(", ", TRUE, IF('CLIENT DATA'!$A$2:$A$205=B441, 'CLIENT DATA'!$C$2:$F$205, "")))</f>
        <v/>
      </c>
      <c r="E441" s="52" t="n"/>
      <c r="F441" s="52" t="n"/>
      <c r="G441" s="52" t="n"/>
      <c r="H441" s="52" t="n"/>
      <c r="I441" s="52" t="n"/>
      <c r="J441" s="59" t="n"/>
      <c r="K441" s="59" t="n"/>
      <c r="L441" s="59" t="n"/>
      <c r="M441" s="59" t="n"/>
      <c r="N441" s="59" t="n"/>
      <c r="O441" s="297" t="n"/>
      <c r="P441" s="297" t="n"/>
      <c r="Q441" s="297" t="n"/>
      <c r="R441" s="297" t="n"/>
      <c r="S441" s="297" t="n"/>
      <c r="T441" s="297" t="n"/>
      <c r="U441" s="297" t="n"/>
    </row>
    <row r="442">
      <c r="A442" s="194" t="n"/>
      <c r="B442" s="299" t="n"/>
      <c r="C442" s="107">
        <f>IF(B442="", "", VLOOKUP(B442, 'CLIENT DATA'!A:S, 19, FALSE))</f>
        <v/>
      </c>
      <c r="D442" s="107">
        <f t="array" ref="D442">IF(B442="", "", _xlfn.TEXTJOIN(", ", TRUE, IF('CLIENT DATA'!$A$2:$A$205=B442, 'CLIENT DATA'!$C$2:$F$205, "")))</f>
        <v/>
      </c>
      <c r="E442" s="52" t="n"/>
      <c r="F442" s="52" t="n"/>
      <c r="G442" s="52" t="n"/>
      <c r="H442" s="52" t="n"/>
      <c r="I442" s="52" t="n"/>
      <c r="J442" s="59" t="n"/>
      <c r="K442" s="59" t="n"/>
      <c r="L442" s="59" t="n"/>
      <c r="M442" s="59" t="n"/>
      <c r="N442" s="59" t="n"/>
      <c r="O442" s="297" t="n"/>
      <c r="P442" s="297" t="n"/>
      <c r="Q442" s="297" t="n"/>
      <c r="R442" s="297" t="n"/>
      <c r="S442" s="297" t="n"/>
      <c r="T442" s="297" t="n"/>
      <c r="U442" s="297" t="n"/>
    </row>
    <row r="443">
      <c r="A443" s="194" t="n"/>
      <c r="B443" s="299" t="n"/>
      <c r="C443" s="107">
        <f>IF(B443="", "", VLOOKUP(B443, 'CLIENT DATA'!A:S, 19, FALSE))</f>
        <v/>
      </c>
      <c r="D443" s="107">
        <f t="array" ref="D443">IF(B443="", "", _xlfn.TEXTJOIN(", ", TRUE, IF('CLIENT DATA'!$A$2:$A$205=B443, 'CLIENT DATA'!$C$2:$F$205, "")))</f>
        <v/>
      </c>
      <c r="E443" s="52" t="n"/>
      <c r="F443" s="52" t="n"/>
      <c r="G443" s="52" t="n"/>
      <c r="H443" s="52" t="n"/>
      <c r="I443" s="52" t="n"/>
      <c r="J443" s="59" t="n"/>
      <c r="K443" s="59" t="n"/>
      <c r="L443" s="59" t="n"/>
      <c r="M443" s="59" t="n"/>
      <c r="N443" s="59" t="n"/>
      <c r="O443" s="297" t="n"/>
      <c r="P443" s="297" t="n"/>
      <c r="Q443" s="297" t="n"/>
      <c r="R443" s="297" t="n"/>
      <c r="S443" s="297" t="n"/>
      <c r="T443" s="297" t="n"/>
      <c r="U443" s="297" t="n"/>
    </row>
    <row r="444">
      <c r="A444" s="194" t="n"/>
      <c r="B444" s="299" t="n"/>
      <c r="C444" s="107">
        <f>IF(B444="", "", VLOOKUP(B444, 'CLIENT DATA'!A:S, 19, FALSE))</f>
        <v/>
      </c>
      <c r="D444" s="107">
        <f t="array" ref="D444">IF(B444="", "", _xlfn.TEXTJOIN(", ", TRUE, IF('CLIENT DATA'!$A$2:$A$205=B444, 'CLIENT DATA'!$C$2:$F$205, "")))</f>
        <v/>
      </c>
      <c r="E444" s="52" t="n"/>
      <c r="F444" s="52" t="n"/>
      <c r="G444" s="52" t="n"/>
      <c r="H444" s="52" t="n"/>
      <c r="I444" s="52" t="n"/>
      <c r="J444" s="59" t="n"/>
      <c r="K444" s="59" t="n"/>
      <c r="L444" s="59" t="n"/>
      <c r="M444" s="59" t="n"/>
      <c r="N444" s="59" t="n"/>
      <c r="O444" s="297" t="n"/>
      <c r="P444" s="297" t="n"/>
      <c r="Q444" s="297" t="n"/>
      <c r="R444" s="297" t="n"/>
      <c r="S444" s="297" t="n"/>
      <c r="T444" s="297" t="n"/>
      <c r="U444" s="297" t="n"/>
    </row>
    <row r="445">
      <c r="A445" s="194" t="n"/>
      <c r="B445" s="299" t="n"/>
      <c r="C445" s="107">
        <f>IF(B445="", "", VLOOKUP(B445, 'CLIENT DATA'!A:S, 19, FALSE))</f>
        <v/>
      </c>
      <c r="D445" s="107">
        <f t="array" ref="D445">IF(B445="", "", _xlfn.TEXTJOIN(", ", TRUE, IF('CLIENT DATA'!$A$2:$A$205=B445, 'CLIENT DATA'!$C$2:$F$205, "")))</f>
        <v/>
      </c>
      <c r="E445" s="52" t="n"/>
      <c r="F445" s="52" t="n"/>
      <c r="G445" s="52" t="n"/>
      <c r="H445" s="52" t="n"/>
      <c r="I445" s="52" t="n"/>
      <c r="J445" s="59" t="n"/>
      <c r="K445" s="59" t="n"/>
      <c r="L445" s="59" t="n"/>
      <c r="M445" s="59" t="n"/>
      <c r="N445" s="59" t="n"/>
      <c r="O445" s="297" t="n"/>
      <c r="P445" s="297" t="n"/>
      <c r="Q445" s="297" t="n"/>
      <c r="R445" s="297" t="n"/>
      <c r="S445" s="297" t="n"/>
      <c r="T445" s="297" t="n"/>
      <c r="U445" s="297" t="n"/>
    </row>
    <row r="446">
      <c r="A446" s="194" t="n"/>
      <c r="B446" s="299" t="n"/>
      <c r="C446" s="107">
        <f>IF(B446="", "", VLOOKUP(B446, 'CLIENT DATA'!A:S, 19, FALSE))</f>
        <v/>
      </c>
      <c r="D446" s="107">
        <f t="array" ref="D446">IF(B446="", "", _xlfn.TEXTJOIN(", ", TRUE, IF('CLIENT DATA'!$A$2:$A$205=B446, 'CLIENT DATA'!$C$2:$F$205, "")))</f>
        <v/>
      </c>
      <c r="E446" s="52" t="n"/>
      <c r="F446" s="52" t="n"/>
      <c r="G446" s="52" t="n"/>
      <c r="H446" s="52" t="n"/>
      <c r="I446" s="52" t="n"/>
      <c r="J446" s="59" t="n"/>
      <c r="K446" s="59" t="n"/>
      <c r="L446" s="59" t="n"/>
      <c r="M446" s="59" t="n"/>
      <c r="N446" s="59" t="n"/>
      <c r="O446" s="297" t="n"/>
      <c r="P446" s="297" t="n"/>
      <c r="Q446" s="297" t="n"/>
      <c r="R446" s="297" t="n"/>
      <c r="S446" s="297" t="n"/>
      <c r="T446" s="297" t="n"/>
      <c r="U446" s="297" t="n"/>
    </row>
    <row r="447">
      <c r="A447" s="194" t="n"/>
      <c r="B447" s="300" t="n"/>
      <c r="C447" s="182">
        <f>IF(B447="", "", VLOOKUP(B447, 'CLIENT DATA'!A:S, 19, FALSE))</f>
        <v/>
      </c>
      <c r="D447" s="182">
        <f t="array" ref="D447">IF(B447="", "", _xlfn.TEXTJOIN(", ", TRUE, IF('CLIENT DATA'!$A$2:$A$205=B447, 'CLIENT DATA'!$C$2:$F$205, "")))</f>
        <v/>
      </c>
      <c r="E447" s="183" t="n"/>
      <c r="F447" s="183" t="n"/>
      <c r="G447" s="183" t="n"/>
      <c r="H447" s="183" t="n"/>
      <c r="I447" s="183" t="n"/>
      <c r="J447" s="184" t="n"/>
      <c r="K447" s="184" t="n"/>
      <c r="L447" s="184" t="n"/>
      <c r="M447" s="184" t="n"/>
      <c r="N447" s="184" t="n"/>
      <c r="O447" s="301" t="n"/>
      <c r="P447" s="301" t="n"/>
      <c r="Q447" s="301" t="n"/>
      <c r="R447" s="301" t="n"/>
      <c r="S447" s="301" t="n"/>
      <c r="T447" s="301" t="n"/>
      <c r="U447" s="301" t="n"/>
    </row>
    <row r="448">
      <c r="A448" s="174" t="n"/>
      <c r="B448" s="187" t="n"/>
      <c r="C448" s="107">
        <f>IF(B448="", "", VLOOKUP(B448, 'CLIENT DATA'!A:S, 19, FALSE))</f>
        <v/>
      </c>
      <c r="D448" s="107">
        <f t="array" ref="D448">IF(B448="", "", _xlfn.TEXTJOIN(", ", TRUE, IF('CLIENT DATA'!$A$2:$A$205=B448, 'CLIENT DATA'!$C$2:$F$205, "")))</f>
        <v/>
      </c>
      <c r="E448" s="52" t="n"/>
      <c r="F448" s="52" t="n"/>
      <c r="G448" s="52" t="n"/>
      <c r="H448" s="52" t="n"/>
      <c r="I448" s="52" t="n"/>
      <c r="J448" s="59" t="n"/>
      <c r="K448" s="59" t="n"/>
      <c r="L448" s="59" t="n"/>
      <c r="M448" s="59" t="n"/>
      <c r="N448" s="59" t="n"/>
      <c r="O448" s="297" t="n"/>
      <c r="P448" s="297" t="n"/>
      <c r="Q448" s="297" t="n"/>
      <c r="R448" s="297" t="n"/>
      <c r="S448" s="297" t="n"/>
      <c r="T448" s="297" t="n"/>
      <c r="U448" s="297" t="n"/>
    </row>
    <row r="449">
      <c r="A449" s="174" t="n"/>
      <c r="B449" s="187" t="n"/>
      <c r="C449" s="107">
        <f>IF(B449="", "", VLOOKUP(B449, 'CLIENT DATA'!A:S, 19, FALSE))</f>
        <v/>
      </c>
      <c r="D449" s="107">
        <f t="array" ref="D449">IF(B449="", "", _xlfn.TEXTJOIN(", ", TRUE, IF('CLIENT DATA'!$A$2:$A$205=B449, 'CLIENT DATA'!$C$2:$F$205, "")))</f>
        <v/>
      </c>
      <c r="E449" s="52" t="n"/>
      <c r="F449" s="52" t="n"/>
      <c r="G449" s="52" t="n"/>
      <c r="H449" s="52" t="n"/>
      <c r="I449" s="52" t="n"/>
      <c r="J449" s="59" t="n"/>
      <c r="K449" s="59" t="n"/>
      <c r="L449" s="59" t="n"/>
      <c r="M449" s="59" t="n"/>
      <c r="N449" s="59" t="n"/>
      <c r="O449" s="297" t="n"/>
      <c r="P449" s="297" t="n"/>
      <c r="Q449" s="297" t="n"/>
      <c r="R449" s="297" t="n"/>
      <c r="S449" s="297" t="n"/>
      <c r="T449" s="297" t="n"/>
      <c r="U449" s="297" t="n"/>
    </row>
    <row r="450">
      <c r="A450" s="174" t="n"/>
      <c r="B450" s="187" t="n"/>
      <c r="C450" s="107">
        <f>IF(B450="", "", VLOOKUP(B450, 'CLIENT DATA'!A:S, 19, FALSE))</f>
        <v/>
      </c>
      <c r="D450" s="107">
        <f t="array" ref="D450">IF(B450="", "", _xlfn.TEXTJOIN(", ", TRUE, IF('CLIENT DATA'!$A$2:$A$205=B450, 'CLIENT DATA'!$C$2:$F$205, "")))</f>
        <v/>
      </c>
      <c r="E450" s="52" t="n"/>
      <c r="F450" s="52" t="n"/>
      <c r="G450" s="52" t="n"/>
      <c r="H450" s="52" t="n"/>
      <c r="I450" s="52" t="n"/>
      <c r="J450" s="59" t="n"/>
      <c r="K450" s="59" t="n"/>
      <c r="L450" s="59" t="n"/>
      <c r="M450" s="59" t="n"/>
      <c r="N450" s="59" t="n"/>
      <c r="O450" s="297" t="n"/>
      <c r="P450" s="297" t="n"/>
      <c r="Q450" s="297" t="n"/>
      <c r="R450" s="297" t="n"/>
      <c r="S450" s="297" t="n"/>
      <c r="T450" s="297" t="n"/>
      <c r="U450" s="297" t="n"/>
    </row>
    <row r="451">
      <c r="A451" s="174" t="n"/>
      <c r="B451" s="187" t="n"/>
      <c r="C451" s="107">
        <f>IF(B451="", "", VLOOKUP(B451, 'CLIENT DATA'!A:S, 19, FALSE))</f>
        <v/>
      </c>
      <c r="D451" s="107">
        <f t="array" ref="D451">IF(B451="", "", _xlfn.TEXTJOIN(", ", TRUE, IF('CLIENT DATA'!$A$2:$A$205=B451, 'CLIENT DATA'!$C$2:$F$205, "")))</f>
        <v/>
      </c>
      <c r="E451" s="52" t="n"/>
      <c r="F451" s="52" t="n"/>
      <c r="G451" s="52" t="n"/>
      <c r="H451" s="52" t="n"/>
      <c r="I451" s="52" t="n"/>
      <c r="J451" s="59" t="n"/>
      <c r="K451" s="59" t="n"/>
      <c r="L451" s="59" t="n"/>
      <c r="M451" s="59" t="n"/>
      <c r="N451" s="59" t="n"/>
      <c r="O451" s="297" t="n"/>
      <c r="P451" s="297" t="n"/>
      <c r="Q451" s="297" t="n"/>
      <c r="R451" s="297" t="n"/>
      <c r="S451" s="297" t="n"/>
      <c r="T451" s="297" t="n"/>
      <c r="U451" s="297" t="n"/>
    </row>
    <row r="452">
      <c r="A452" s="174" t="n"/>
      <c r="B452" s="187" t="n"/>
      <c r="C452" s="107">
        <f>IF(B452="", "", VLOOKUP(B452, 'CLIENT DATA'!A:S, 19, FALSE))</f>
        <v/>
      </c>
      <c r="D452" s="107">
        <f t="array" ref="D452">IF(B452="", "", _xlfn.TEXTJOIN(", ", TRUE, IF('CLIENT DATA'!$A$2:$A$205=B452, 'CLIENT DATA'!$C$2:$F$205, "")))</f>
        <v/>
      </c>
      <c r="E452" s="52" t="n"/>
      <c r="F452" s="52" t="n"/>
      <c r="G452" s="52" t="n"/>
      <c r="H452" s="52" t="n"/>
      <c r="I452" s="52" t="n"/>
      <c r="J452" s="59" t="n"/>
      <c r="K452" s="59" t="n"/>
      <c r="L452" s="59" t="n"/>
      <c r="M452" s="59" t="n"/>
      <c r="N452" s="59" t="n"/>
      <c r="O452" s="297" t="n"/>
      <c r="P452" s="297" t="n"/>
      <c r="Q452" s="297" t="n"/>
      <c r="R452" s="297" t="n"/>
      <c r="S452" s="297" t="n"/>
      <c r="T452" s="297" t="n"/>
      <c r="U452" s="297" t="n"/>
    </row>
    <row r="453">
      <c r="A453" s="174" t="n"/>
      <c r="B453" s="187" t="n"/>
      <c r="C453" s="107">
        <f>IF(B453="", "", VLOOKUP(B453, 'CLIENT DATA'!A:S, 19, FALSE))</f>
        <v/>
      </c>
      <c r="D453" s="107">
        <f t="array" ref="D453">IF(B453="", "", _xlfn.TEXTJOIN(", ", TRUE, IF('CLIENT DATA'!$A$2:$A$205=B453, 'CLIENT DATA'!$C$2:$F$205, "")))</f>
        <v/>
      </c>
      <c r="E453" s="52" t="n"/>
      <c r="F453" s="52" t="n"/>
      <c r="G453" s="52" t="n"/>
      <c r="H453" s="52" t="n"/>
      <c r="I453" s="52" t="n"/>
      <c r="J453" s="59" t="n"/>
      <c r="K453" s="59" t="n"/>
      <c r="L453" s="59" t="n"/>
      <c r="M453" s="59" t="n"/>
      <c r="N453" s="59" t="n"/>
      <c r="O453" s="297" t="n"/>
      <c r="P453" s="297" t="n"/>
      <c r="Q453" s="297" t="n"/>
      <c r="R453" s="297" t="n"/>
      <c r="S453" s="297" t="n"/>
      <c r="T453" s="297" t="n"/>
      <c r="U453" s="297" t="n"/>
    </row>
    <row r="454">
      <c r="A454" s="174" t="n"/>
      <c r="B454" s="187" t="n"/>
      <c r="C454" s="107">
        <f>IF(B454="", "", VLOOKUP(B454, 'CLIENT DATA'!A:S, 19, FALSE))</f>
        <v/>
      </c>
      <c r="D454" s="107">
        <f t="array" ref="D454">IF(B454="", "", _xlfn.TEXTJOIN(", ", TRUE, IF('CLIENT DATA'!$A$2:$A$205=B454, 'CLIENT DATA'!$C$2:$F$205, "")))</f>
        <v/>
      </c>
      <c r="E454" s="52" t="n"/>
      <c r="F454" s="52" t="n"/>
      <c r="G454" s="52" t="n"/>
      <c r="H454" s="52" t="n"/>
      <c r="I454" s="52" t="n"/>
      <c r="J454" s="59" t="n"/>
      <c r="K454" s="59" t="n"/>
      <c r="L454" s="59" t="n"/>
      <c r="M454" s="59" t="n"/>
      <c r="N454" s="59" t="n"/>
      <c r="O454" s="297" t="n"/>
      <c r="P454" s="297" t="n"/>
      <c r="Q454" s="297" t="n"/>
      <c r="R454" s="297" t="n"/>
      <c r="S454" s="297" t="n"/>
      <c r="T454" s="297" t="n"/>
      <c r="U454" s="297" t="n"/>
    </row>
    <row r="455">
      <c r="A455" s="174" t="n"/>
      <c r="B455" s="187" t="n"/>
      <c r="C455" s="107">
        <f>IF(B455="", "", VLOOKUP(B455, 'CLIENT DATA'!A:S, 19, FALSE))</f>
        <v/>
      </c>
      <c r="D455" s="107">
        <f t="array" ref="D455">IF(B455="", "", _xlfn.TEXTJOIN(", ", TRUE, IF('CLIENT DATA'!$A$2:$A$205=B455, 'CLIENT DATA'!$C$2:$F$205, "")))</f>
        <v/>
      </c>
      <c r="E455" s="52" t="n"/>
      <c r="F455" s="52" t="n"/>
      <c r="G455" s="52" t="n"/>
      <c r="H455" s="52" t="n"/>
      <c r="I455" s="52" t="n"/>
      <c r="J455" s="59" t="n"/>
      <c r="K455" s="59" t="n"/>
      <c r="L455" s="59" t="n"/>
      <c r="M455" s="59" t="n"/>
      <c r="N455" s="59" t="n"/>
      <c r="O455" s="297" t="n"/>
      <c r="P455" s="297" t="n"/>
      <c r="Q455" s="297" t="n"/>
      <c r="R455" s="297" t="n"/>
      <c r="S455" s="297" t="n"/>
      <c r="T455" s="297" t="n"/>
      <c r="U455" s="297" t="n"/>
    </row>
    <row r="456">
      <c r="A456" s="174" t="n"/>
      <c r="B456" s="299" t="n"/>
      <c r="C456" s="107">
        <f>IF(B456="", "", VLOOKUP(B456, 'CLIENT DATA'!A:S, 19, FALSE))</f>
        <v/>
      </c>
      <c r="D456" s="107">
        <f t="array" ref="D456">IF(B456="", "", _xlfn.TEXTJOIN(", ", TRUE, IF('CLIENT DATA'!$A$2:$A$205=B456, 'CLIENT DATA'!$C$2:$F$205, "")))</f>
        <v/>
      </c>
      <c r="E456" s="52" t="n"/>
      <c r="F456" s="52" t="n"/>
      <c r="G456" s="52" t="n"/>
      <c r="H456" s="52" t="n"/>
      <c r="I456" s="52" t="n"/>
      <c r="J456" s="59" t="n"/>
      <c r="K456" s="59" t="n"/>
      <c r="L456" s="59" t="n"/>
      <c r="M456" s="59" t="n"/>
      <c r="N456" s="59" t="n"/>
      <c r="O456" s="297" t="n"/>
      <c r="P456" s="297" t="n"/>
      <c r="Q456" s="297" t="n"/>
      <c r="R456" s="297" t="n"/>
      <c r="S456" s="297" t="n"/>
      <c r="T456" s="297" t="n"/>
      <c r="U456" s="297" t="n"/>
    </row>
    <row r="457">
      <c r="A457" s="174" t="n"/>
      <c r="B457" s="299" t="n"/>
      <c r="C457" s="107">
        <f>IF(B457="", "", VLOOKUP(B457, 'CLIENT DATA'!A:S, 19, FALSE))</f>
        <v/>
      </c>
      <c r="D457" s="107">
        <f t="array" ref="D457">IF(B457="", "", _xlfn.TEXTJOIN(", ", TRUE, IF('CLIENT DATA'!$A$2:$A$205=B457, 'CLIENT DATA'!$C$2:$F$205, "")))</f>
        <v/>
      </c>
      <c r="E457" s="52" t="n"/>
      <c r="F457" s="52" t="n"/>
      <c r="G457" s="52" t="n"/>
      <c r="H457" s="52" t="n"/>
      <c r="I457" s="52" t="n"/>
      <c r="J457" s="59" t="n"/>
      <c r="K457" s="59" t="n"/>
      <c r="L457" s="59" t="n"/>
      <c r="M457" s="59" t="n"/>
      <c r="N457" s="59" t="n"/>
      <c r="O457" s="297" t="n"/>
      <c r="P457" s="297" t="n"/>
      <c r="Q457" s="297" t="n"/>
      <c r="R457" s="297" t="n"/>
      <c r="S457" s="297" t="n"/>
      <c r="T457" s="297" t="n"/>
      <c r="U457" s="297" t="n"/>
    </row>
    <row r="458">
      <c r="A458" s="174" t="n"/>
      <c r="B458" s="299" t="n"/>
      <c r="C458" s="107">
        <f>IF(B458="", "", VLOOKUP(B458, 'CLIENT DATA'!A:S, 19, FALSE))</f>
        <v/>
      </c>
      <c r="D458" s="107">
        <f t="array" ref="D458">IF(B458="", "", _xlfn.TEXTJOIN(", ", TRUE, IF('CLIENT DATA'!$A$2:$A$205=B458, 'CLIENT DATA'!$C$2:$F$205, "")))</f>
        <v/>
      </c>
      <c r="E458" s="52" t="n"/>
      <c r="F458" s="52" t="n"/>
      <c r="G458" s="52" t="n"/>
      <c r="H458" s="52" t="n"/>
      <c r="I458" s="52" t="n"/>
      <c r="J458" s="59" t="n"/>
      <c r="K458" s="59" t="n"/>
      <c r="L458" s="59" t="n"/>
      <c r="M458" s="59" t="n"/>
      <c r="N458" s="59" t="n"/>
      <c r="O458" s="297" t="n"/>
      <c r="P458" s="297" t="n"/>
      <c r="Q458" s="297" t="n"/>
      <c r="R458" s="297" t="n"/>
      <c r="S458" s="297" t="n"/>
      <c r="T458" s="297" t="n"/>
      <c r="U458" s="297" t="n"/>
    </row>
    <row r="459">
      <c r="A459" s="174" t="n"/>
      <c r="B459" s="299" t="n"/>
      <c r="C459" s="107">
        <f>IF(B459="", "", VLOOKUP(B459, 'CLIENT DATA'!A:S, 19, FALSE))</f>
        <v/>
      </c>
      <c r="D459" s="107">
        <f t="array" ref="D459">IF(B459="", "", _xlfn.TEXTJOIN(", ", TRUE, IF('CLIENT DATA'!$A$2:$A$205=B459, 'CLIENT DATA'!$C$2:$F$205, "")))</f>
        <v/>
      </c>
      <c r="E459" s="52" t="n"/>
      <c r="F459" s="52" t="n"/>
      <c r="G459" s="52" t="n"/>
      <c r="H459" s="52" t="n"/>
      <c r="I459" s="52" t="n"/>
      <c r="J459" s="59" t="n"/>
      <c r="K459" s="59" t="n"/>
      <c r="L459" s="59" t="n"/>
      <c r="M459" s="59" t="n"/>
      <c r="N459" s="59" t="n"/>
      <c r="O459" s="297" t="n"/>
      <c r="P459" s="297" t="n"/>
      <c r="Q459" s="297" t="n"/>
      <c r="R459" s="297" t="n"/>
      <c r="S459" s="297" t="n"/>
      <c r="T459" s="297" t="n"/>
      <c r="U459" s="297" t="n"/>
    </row>
    <row r="460">
      <c r="A460" s="174" t="n"/>
      <c r="B460" s="299" t="n"/>
      <c r="C460" s="107">
        <f>IF(B460="", "", VLOOKUP(B460, 'CLIENT DATA'!A:S, 19, FALSE))</f>
        <v/>
      </c>
      <c r="D460" s="107">
        <f t="array" ref="D460">IF(B460="", "", _xlfn.TEXTJOIN(", ", TRUE, IF('CLIENT DATA'!$A$2:$A$205=B460, 'CLIENT DATA'!$C$2:$F$205, "")))</f>
        <v/>
      </c>
      <c r="E460" s="52" t="n"/>
      <c r="F460" s="52" t="n"/>
      <c r="G460" s="52" t="n"/>
      <c r="H460" s="52" t="n"/>
      <c r="I460" s="52" t="n"/>
      <c r="J460" s="59" t="n"/>
      <c r="K460" s="59" t="n"/>
      <c r="L460" s="59" t="n"/>
      <c r="M460" s="59" t="n"/>
      <c r="N460" s="59" t="n"/>
      <c r="O460" s="297" t="n"/>
      <c r="P460" s="297" t="n"/>
      <c r="Q460" s="297" t="n"/>
      <c r="R460" s="297" t="n"/>
      <c r="S460" s="297" t="n"/>
      <c r="T460" s="297" t="n"/>
      <c r="U460" s="297" t="n"/>
    </row>
    <row r="461">
      <c r="A461" s="174" t="n"/>
      <c r="B461" s="299" t="n"/>
      <c r="C461" s="107">
        <f>IF(B461="", "", VLOOKUP(B461, 'CLIENT DATA'!A:S, 19, FALSE))</f>
        <v/>
      </c>
      <c r="D461" s="107">
        <f t="array" ref="D461">IF(B461="", "", _xlfn.TEXTJOIN(", ", TRUE, IF('CLIENT DATA'!$A$2:$A$205=B461, 'CLIENT DATA'!$C$2:$F$205, "")))</f>
        <v/>
      </c>
      <c r="E461" s="52" t="n"/>
      <c r="F461" s="52" t="n"/>
      <c r="G461" s="52" t="n"/>
      <c r="H461" s="52" t="n"/>
      <c r="I461" s="52" t="n"/>
      <c r="J461" s="59" t="n"/>
      <c r="K461" s="59" t="n"/>
      <c r="L461" s="59" t="n"/>
      <c r="M461" s="59" t="n"/>
      <c r="N461" s="59" t="n"/>
      <c r="O461" s="297" t="n"/>
      <c r="P461" s="297" t="n"/>
      <c r="Q461" s="297" t="n"/>
      <c r="R461" s="297" t="n"/>
      <c r="S461" s="297" t="n"/>
      <c r="T461" s="297" t="n"/>
      <c r="U461" s="297" t="n"/>
    </row>
    <row r="462">
      <c r="A462" s="174" t="n"/>
      <c r="B462" s="299" t="n"/>
      <c r="C462" s="107">
        <f>IF(B462="", "", VLOOKUP(B462, 'CLIENT DATA'!A:S, 19, FALSE))</f>
        <v/>
      </c>
      <c r="D462" s="107">
        <f t="array" ref="D462">IF(B462="", "", _xlfn.TEXTJOIN(", ", TRUE, IF('CLIENT DATA'!$A$2:$A$205=B462, 'CLIENT DATA'!$C$2:$F$205, "")))</f>
        <v/>
      </c>
      <c r="E462" s="52" t="n"/>
      <c r="F462" s="52" t="n"/>
      <c r="G462" s="52" t="n"/>
      <c r="H462" s="52" t="n"/>
      <c r="I462" s="52" t="n"/>
      <c r="J462" s="59" t="n"/>
      <c r="K462" s="59" t="n"/>
      <c r="L462" s="59" t="n"/>
      <c r="M462" s="59" t="n"/>
      <c r="N462" s="59" t="n"/>
      <c r="O462" s="297" t="n"/>
      <c r="P462" s="297" t="n"/>
      <c r="Q462" s="297" t="n"/>
      <c r="R462" s="297" t="n"/>
      <c r="S462" s="297" t="n"/>
      <c r="T462" s="297" t="n"/>
      <c r="U462" s="297" t="n"/>
    </row>
    <row r="463">
      <c r="A463" s="174" t="n"/>
      <c r="B463" s="299" t="n"/>
      <c r="C463" s="107">
        <f>IF(B463="", "", VLOOKUP(B463, 'CLIENT DATA'!A:S, 19, FALSE))</f>
        <v/>
      </c>
      <c r="D463" s="107">
        <f t="array" ref="D463">IF(B463="", "", _xlfn.TEXTJOIN(", ", TRUE, IF('CLIENT DATA'!$A$2:$A$205=B463, 'CLIENT DATA'!$C$2:$F$205, "")))</f>
        <v/>
      </c>
      <c r="E463" s="52" t="n"/>
      <c r="F463" s="52" t="n"/>
      <c r="G463" s="52" t="n"/>
      <c r="H463" s="52" t="n"/>
      <c r="I463" s="52" t="n"/>
      <c r="J463" s="59" t="n"/>
      <c r="K463" s="59" t="n"/>
      <c r="L463" s="59" t="n"/>
      <c r="M463" s="59" t="n"/>
      <c r="N463" s="59" t="n"/>
      <c r="O463" s="297" t="n"/>
      <c r="P463" s="297" t="n"/>
      <c r="Q463" s="297" t="n"/>
      <c r="R463" s="297" t="n"/>
      <c r="S463" s="297" t="n"/>
      <c r="T463" s="297" t="n"/>
      <c r="U463" s="297" t="n"/>
    </row>
    <row r="464">
      <c r="A464" s="174" t="n"/>
      <c r="B464" s="299" t="n"/>
      <c r="C464" s="107">
        <f>IF(B464="", "", VLOOKUP(B464, 'CLIENT DATA'!A:S, 19, FALSE))</f>
        <v/>
      </c>
      <c r="D464" s="107">
        <f t="array" ref="D464">IF(B464="", "", _xlfn.TEXTJOIN(", ", TRUE, IF('CLIENT DATA'!$A$2:$A$205=B464, 'CLIENT DATA'!$C$2:$F$205, "")))</f>
        <v/>
      </c>
      <c r="E464" s="52" t="n"/>
      <c r="F464" s="52" t="n"/>
      <c r="G464" s="52" t="n"/>
      <c r="H464" s="52" t="n"/>
      <c r="I464" s="52" t="n"/>
      <c r="J464" s="59" t="n"/>
      <c r="K464" s="59" t="n"/>
      <c r="L464" s="59" t="n"/>
      <c r="M464" s="59" t="n"/>
      <c r="N464" s="59" t="n"/>
      <c r="O464" s="297" t="n"/>
      <c r="P464" s="297" t="n"/>
      <c r="Q464" s="297" t="n"/>
      <c r="R464" s="297" t="n"/>
      <c r="S464" s="297" t="n"/>
      <c r="T464" s="297" t="n"/>
      <c r="U464" s="297" t="n"/>
    </row>
    <row r="465">
      <c r="A465" s="174" t="n"/>
      <c r="B465" s="299" t="n"/>
      <c r="C465" s="107">
        <f>IF(B465="", "", VLOOKUP(B465, 'CLIENT DATA'!A:S, 19, FALSE))</f>
        <v/>
      </c>
      <c r="D465" s="107">
        <f t="array" ref="D465">IF(B465="", "", _xlfn.TEXTJOIN(", ", TRUE, IF('CLIENT DATA'!$A$2:$A$205=B465, 'CLIENT DATA'!$C$2:$F$205, "")))</f>
        <v/>
      </c>
      <c r="E465" s="52" t="n"/>
      <c r="F465" s="52" t="n"/>
      <c r="G465" s="52" t="n"/>
      <c r="H465" s="52" t="n"/>
      <c r="I465" s="52" t="n"/>
      <c r="J465" s="59" t="n"/>
      <c r="K465" s="59" t="n"/>
      <c r="L465" s="59" t="n"/>
      <c r="M465" s="59" t="n"/>
      <c r="N465" s="59" t="n"/>
      <c r="O465" s="297" t="n"/>
      <c r="P465" s="297" t="n"/>
      <c r="Q465" s="297" t="n"/>
      <c r="R465" s="297" t="n"/>
      <c r="S465" s="297" t="n"/>
      <c r="T465" s="297" t="n"/>
      <c r="U465" s="297" t="n"/>
    </row>
    <row r="466">
      <c r="A466" s="174" t="n"/>
      <c r="B466" s="299" t="n"/>
      <c r="C466" s="107">
        <f>IF(B466="", "", VLOOKUP(B466, 'CLIENT DATA'!A:S, 19, FALSE))</f>
        <v/>
      </c>
      <c r="D466" s="107">
        <f t="array" ref="D466">IF(B466="", "", _xlfn.TEXTJOIN(", ", TRUE, IF('CLIENT DATA'!$A$2:$A$205=B466, 'CLIENT DATA'!$C$2:$F$205, "")))</f>
        <v/>
      </c>
      <c r="E466" s="52" t="n"/>
      <c r="F466" s="52" t="n"/>
      <c r="G466" s="52" t="n"/>
      <c r="H466" s="52" t="n"/>
      <c r="I466" s="52" t="n"/>
      <c r="J466" s="59" t="n"/>
      <c r="K466" s="59" t="n"/>
      <c r="L466" s="59" t="n"/>
      <c r="M466" s="59" t="n"/>
      <c r="N466" s="59" t="n"/>
      <c r="O466" s="297" t="n"/>
      <c r="P466" s="297" t="n"/>
      <c r="Q466" s="297" t="n"/>
      <c r="R466" s="297" t="n"/>
      <c r="S466" s="297" t="n"/>
      <c r="T466" s="297" t="n"/>
      <c r="U466" s="297" t="n"/>
    </row>
    <row r="467">
      <c r="A467" s="174" t="n"/>
      <c r="B467" s="299" t="n"/>
      <c r="C467" s="107">
        <f>IF(B467="", "", VLOOKUP(B467, 'CLIENT DATA'!A:S, 19, FALSE))</f>
        <v/>
      </c>
      <c r="D467" s="107">
        <f t="array" ref="D467">IF(B467="", "", _xlfn.TEXTJOIN(", ", TRUE, IF('CLIENT DATA'!$A$2:$A$205=B467, 'CLIENT DATA'!$C$2:$F$205, "")))</f>
        <v/>
      </c>
      <c r="E467" s="52" t="n"/>
      <c r="F467" s="52" t="n"/>
      <c r="G467" s="52" t="n"/>
      <c r="H467" s="52" t="n"/>
      <c r="I467" s="52" t="n"/>
      <c r="J467" s="59" t="n"/>
      <c r="K467" s="59" t="n"/>
      <c r="L467" s="59" t="n"/>
      <c r="M467" s="59" t="n"/>
      <c r="N467" s="59" t="n"/>
      <c r="O467" s="297" t="n"/>
      <c r="P467" s="297" t="n"/>
      <c r="Q467" s="297" t="n"/>
      <c r="R467" s="297" t="n"/>
      <c r="S467" s="297" t="n"/>
      <c r="T467" s="297" t="n"/>
      <c r="U467" s="297" t="n"/>
    </row>
    <row r="468">
      <c r="A468" s="174" t="n"/>
      <c r="B468" s="299" t="n"/>
      <c r="C468" s="107">
        <f>IF(B468="", "", VLOOKUP(B468, 'CLIENT DATA'!A:S, 19, FALSE))</f>
        <v/>
      </c>
      <c r="D468" s="107">
        <f t="array" ref="D468">IF(B468="", "", _xlfn.TEXTJOIN(", ", TRUE, IF('CLIENT DATA'!$A$2:$A$205=B468, 'CLIENT DATA'!$C$2:$F$205, "")))</f>
        <v/>
      </c>
      <c r="E468" s="52" t="n"/>
      <c r="F468" s="52" t="n"/>
      <c r="G468" s="52" t="n"/>
      <c r="H468" s="52" t="n"/>
      <c r="I468" s="52" t="n"/>
      <c r="J468" s="59" t="n"/>
      <c r="K468" s="59" t="n"/>
      <c r="L468" s="59" t="n"/>
      <c r="M468" s="59" t="n"/>
      <c r="N468" s="59" t="n"/>
      <c r="O468" s="297" t="n"/>
      <c r="P468" s="297" t="n"/>
      <c r="Q468" s="297" t="n"/>
      <c r="R468" s="297" t="n"/>
      <c r="S468" s="297" t="n"/>
      <c r="T468" s="297" t="n"/>
      <c r="U468" s="297" t="n"/>
    </row>
    <row r="469">
      <c r="A469" s="174" t="n"/>
      <c r="B469" s="187" t="n"/>
      <c r="C469" s="107">
        <f>IF(B469="", "", VLOOKUP(B469, 'CLIENT DATA'!A:S, 19, FALSE))</f>
        <v/>
      </c>
      <c r="D469" s="107">
        <f t="array" ref="D469">IF(B469="", "", _xlfn.TEXTJOIN(", ", TRUE, IF('CLIENT DATA'!$A$2:$A$205=B469, 'CLIENT DATA'!$C$2:$F$205, "")))</f>
        <v/>
      </c>
      <c r="E469" s="52" t="n"/>
      <c r="F469" s="52" t="n"/>
      <c r="G469" s="52" t="n"/>
      <c r="H469" s="52" t="n"/>
      <c r="I469" s="52" t="n"/>
      <c r="J469" s="59" t="n"/>
      <c r="K469" s="59" t="n"/>
      <c r="L469" s="59" t="n"/>
      <c r="M469" s="59" t="n"/>
      <c r="N469" s="59" t="n"/>
      <c r="O469" s="297" t="n"/>
      <c r="P469" s="297" t="n"/>
      <c r="Q469" s="297" t="n"/>
      <c r="R469" s="297" t="n"/>
      <c r="S469" s="297" t="n"/>
      <c r="T469" s="297" t="n"/>
      <c r="U469" s="297" t="n"/>
    </row>
    <row r="470">
      <c r="A470" s="174" t="n"/>
      <c r="B470" s="187" t="n"/>
      <c r="C470" s="107">
        <f>IF(B470="", "", VLOOKUP(B470, 'CLIENT DATA'!A:S, 19, FALSE))</f>
        <v/>
      </c>
      <c r="D470" s="107">
        <f t="array" ref="D470">IF(B470="", "", _xlfn.TEXTJOIN(", ", TRUE, IF('CLIENT DATA'!$A$2:$A$205=B470, 'CLIENT DATA'!$C$2:$F$205, "")))</f>
        <v/>
      </c>
      <c r="E470" s="52" t="n"/>
      <c r="F470" s="52" t="n"/>
      <c r="G470" s="52" t="n"/>
      <c r="H470" s="52" t="n"/>
      <c r="I470" s="52" t="n"/>
      <c r="J470" s="59" t="n"/>
      <c r="K470" s="59" t="n"/>
      <c r="L470" s="59" t="n"/>
      <c r="M470" s="59" t="n"/>
      <c r="N470" s="59" t="n"/>
      <c r="O470" s="297" t="n"/>
      <c r="P470" s="297" t="n"/>
      <c r="Q470" s="297" t="n"/>
      <c r="R470" s="297" t="n"/>
      <c r="S470" s="297" t="n"/>
      <c r="T470" s="297" t="n"/>
      <c r="U470" s="297" t="n"/>
    </row>
    <row r="471">
      <c r="A471" s="174" t="n"/>
      <c r="B471" s="187" t="n"/>
      <c r="C471" s="107">
        <f>IF(B471="", "", VLOOKUP(B471, 'CLIENT DATA'!A:S, 19, FALSE))</f>
        <v/>
      </c>
      <c r="D471" s="107">
        <f t="array" ref="D471">IF(B471="", "", _xlfn.TEXTJOIN(", ", TRUE, IF('CLIENT DATA'!$A$2:$A$205=B471, 'CLIENT DATA'!$C$2:$F$205, "")))</f>
        <v/>
      </c>
      <c r="E471" s="52" t="n"/>
      <c r="F471" s="52" t="n"/>
      <c r="G471" s="52" t="n"/>
      <c r="H471" s="52" t="n"/>
      <c r="I471" s="52" t="n"/>
      <c r="J471" s="59" t="n"/>
      <c r="K471" s="59" t="n"/>
      <c r="L471" s="59" t="n"/>
      <c r="M471" s="59" t="n"/>
      <c r="N471" s="59" t="n"/>
      <c r="O471" s="297" t="n"/>
      <c r="P471" s="297" t="n"/>
      <c r="Q471" s="297" t="n"/>
      <c r="R471" s="297" t="n"/>
      <c r="S471" s="297" t="n"/>
      <c r="T471" s="297" t="n"/>
      <c r="U471" s="297" t="n"/>
    </row>
    <row r="472">
      <c r="A472" s="174" t="n"/>
      <c r="B472" s="187" t="n"/>
      <c r="C472" s="107">
        <f>IF(B472="", "", VLOOKUP(B472, 'CLIENT DATA'!A:S, 19, FALSE))</f>
        <v/>
      </c>
      <c r="D472" s="107">
        <f t="array" ref="D472">IF(B472="", "", _xlfn.TEXTJOIN(", ", TRUE, IF('CLIENT DATA'!$A$2:$A$205=B472, 'CLIENT DATA'!$C$2:$F$205, "")))</f>
        <v/>
      </c>
      <c r="E472" s="52" t="n"/>
      <c r="F472" s="52" t="n"/>
      <c r="G472" s="52" t="n"/>
      <c r="H472" s="52" t="n"/>
      <c r="I472" s="52" t="n"/>
      <c r="J472" s="59" t="n"/>
      <c r="K472" s="59" t="n"/>
      <c r="L472" s="59" t="n"/>
      <c r="M472" s="59" t="n"/>
      <c r="N472" s="59" t="n"/>
      <c r="O472" s="297" t="n"/>
      <c r="P472" s="297" t="n"/>
      <c r="Q472" s="297" t="n"/>
      <c r="R472" s="297" t="n"/>
      <c r="S472" s="297" t="n"/>
      <c r="T472" s="297" t="n"/>
      <c r="U472" s="297" t="n"/>
    </row>
    <row r="473">
      <c r="A473" s="174" t="n"/>
      <c r="B473" s="187" t="n"/>
      <c r="C473" s="107">
        <f>IF(B473="", "", VLOOKUP(B473, 'CLIENT DATA'!A:S, 19, FALSE))</f>
        <v/>
      </c>
      <c r="D473" s="107">
        <f t="array" ref="D473">IF(B473="", "", _xlfn.TEXTJOIN(", ", TRUE, IF('CLIENT DATA'!$A$2:$A$205=B473, 'CLIENT DATA'!$C$2:$F$205, "")))</f>
        <v/>
      </c>
      <c r="E473" s="52" t="n"/>
      <c r="F473" s="52" t="n"/>
      <c r="G473" s="52" t="n"/>
      <c r="H473" s="52" t="n"/>
      <c r="I473" s="52" t="n"/>
      <c r="J473" s="59" t="n"/>
      <c r="K473" s="59" t="n"/>
      <c r="L473" s="59" t="n"/>
      <c r="M473" s="59" t="n"/>
      <c r="N473" s="59" t="n"/>
      <c r="O473" s="297" t="n"/>
      <c r="P473" s="297" t="n"/>
      <c r="Q473" s="297" t="n"/>
      <c r="R473" s="297" t="n"/>
      <c r="S473" s="297" t="n"/>
      <c r="T473" s="297" t="n"/>
      <c r="U473" s="297" t="n"/>
    </row>
    <row r="474">
      <c r="A474" s="174" t="n"/>
      <c r="B474" s="187" t="n"/>
      <c r="C474" s="107">
        <f>IF(B474="", "", VLOOKUP(B474, 'CLIENT DATA'!A:S, 19, FALSE))</f>
        <v/>
      </c>
      <c r="D474" s="107">
        <f t="array" ref="D474">IF(B474="", "", _xlfn.TEXTJOIN(", ", TRUE, IF('CLIENT DATA'!$A$2:$A$205=B474, 'CLIENT DATA'!$C$2:$F$205, "")))</f>
        <v/>
      </c>
      <c r="E474" s="52" t="n"/>
      <c r="F474" s="52" t="n"/>
      <c r="G474" s="52" t="n"/>
      <c r="H474" s="52" t="n"/>
      <c r="I474" s="52" t="n"/>
      <c r="J474" s="59" t="n"/>
      <c r="K474" s="59" t="n"/>
      <c r="L474" s="59" t="n"/>
      <c r="M474" s="59" t="n"/>
      <c r="N474" s="59" t="n"/>
      <c r="O474" s="297" t="n"/>
      <c r="P474" s="297" t="n"/>
      <c r="Q474" s="297" t="n"/>
      <c r="R474" s="297" t="n"/>
      <c r="S474" s="297" t="n"/>
      <c r="T474" s="297" t="n"/>
      <c r="U474" s="297" t="n"/>
    </row>
    <row r="475">
      <c r="A475" s="174" t="n"/>
      <c r="B475" s="187" t="n"/>
      <c r="C475" s="107">
        <f>IF(B475="", "", VLOOKUP(B475, 'CLIENT DATA'!A:S, 19, FALSE))</f>
        <v/>
      </c>
      <c r="D475" s="107">
        <f t="array" ref="D475">IF(B475="", "", _xlfn.TEXTJOIN(", ", TRUE, IF('CLIENT DATA'!$A$2:$A$205=B475, 'CLIENT DATA'!$C$2:$F$205, "")))</f>
        <v/>
      </c>
      <c r="E475" s="52" t="n"/>
      <c r="F475" s="52" t="n"/>
      <c r="G475" s="52" t="n"/>
      <c r="H475" s="52" t="n"/>
      <c r="I475" s="52" t="n"/>
      <c r="J475" s="59" t="n"/>
      <c r="K475" s="59" t="n"/>
      <c r="L475" s="59" t="n"/>
      <c r="M475" s="59" t="n"/>
      <c r="N475" s="59" t="n"/>
      <c r="O475" s="297" t="n"/>
      <c r="P475" s="297" t="n"/>
      <c r="Q475" s="297" t="n"/>
      <c r="R475" s="297" t="n"/>
      <c r="S475" s="297" t="n"/>
      <c r="T475" s="297" t="n"/>
      <c r="U475" s="297" t="n"/>
    </row>
    <row r="476">
      <c r="A476" s="174" t="n"/>
      <c r="B476" s="187" t="n"/>
      <c r="C476" s="107">
        <f>IF(B476="", "", VLOOKUP(B476, 'CLIENT DATA'!A:S, 19, FALSE))</f>
        <v/>
      </c>
      <c r="D476" s="107">
        <f t="array" ref="D476">IF(B476="", "", _xlfn.TEXTJOIN(", ", TRUE, IF('CLIENT DATA'!$A$2:$A$205=B476, 'CLIENT DATA'!$C$2:$F$205, "")))</f>
        <v/>
      </c>
      <c r="E476" s="52" t="n"/>
      <c r="F476" s="52" t="n"/>
      <c r="G476" s="52" t="n"/>
      <c r="H476" s="52" t="n"/>
      <c r="I476" s="52" t="n"/>
      <c r="J476" s="59" t="n"/>
      <c r="K476" s="59" t="n"/>
      <c r="L476" s="59" t="n"/>
      <c r="M476" s="59" t="n"/>
      <c r="N476" s="59" t="n"/>
      <c r="O476" s="297" t="n"/>
      <c r="P476" s="297" t="n"/>
      <c r="Q476" s="297" t="n"/>
      <c r="R476" s="297" t="n"/>
      <c r="S476" s="297" t="n"/>
      <c r="T476" s="297" t="n"/>
      <c r="U476" s="297" t="n"/>
    </row>
    <row r="477">
      <c r="A477" s="174" t="n"/>
      <c r="B477" s="299" t="n"/>
      <c r="C477" s="107">
        <f>IF(B477="", "", VLOOKUP(B477, 'CLIENT DATA'!A:S, 19, FALSE))</f>
        <v/>
      </c>
      <c r="D477" s="107">
        <f t="array" ref="D477">IF(B477="", "", _xlfn.TEXTJOIN(", ", TRUE, IF('CLIENT DATA'!$A$2:$A$205=B477, 'CLIENT DATA'!$C$2:$F$205, "")))</f>
        <v/>
      </c>
      <c r="E477" s="52" t="n"/>
      <c r="F477" s="52" t="n"/>
      <c r="G477" s="52" t="n"/>
      <c r="H477" s="52" t="n"/>
      <c r="I477" s="52" t="n"/>
      <c r="J477" s="59" t="n"/>
      <c r="K477" s="59" t="n"/>
      <c r="L477" s="59" t="n"/>
      <c r="M477" s="59" t="n"/>
      <c r="N477" s="59" t="n"/>
      <c r="O477" s="297" t="n"/>
      <c r="P477" s="297" t="n"/>
      <c r="Q477" s="297" t="n"/>
      <c r="R477" s="297" t="n"/>
      <c r="S477" s="297" t="n"/>
      <c r="T477" s="297" t="n"/>
      <c r="U477" s="297" t="n"/>
    </row>
    <row r="478">
      <c r="A478" s="174" t="n"/>
      <c r="B478" s="299" t="n"/>
      <c r="C478" s="107">
        <f>IF(B478="", "", VLOOKUP(B478, 'CLIENT DATA'!A:S, 19, FALSE))</f>
        <v/>
      </c>
      <c r="D478" s="107">
        <f t="array" ref="D478">IF(B478="", "", _xlfn.TEXTJOIN(", ", TRUE, IF('CLIENT DATA'!$A$2:$A$205=B478, 'CLIENT DATA'!$C$2:$F$205, "")))</f>
        <v/>
      </c>
      <c r="E478" s="52" t="n"/>
      <c r="F478" s="52" t="n"/>
      <c r="G478" s="52" t="n"/>
      <c r="H478" s="52" t="n"/>
      <c r="I478" s="52" t="n"/>
      <c r="J478" s="59" t="n"/>
      <c r="K478" s="59" t="n"/>
      <c r="L478" s="59" t="n"/>
      <c r="M478" s="59" t="n"/>
      <c r="N478" s="59" t="n"/>
      <c r="O478" s="297" t="n"/>
      <c r="P478" s="297" t="n"/>
      <c r="Q478" s="297" t="n"/>
      <c r="R478" s="297" t="n"/>
      <c r="S478" s="297" t="n"/>
      <c r="T478" s="297" t="n"/>
      <c r="U478" s="297" t="n"/>
    </row>
    <row r="479">
      <c r="A479" s="174" t="n"/>
      <c r="B479" s="299" t="n"/>
      <c r="C479" s="107">
        <f>IF(B479="", "", VLOOKUP(B479, 'CLIENT DATA'!A:S, 19, FALSE))</f>
        <v/>
      </c>
      <c r="D479" s="107">
        <f t="array" ref="D479">IF(B479="", "", _xlfn.TEXTJOIN(", ", TRUE, IF('CLIENT DATA'!$A$2:$A$205=B479, 'CLIENT DATA'!$C$2:$F$205, "")))</f>
        <v/>
      </c>
      <c r="E479" s="52" t="n"/>
      <c r="F479" s="52" t="n"/>
      <c r="G479" s="52" t="n"/>
      <c r="H479" s="52" t="n"/>
      <c r="I479" s="52" t="n"/>
      <c r="J479" s="59" t="n"/>
      <c r="K479" s="59" t="n"/>
      <c r="L479" s="59" t="n"/>
      <c r="M479" s="59" t="n"/>
      <c r="N479" s="59" t="n"/>
      <c r="O479" s="297" t="n"/>
      <c r="P479" s="297" t="n"/>
      <c r="Q479" s="297" t="n"/>
      <c r="R479" s="297" t="n"/>
      <c r="S479" s="297" t="n"/>
      <c r="T479" s="297" t="n"/>
      <c r="U479" s="297" t="n"/>
    </row>
    <row r="480">
      <c r="A480" s="174" t="n"/>
      <c r="B480" s="299" t="n"/>
      <c r="C480" s="107">
        <f>IF(B480="", "", VLOOKUP(B480, 'CLIENT DATA'!A:S, 19, FALSE))</f>
        <v/>
      </c>
      <c r="D480" s="107">
        <f t="array" ref="D480">IF(B480="", "", _xlfn.TEXTJOIN(", ", TRUE, IF('CLIENT DATA'!$A$2:$A$205=B480, 'CLIENT DATA'!$C$2:$F$205, "")))</f>
        <v/>
      </c>
      <c r="E480" s="52" t="n"/>
      <c r="F480" s="52" t="n"/>
      <c r="G480" s="52" t="n"/>
      <c r="H480" s="52" t="n"/>
      <c r="I480" s="52" t="n"/>
      <c r="J480" s="59" t="n"/>
      <c r="K480" s="59" t="n"/>
      <c r="L480" s="59" t="n"/>
      <c r="M480" s="59" t="n"/>
      <c r="N480" s="59" t="n"/>
      <c r="O480" s="297" t="n"/>
      <c r="P480" s="297" t="n"/>
      <c r="Q480" s="297" t="n"/>
      <c r="R480" s="297" t="n"/>
      <c r="S480" s="297" t="n"/>
      <c r="T480" s="297" t="n"/>
      <c r="U480" s="297" t="n"/>
    </row>
    <row r="481">
      <c r="A481" s="174" t="n"/>
      <c r="B481" s="299" t="n"/>
      <c r="C481" s="107">
        <f>IF(B481="", "", VLOOKUP(B481, 'CLIENT DATA'!A:S, 19, FALSE))</f>
        <v/>
      </c>
      <c r="D481" s="107">
        <f t="array" ref="D481">IF(B481="", "", _xlfn.TEXTJOIN(", ", TRUE, IF('CLIENT DATA'!$A$2:$A$205=B481, 'CLIENT DATA'!$C$2:$F$205, "")))</f>
        <v/>
      </c>
      <c r="E481" s="52" t="n"/>
      <c r="F481" s="52" t="n"/>
      <c r="G481" s="52" t="n"/>
      <c r="H481" s="52" t="n"/>
      <c r="I481" s="52" t="n"/>
      <c r="J481" s="59" t="n"/>
      <c r="K481" s="59" t="n"/>
      <c r="L481" s="59" t="n"/>
      <c r="M481" s="59" t="n"/>
      <c r="N481" s="59" t="n"/>
      <c r="O481" s="297" t="n"/>
      <c r="P481" s="297" t="n"/>
      <c r="Q481" s="297" t="n"/>
      <c r="R481" s="297" t="n"/>
      <c r="S481" s="297" t="n"/>
      <c r="T481" s="297" t="n"/>
      <c r="U481" s="297" t="n"/>
    </row>
    <row r="482">
      <c r="A482" s="174" t="n"/>
      <c r="B482" s="299" t="n"/>
      <c r="C482" s="107">
        <f>IF(B482="", "", VLOOKUP(B482, 'CLIENT DATA'!A:S, 19, FALSE))</f>
        <v/>
      </c>
      <c r="D482" s="107">
        <f t="array" ref="D482">IF(B482="", "", _xlfn.TEXTJOIN(", ", TRUE, IF('CLIENT DATA'!$A$2:$A$205=B482, 'CLIENT DATA'!$C$2:$F$205, "")))</f>
        <v/>
      </c>
      <c r="E482" s="52" t="n"/>
      <c r="F482" s="52" t="n"/>
      <c r="G482" s="52" t="n"/>
      <c r="H482" s="52" t="n"/>
      <c r="I482" s="52" t="n"/>
      <c r="J482" s="59" t="n"/>
      <c r="K482" s="59" t="n"/>
      <c r="L482" s="59" t="n"/>
      <c r="M482" s="59" t="n"/>
      <c r="N482" s="59" t="n"/>
      <c r="O482" s="297" t="n"/>
      <c r="P482" s="297" t="n"/>
      <c r="Q482" s="297" t="n"/>
      <c r="R482" s="297" t="n"/>
      <c r="S482" s="297" t="n"/>
      <c r="T482" s="297" t="n"/>
      <c r="U482" s="297" t="n"/>
    </row>
    <row r="483">
      <c r="A483" s="174" t="n"/>
      <c r="B483" s="299" t="n"/>
      <c r="C483" s="107">
        <f>IF(B483="", "", VLOOKUP(B483, 'CLIENT DATA'!A:S, 19, FALSE))</f>
        <v/>
      </c>
      <c r="D483" s="107">
        <f t="array" ref="D483">IF(B483="", "", _xlfn.TEXTJOIN(", ", TRUE, IF('CLIENT DATA'!$A$2:$A$205=B483, 'CLIENT DATA'!$C$2:$F$205, "")))</f>
        <v/>
      </c>
      <c r="E483" s="52" t="n"/>
      <c r="F483" s="52" t="n"/>
      <c r="G483" s="52" t="n"/>
      <c r="H483" s="52" t="n"/>
      <c r="I483" s="52" t="n"/>
      <c r="J483" s="59" t="n"/>
      <c r="K483" s="59" t="n"/>
      <c r="L483" s="59" t="n"/>
      <c r="M483" s="59" t="n"/>
      <c r="N483" s="59" t="n"/>
      <c r="O483" s="297" t="n"/>
      <c r="P483" s="297" t="n"/>
      <c r="Q483" s="297" t="n"/>
      <c r="R483" s="297" t="n"/>
      <c r="S483" s="297" t="n"/>
      <c r="T483" s="297" t="n"/>
      <c r="U483" s="297" t="n"/>
    </row>
    <row r="484">
      <c r="A484" s="174" t="n"/>
      <c r="B484" s="299" t="n"/>
      <c r="C484" s="107">
        <f>IF(B484="", "", VLOOKUP(B484, 'CLIENT DATA'!A:S, 19, FALSE))</f>
        <v/>
      </c>
      <c r="D484" s="107">
        <f t="array" ref="D484">IF(B484="", "", _xlfn.TEXTJOIN(", ", TRUE, IF('CLIENT DATA'!$A$2:$A$205=B484, 'CLIENT DATA'!$C$2:$F$205, "")))</f>
        <v/>
      </c>
      <c r="E484" s="52" t="n"/>
      <c r="F484" s="52" t="n"/>
      <c r="G484" s="52" t="n"/>
      <c r="H484" s="52" t="n"/>
      <c r="I484" s="52" t="n"/>
      <c r="J484" s="59" t="n"/>
      <c r="K484" s="59" t="n"/>
      <c r="L484" s="59" t="n"/>
      <c r="M484" s="59" t="n"/>
      <c r="N484" s="59" t="n"/>
      <c r="O484" s="297" t="n"/>
      <c r="P484" s="297" t="n"/>
      <c r="Q484" s="297" t="n"/>
      <c r="R484" s="297" t="n"/>
      <c r="S484" s="297" t="n"/>
      <c r="T484" s="297" t="n"/>
      <c r="U484" s="297" t="n"/>
    </row>
    <row r="485">
      <c r="A485" s="174" t="n"/>
      <c r="B485" s="299" t="n"/>
      <c r="C485" s="107">
        <f>IF(B485="", "", VLOOKUP(B485, 'CLIENT DATA'!A:S, 19, FALSE))</f>
        <v/>
      </c>
      <c r="D485" s="107">
        <f t="array" ref="D485">IF(B485="", "", _xlfn.TEXTJOIN(", ", TRUE, IF('CLIENT DATA'!$A$2:$A$205=B485, 'CLIENT DATA'!$C$2:$F$205, "")))</f>
        <v/>
      </c>
      <c r="E485" s="52" t="n"/>
      <c r="F485" s="52" t="n"/>
      <c r="G485" s="52" t="n"/>
      <c r="H485" s="52" t="n"/>
      <c r="I485" s="52" t="n"/>
      <c r="J485" s="59" t="n"/>
      <c r="K485" s="59" t="n"/>
      <c r="L485" s="59" t="n"/>
      <c r="M485" s="59" t="n"/>
      <c r="N485" s="59" t="n"/>
      <c r="O485" s="297" t="n"/>
      <c r="P485" s="297" t="n"/>
      <c r="Q485" s="297" t="n"/>
      <c r="R485" s="297" t="n"/>
      <c r="S485" s="297" t="n"/>
      <c r="T485" s="297" t="n"/>
      <c r="U485" s="297" t="n"/>
    </row>
    <row r="486">
      <c r="A486" s="174" t="n"/>
      <c r="B486" s="299" t="n"/>
      <c r="C486" s="107">
        <f>IF(B486="", "", VLOOKUP(B486, 'CLIENT DATA'!A:S, 19, FALSE))</f>
        <v/>
      </c>
      <c r="D486" s="107">
        <f t="array" ref="D486">IF(B486="", "", _xlfn.TEXTJOIN(", ", TRUE, IF('CLIENT DATA'!$A$2:$A$205=B486, 'CLIENT DATA'!$C$2:$F$205, "")))</f>
        <v/>
      </c>
      <c r="E486" s="52" t="n"/>
      <c r="F486" s="52" t="n"/>
      <c r="G486" s="52" t="n"/>
      <c r="H486" s="52" t="n"/>
      <c r="I486" s="52" t="n"/>
      <c r="J486" s="59" t="n"/>
      <c r="K486" s="59" t="n"/>
      <c r="L486" s="59" t="n"/>
      <c r="M486" s="59" t="n"/>
      <c r="N486" s="59" t="n"/>
      <c r="O486" s="297" t="n"/>
      <c r="P486" s="297" t="n"/>
      <c r="Q486" s="297" t="n"/>
      <c r="R486" s="297" t="n"/>
      <c r="S486" s="297" t="n"/>
      <c r="T486" s="297" t="n"/>
      <c r="U486" s="297" t="n"/>
    </row>
    <row r="487">
      <c r="A487" s="174" t="n"/>
      <c r="B487" s="299" t="n"/>
      <c r="C487" s="107">
        <f>IF(B487="", "", VLOOKUP(B487, 'CLIENT DATA'!A:S, 19, FALSE))</f>
        <v/>
      </c>
      <c r="D487" s="107">
        <f t="array" ref="D487">IF(B487="", "", _xlfn.TEXTJOIN(", ", TRUE, IF('CLIENT DATA'!$A$2:$A$205=B487, 'CLIENT DATA'!$C$2:$F$205, "")))</f>
        <v/>
      </c>
      <c r="E487" s="52" t="n"/>
      <c r="F487" s="52" t="n"/>
      <c r="G487" s="52" t="n"/>
      <c r="H487" s="52" t="n"/>
      <c r="I487" s="52" t="n"/>
      <c r="J487" s="59" t="n"/>
      <c r="K487" s="59" t="n"/>
      <c r="L487" s="59" t="n"/>
      <c r="M487" s="59" t="n"/>
      <c r="N487" s="59" t="n"/>
      <c r="O487" s="297" t="n"/>
      <c r="P487" s="297" t="n"/>
      <c r="Q487" s="297" t="n"/>
      <c r="R487" s="297" t="n"/>
      <c r="S487" s="297" t="n"/>
      <c r="T487" s="297" t="n"/>
      <c r="U487" s="297" t="n"/>
    </row>
    <row r="488">
      <c r="A488" s="174" t="n"/>
      <c r="B488" s="299" t="n"/>
      <c r="C488" s="107">
        <f>IF(B488="", "", VLOOKUP(B488, 'CLIENT DATA'!A:S, 19, FALSE))</f>
        <v/>
      </c>
      <c r="D488" s="107">
        <f t="array" ref="D488">IF(B488="", "", _xlfn.TEXTJOIN(", ", TRUE, IF('CLIENT DATA'!$A$2:$A$205=B488, 'CLIENT DATA'!$C$2:$F$205, "")))</f>
        <v/>
      </c>
      <c r="E488" s="52" t="n"/>
      <c r="F488" s="52" t="n"/>
      <c r="G488" s="52" t="n"/>
      <c r="H488" s="52" t="n"/>
      <c r="I488" s="52" t="n"/>
      <c r="J488" s="59" t="n"/>
      <c r="K488" s="59" t="n"/>
      <c r="L488" s="59" t="n"/>
      <c r="M488" s="59" t="n"/>
      <c r="N488" s="59" t="n"/>
      <c r="O488" s="297" t="n"/>
      <c r="P488" s="297" t="n"/>
      <c r="Q488" s="297" t="n"/>
      <c r="R488" s="297" t="n"/>
      <c r="S488" s="297" t="n"/>
      <c r="T488" s="297" t="n"/>
      <c r="U488" s="297" t="n"/>
    </row>
    <row r="489">
      <c r="A489" s="174" t="n"/>
      <c r="B489" s="300" t="n"/>
      <c r="C489" s="182">
        <f>IF(B489="", "", VLOOKUP(B489, 'CLIENT DATA'!A:S, 19, FALSE))</f>
        <v/>
      </c>
      <c r="D489" s="182">
        <f t="array" ref="D489">IF(B489="", "", _xlfn.TEXTJOIN(", ", TRUE, IF('CLIENT DATA'!$A$2:$A$205=B489, 'CLIENT DATA'!$C$2:$F$205, "")))</f>
        <v/>
      </c>
      <c r="E489" s="183" t="n"/>
      <c r="F489" s="183" t="n"/>
      <c r="G489" s="183" t="n"/>
      <c r="H489" s="183" t="n"/>
      <c r="I489" s="183" t="n"/>
      <c r="J489" s="184" t="n"/>
      <c r="K489" s="184" t="n"/>
      <c r="L489" s="184" t="n"/>
      <c r="M489" s="184" t="n"/>
      <c r="N489" s="184" t="n"/>
      <c r="O489" s="301" t="n"/>
      <c r="P489" s="301" t="n"/>
      <c r="Q489" s="301" t="n"/>
      <c r="R489" s="301" t="n"/>
      <c r="S489" s="301" t="n"/>
      <c r="T489" s="301" t="n"/>
      <c r="U489" s="301" t="n"/>
    </row>
    <row r="490">
      <c r="A490" s="174" t="n"/>
      <c r="B490" s="187" t="n"/>
      <c r="C490" s="107">
        <f>IF(B490="", "", VLOOKUP(B490, 'CLIENT DATA'!A:S, 19, FALSE))</f>
        <v/>
      </c>
      <c r="D490" s="107">
        <f t="array" ref="D490">IF(B490="", "", _xlfn.TEXTJOIN(", ", TRUE, IF('CLIENT DATA'!$A$2:$A$205=B490, 'CLIENT DATA'!$C$2:$F$205, "")))</f>
        <v/>
      </c>
      <c r="E490" s="52" t="n"/>
      <c r="F490" s="52" t="n"/>
      <c r="G490" s="52" t="n"/>
      <c r="H490" s="52" t="n"/>
      <c r="I490" s="52" t="n"/>
      <c r="J490" s="59" t="n"/>
      <c r="K490" s="59" t="n"/>
      <c r="L490" s="59" t="n"/>
      <c r="M490" s="59" t="n"/>
      <c r="N490" s="59" t="n"/>
      <c r="O490" s="297" t="n"/>
      <c r="P490" s="297" t="n"/>
      <c r="Q490" s="297" t="n"/>
      <c r="R490" s="297" t="n"/>
      <c r="S490" s="297" t="n"/>
      <c r="T490" s="297" t="n"/>
      <c r="U490" s="297" t="n"/>
    </row>
    <row r="491">
      <c r="A491" s="174" t="n"/>
      <c r="B491" s="187" t="n"/>
      <c r="C491" s="107">
        <f>IF(B491="", "", VLOOKUP(B491, 'CLIENT DATA'!A:S, 19, FALSE))</f>
        <v/>
      </c>
      <c r="D491" s="107">
        <f t="array" ref="D491">IF(B491="", "", _xlfn.TEXTJOIN(", ", TRUE, IF('CLIENT DATA'!$A$2:$A$205=B491, 'CLIENT DATA'!$C$2:$F$205, "")))</f>
        <v/>
      </c>
      <c r="E491" s="52" t="n"/>
      <c r="F491" s="52" t="n"/>
      <c r="G491" s="52" t="n"/>
      <c r="H491" s="52" t="n"/>
      <c r="I491" s="52" t="n"/>
      <c r="J491" s="59" t="n"/>
      <c r="K491" s="59" t="n"/>
      <c r="L491" s="59" t="n"/>
      <c r="M491" s="59" t="n"/>
      <c r="N491" s="59" t="n"/>
      <c r="O491" s="297" t="n"/>
      <c r="P491" s="297" t="n"/>
      <c r="Q491" s="297" t="n"/>
      <c r="R491" s="297" t="n"/>
      <c r="S491" s="297" t="n"/>
      <c r="T491" s="297" t="n"/>
      <c r="U491" s="297" t="n"/>
    </row>
    <row r="492">
      <c r="A492" s="174" t="n"/>
      <c r="B492" s="187" t="n"/>
      <c r="C492" s="107">
        <f>IF(B492="", "", VLOOKUP(B492, 'CLIENT DATA'!A:S, 19, FALSE))</f>
        <v/>
      </c>
      <c r="D492" s="107">
        <f t="array" ref="D492">IF(B492="", "", _xlfn.TEXTJOIN(", ", TRUE, IF('CLIENT DATA'!$A$2:$A$205=B492, 'CLIENT DATA'!$C$2:$F$205, "")))</f>
        <v/>
      </c>
      <c r="E492" s="52" t="n"/>
      <c r="F492" s="52" t="n"/>
      <c r="G492" s="52" t="n"/>
      <c r="H492" s="52" t="n"/>
      <c r="I492" s="52" t="n"/>
      <c r="J492" s="59" t="n"/>
      <c r="K492" s="59" t="n"/>
      <c r="L492" s="59" t="n"/>
      <c r="M492" s="59" t="n"/>
      <c r="N492" s="59" t="n"/>
      <c r="O492" s="297" t="n"/>
      <c r="P492" s="297" t="n"/>
      <c r="Q492" s="297" t="n"/>
      <c r="R492" s="297" t="n"/>
      <c r="S492" s="297" t="n"/>
      <c r="T492" s="297" t="n"/>
      <c r="U492" s="297" t="n"/>
    </row>
    <row r="493">
      <c r="A493" s="174" t="n"/>
      <c r="B493" s="187" t="n"/>
      <c r="C493" s="107">
        <f>IF(B493="", "", VLOOKUP(B493, 'CLIENT DATA'!A:S, 19, FALSE))</f>
        <v/>
      </c>
      <c r="D493" s="107">
        <f t="array" ref="D493">IF(B493="", "", _xlfn.TEXTJOIN(", ", TRUE, IF('CLIENT DATA'!$A$2:$A$205=B493, 'CLIENT DATA'!$C$2:$F$205, "")))</f>
        <v/>
      </c>
      <c r="E493" s="52" t="n"/>
      <c r="F493" s="52" t="n"/>
      <c r="G493" s="52" t="n"/>
      <c r="H493" s="52" t="n"/>
      <c r="I493" s="52" t="n"/>
      <c r="J493" s="59" t="n"/>
      <c r="K493" s="59" t="n"/>
      <c r="L493" s="59" t="n"/>
      <c r="M493" s="59" t="n"/>
      <c r="N493" s="59" t="n"/>
      <c r="O493" s="297" t="n"/>
      <c r="P493" s="297" t="n"/>
      <c r="Q493" s="297" t="n"/>
      <c r="R493" s="297" t="n"/>
      <c r="S493" s="297" t="n"/>
      <c r="T493" s="297" t="n"/>
      <c r="U493" s="297" t="n"/>
    </row>
    <row r="494">
      <c r="A494" s="174" t="n"/>
      <c r="B494" s="187" t="n"/>
      <c r="C494" s="107">
        <f>IF(B494="", "", VLOOKUP(B494, 'CLIENT DATA'!A:S, 19, FALSE))</f>
        <v/>
      </c>
      <c r="D494" s="107">
        <f t="array" ref="D494">IF(B494="", "", _xlfn.TEXTJOIN(", ", TRUE, IF('CLIENT DATA'!$A$2:$A$205=B494, 'CLIENT DATA'!$C$2:$F$205, "")))</f>
        <v/>
      </c>
      <c r="E494" s="52" t="n"/>
      <c r="F494" s="52" t="n"/>
      <c r="G494" s="52" t="n"/>
      <c r="H494" s="52" t="n"/>
      <c r="I494" s="52" t="n"/>
      <c r="J494" s="59" t="n"/>
      <c r="K494" s="59" t="n"/>
      <c r="L494" s="59" t="n"/>
      <c r="M494" s="59" t="n"/>
      <c r="N494" s="59" t="n"/>
      <c r="O494" s="297" t="n"/>
      <c r="P494" s="297" t="n"/>
      <c r="Q494" s="297" t="n"/>
      <c r="R494" s="297" t="n"/>
      <c r="S494" s="297" t="n"/>
      <c r="T494" s="297" t="n"/>
      <c r="U494" s="297" t="n"/>
    </row>
    <row r="495">
      <c r="A495" s="174" t="n"/>
      <c r="B495" s="187" t="n"/>
      <c r="C495" s="107">
        <f>IF(B495="", "", VLOOKUP(B495, 'CLIENT DATA'!A:S, 19, FALSE))</f>
        <v/>
      </c>
      <c r="D495" s="107">
        <f t="array" ref="D495">IF(B495="", "", _xlfn.TEXTJOIN(", ", TRUE, IF('CLIENT DATA'!$A$2:$A$205=B495, 'CLIENT DATA'!$C$2:$F$205, "")))</f>
        <v/>
      </c>
      <c r="E495" s="52" t="n"/>
      <c r="F495" s="52" t="n"/>
      <c r="G495" s="52" t="n"/>
      <c r="H495" s="52" t="n"/>
      <c r="I495" s="52" t="n"/>
      <c r="J495" s="59" t="n"/>
      <c r="K495" s="59" t="n"/>
      <c r="L495" s="59" t="n"/>
      <c r="M495" s="59" t="n"/>
      <c r="N495" s="59" t="n"/>
      <c r="O495" s="297" t="n"/>
      <c r="P495" s="297" t="n"/>
      <c r="Q495" s="297" t="n"/>
      <c r="R495" s="297" t="n"/>
      <c r="S495" s="297" t="n"/>
      <c r="T495" s="297" t="n"/>
      <c r="U495" s="297" t="n"/>
    </row>
    <row r="496">
      <c r="A496" s="174" t="n"/>
      <c r="B496" s="187" t="n"/>
      <c r="C496" s="107">
        <f>IF(B496="", "", VLOOKUP(B496, 'CLIENT DATA'!A:S, 19, FALSE))</f>
        <v/>
      </c>
      <c r="D496" s="107">
        <f t="array" ref="D496">IF(B496="", "", _xlfn.TEXTJOIN(", ", TRUE, IF('CLIENT DATA'!$A$2:$A$205=B496, 'CLIENT DATA'!$C$2:$F$205, "")))</f>
        <v/>
      </c>
      <c r="E496" s="52" t="n"/>
      <c r="F496" s="52" t="n"/>
      <c r="G496" s="52" t="n"/>
      <c r="H496" s="52" t="n"/>
      <c r="I496" s="52" t="n"/>
      <c r="J496" s="59" t="n"/>
      <c r="K496" s="59" t="n"/>
      <c r="L496" s="59" t="n"/>
      <c r="M496" s="59" t="n"/>
      <c r="N496" s="59" t="n"/>
      <c r="O496" s="297" t="n"/>
      <c r="P496" s="297" t="n"/>
      <c r="Q496" s="297" t="n"/>
      <c r="R496" s="297" t="n"/>
      <c r="S496" s="297" t="n"/>
      <c r="T496" s="297" t="n"/>
      <c r="U496" s="297" t="n"/>
    </row>
    <row r="497">
      <c r="A497" s="174" t="n"/>
      <c r="B497" s="187" t="n"/>
      <c r="C497" s="107">
        <f>IF(B497="", "", VLOOKUP(B497, 'CLIENT DATA'!A:S, 19, FALSE))</f>
        <v/>
      </c>
      <c r="D497" s="107">
        <f t="array" ref="D497">IF(B497="", "", _xlfn.TEXTJOIN(", ", TRUE, IF('CLIENT DATA'!$A$2:$A$205=B497, 'CLIENT DATA'!$C$2:$F$205, "")))</f>
        <v/>
      </c>
      <c r="E497" s="52" t="n"/>
      <c r="F497" s="52" t="n"/>
      <c r="G497" s="52" t="n"/>
      <c r="H497" s="52" t="n"/>
      <c r="I497" s="52" t="n"/>
      <c r="J497" s="59" t="n"/>
      <c r="K497" s="59" t="n"/>
      <c r="L497" s="59" t="n"/>
      <c r="M497" s="59" t="n"/>
      <c r="N497" s="59" t="n"/>
      <c r="O497" s="297" t="n"/>
      <c r="P497" s="297" t="n"/>
      <c r="Q497" s="297" t="n"/>
      <c r="R497" s="297" t="n"/>
      <c r="S497" s="297" t="n"/>
      <c r="T497" s="297" t="n"/>
      <c r="U497" s="297" t="n"/>
    </row>
    <row r="498">
      <c r="A498" s="174" t="n"/>
      <c r="B498" s="299" t="n"/>
      <c r="C498" s="107">
        <f>IF(B498="", "", VLOOKUP(B498, 'CLIENT DATA'!A:S, 19, FALSE))</f>
        <v/>
      </c>
      <c r="D498" s="107">
        <f t="array" ref="D498">IF(B498="", "", _xlfn.TEXTJOIN(", ", TRUE, IF('CLIENT DATA'!$A$2:$A$205=B498, 'CLIENT DATA'!$C$2:$F$205, "")))</f>
        <v/>
      </c>
      <c r="E498" s="52" t="n"/>
      <c r="F498" s="52" t="n"/>
      <c r="G498" s="52" t="n"/>
      <c r="H498" s="52" t="n"/>
      <c r="I498" s="52" t="n"/>
      <c r="J498" s="59" t="n"/>
      <c r="K498" s="59" t="n"/>
      <c r="L498" s="59" t="n"/>
      <c r="M498" s="59" t="n"/>
      <c r="N498" s="59" t="n"/>
      <c r="O498" s="297" t="n"/>
      <c r="P498" s="297" t="n"/>
      <c r="Q498" s="297" t="n"/>
      <c r="R498" s="297" t="n"/>
      <c r="S498" s="297" t="n"/>
      <c r="T498" s="297" t="n"/>
      <c r="U498" s="297" t="n"/>
    </row>
    <row r="499">
      <c r="A499" s="174" t="n"/>
      <c r="B499" s="299" t="n"/>
      <c r="C499" s="107">
        <f>IF(B499="", "", VLOOKUP(B499, 'CLIENT DATA'!A:S, 19, FALSE))</f>
        <v/>
      </c>
      <c r="D499" s="107">
        <f t="array" ref="D499">IF(B499="", "", _xlfn.TEXTJOIN(", ", TRUE, IF('CLIENT DATA'!$A$2:$A$205=B499, 'CLIENT DATA'!$C$2:$F$205, "")))</f>
        <v/>
      </c>
      <c r="E499" s="52" t="n"/>
      <c r="F499" s="52" t="n"/>
      <c r="G499" s="52" t="n"/>
      <c r="H499" s="52" t="n"/>
      <c r="I499" s="52" t="n"/>
      <c r="J499" s="59" t="n"/>
      <c r="K499" s="59" t="n"/>
      <c r="L499" s="59" t="n"/>
      <c r="M499" s="59" t="n"/>
      <c r="N499" s="59" t="n"/>
      <c r="O499" s="297" t="n"/>
      <c r="P499" s="297" t="n"/>
      <c r="Q499" s="297" t="n"/>
      <c r="R499" s="297" t="n"/>
      <c r="S499" s="297" t="n"/>
      <c r="T499" s="297" t="n"/>
      <c r="U499" s="297" t="n"/>
    </row>
    <row r="500">
      <c r="A500" s="174" t="n"/>
      <c r="B500" s="299" t="n"/>
      <c r="C500" s="107">
        <f>IF(B500="", "", VLOOKUP(B500, 'CLIENT DATA'!A:S, 19, FALSE))</f>
        <v/>
      </c>
      <c r="D500" s="107">
        <f t="array" ref="D500">IF(B500="", "", _xlfn.TEXTJOIN(", ", TRUE, IF('CLIENT DATA'!$A$2:$A$205=B500, 'CLIENT DATA'!$C$2:$F$205, "")))</f>
        <v/>
      </c>
      <c r="E500" s="52" t="n"/>
      <c r="F500" s="52" t="n"/>
      <c r="G500" s="52" t="n"/>
      <c r="H500" s="52" t="n"/>
      <c r="I500" s="52" t="n"/>
      <c r="J500" s="59" t="n"/>
      <c r="K500" s="59" t="n"/>
      <c r="L500" s="59" t="n"/>
      <c r="M500" s="59" t="n"/>
      <c r="N500" s="59" t="n"/>
      <c r="O500" s="297" t="n"/>
      <c r="P500" s="297" t="n"/>
      <c r="Q500" s="297" t="n"/>
      <c r="R500" s="297" t="n"/>
      <c r="S500" s="297" t="n"/>
      <c r="T500" s="297" t="n"/>
      <c r="U500" s="297" t="n"/>
    </row>
    <row r="501">
      <c r="A501" s="174" t="n"/>
      <c r="B501" s="299" t="n"/>
      <c r="C501" s="107">
        <f>IF(B501="", "", VLOOKUP(B501, 'CLIENT DATA'!A:S, 19, FALSE))</f>
        <v/>
      </c>
      <c r="D501" s="107">
        <f t="array" ref="D501">IF(B501="", "", _xlfn.TEXTJOIN(", ", TRUE, IF('CLIENT DATA'!$A$2:$A$205=B501, 'CLIENT DATA'!$C$2:$F$205, "")))</f>
        <v/>
      </c>
      <c r="E501" s="52" t="n"/>
      <c r="F501" s="52" t="n"/>
      <c r="G501" s="52" t="n"/>
      <c r="H501" s="52" t="n"/>
      <c r="I501" s="52" t="n"/>
      <c r="J501" s="59" t="n"/>
      <c r="K501" s="59" t="n"/>
      <c r="L501" s="59" t="n"/>
      <c r="M501" s="59" t="n"/>
      <c r="N501" s="59" t="n"/>
      <c r="O501" s="297" t="n"/>
      <c r="P501" s="297" t="n"/>
      <c r="Q501" s="297" t="n"/>
      <c r="R501" s="297" t="n"/>
      <c r="S501" s="297" t="n"/>
      <c r="T501" s="297" t="n"/>
      <c r="U501" s="297" t="n"/>
    </row>
    <row r="502">
      <c r="A502" s="174" t="n"/>
      <c r="B502" s="299" t="n"/>
      <c r="C502" s="107">
        <f>IF(B502="", "", VLOOKUP(B502, 'CLIENT DATA'!A:S, 19, FALSE))</f>
        <v/>
      </c>
      <c r="D502" s="107">
        <f t="array" ref="D502">IF(B502="", "", _xlfn.TEXTJOIN(", ", TRUE, IF('CLIENT DATA'!$A$2:$A$205=B502, 'CLIENT DATA'!$C$2:$F$205, "")))</f>
        <v/>
      </c>
      <c r="E502" s="52" t="n"/>
      <c r="F502" s="52" t="n"/>
      <c r="G502" s="52" t="n"/>
      <c r="H502" s="52" t="n"/>
      <c r="I502" s="52" t="n"/>
      <c r="J502" s="59" t="n"/>
      <c r="K502" s="59" t="n"/>
      <c r="L502" s="59" t="n"/>
      <c r="M502" s="59" t="n"/>
      <c r="N502" s="59" t="n"/>
      <c r="O502" s="297" t="n"/>
      <c r="P502" s="297" t="n"/>
      <c r="Q502" s="297" t="n"/>
      <c r="R502" s="297" t="n"/>
      <c r="S502" s="297" t="n"/>
      <c r="T502" s="297" t="n"/>
      <c r="U502" s="297" t="n"/>
    </row>
    <row r="503">
      <c r="A503" s="174" t="n"/>
      <c r="B503" s="299" t="n"/>
      <c r="C503" s="107">
        <f>IF(B503="", "", VLOOKUP(B503, 'CLIENT DATA'!A:S, 19, FALSE))</f>
        <v/>
      </c>
      <c r="D503" s="107">
        <f t="array" ref="D503">IF(B503="", "", _xlfn.TEXTJOIN(", ", TRUE, IF('CLIENT DATA'!$A$2:$A$205=B503, 'CLIENT DATA'!$C$2:$F$205, "")))</f>
        <v/>
      </c>
      <c r="E503" s="52" t="n"/>
      <c r="F503" s="52" t="n"/>
      <c r="G503" s="52" t="n"/>
      <c r="H503" s="52" t="n"/>
      <c r="I503" s="52" t="n"/>
      <c r="J503" s="59" t="n"/>
      <c r="K503" s="59" t="n"/>
      <c r="L503" s="59" t="n"/>
      <c r="M503" s="59" t="n"/>
      <c r="N503" s="59" t="n"/>
      <c r="O503" s="297" t="n"/>
      <c r="P503" s="297" t="n"/>
      <c r="Q503" s="297" t="n"/>
      <c r="R503" s="297" t="n"/>
      <c r="S503" s="297" t="n"/>
      <c r="T503" s="297" t="n"/>
      <c r="U503" s="297" t="n"/>
    </row>
    <row r="504">
      <c r="A504" s="174" t="n"/>
      <c r="B504" s="299" t="n"/>
      <c r="C504" s="107">
        <f>IF(B504="", "", VLOOKUP(B504, 'CLIENT DATA'!A:S, 19, FALSE))</f>
        <v/>
      </c>
      <c r="D504" s="107">
        <f t="array" ref="D504">IF(B504="", "", _xlfn.TEXTJOIN(", ", TRUE, IF('CLIENT DATA'!$A$2:$A$205=B504, 'CLIENT DATA'!$C$2:$F$205, "")))</f>
        <v/>
      </c>
      <c r="E504" s="52" t="n"/>
      <c r="F504" s="52" t="n"/>
      <c r="G504" s="52" t="n"/>
      <c r="H504" s="52" t="n"/>
      <c r="I504" s="52" t="n"/>
      <c r="J504" s="59" t="n"/>
      <c r="K504" s="59" t="n"/>
      <c r="L504" s="59" t="n"/>
      <c r="M504" s="59" t="n"/>
      <c r="N504" s="59" t="n"/>
      <c r="O504" s="297" t="n"/>
      <c r="P504" s="297" t="n"/>
      <c r="Q504" s="297" t="n"/>
      <c r="R504" s="297" t="n"/>
      <c r="S504" s="297" t="n"/>
      <c r="T504" s="297" t="n"/>
      <c r="U504" s="297" t="n"/>
    </row>
    <row r="505">
      <c r="A505" s="174" t="n"/>
      <c r="B505" s="299" t="n"/>
      <c r="C505" s="107">
        <f>IF(B505="", "", VLOOKUP(B505, 'CLIENT DATA'!A:S, 19, FALSE))</f>
        <v/>
      </c>
      <c r="D505" s="107">
        <f t="array" ref="D505">IF(B505="", "", _xlfn.TEXTJOIN(", ", TRUE, IF('CLIENT DATA'!$A$2:$A$205=B505, 'CLIENT DATA'!$C$2:$F$205, "")))</f>
        <v/>
      </c>
      <c r="E505" s="52" t="n"/>
      <c r="F505" s="52" t="n"/>
      <c r="G505" s="52" t="n"/>
      <c r="H505" s="52" t="n"/>
      <c r="I505" s="52" t="n"/>
      <c r="J505" s="59" t="n"/>
      <c r="K505" s="59" t="n"/>
      <c r="L505" s="59" t="n"/>
      <c r="M505" s="59" t="n"/>
      <c r="N505" s="59" t="n"/>
      <c r="O505" s="297" t="n"/>
      <c r="P505" s="297" t="n"/>
      <c r="Q505" s="297" t="n"/>
      <c r="R505" s="297" t="n"/>
      <c r="S505" s="297" t="n"/>
      <c r="T505" s="297" t="n"/>
      <c r="U505" s="297" t="n"/>
    </row>
    <row r="506">
      <c r="A506" s="174" t="n"/>
      <c r="B506" s="299" t="n"/>
      <c r="C506" s="107">
        <f>IF(B506="", "", VLOOKUP(B506, 'CLIENT DATA'!A:S, 19, FALSE))</f>
        <v/>
      </c>
      <c r="D506" s="107">
        <f t="array" ref="D506">IF(B506="", "", _xlfn.TEXTJOIN(", ", TRUE, IF('CLIENT DATA'!$A$2:$A$205=B506, 'CLIENT DATA'!$C$2:$F$205, "")))</f>
        <v/>
      </c>
      <c r="E506" s="52" t="n"/>
      <c r="F506" s="52" t="n"/>
      <c r="G506" s="52" t="n"/>
      <c r="H506" s="52" t="n"/>
      <c r="I506" s="52" t="n"/>
      <c r="J506" s="59" t="n"/>
      <c r="K506" s="59" t="n"/>
      <c r="L506" s="59" t="n"/>
      <c r="M506" s="59" t="n"/>
      <c r="N506" s="59" t="n"/>
      <c r="O506" s="297" t="n"/>
      <c r="P506" s="297" t="n"/>
      <c r="Q506" s="297" t="n"/>
      <c r="R506" s="297" t="n"/>
      <c r="S506" s="297" t="n"/>
      <c r="T506" s="297" t="n"/>
      <c r="U506" s="297" t="n"/>
    </row>
    <row r="507">
      <c r="A507" s="174" t="n"/>
      <c r="B507" s="299" t="n"/>
      <c r="C507" s="107">
        <f>IF(B507="", "", VLOOKUP(B507, 'CLIENT DATA'!A:S, 19, FALSE))</f>
        <v/>
      </c>
      <c r="D507" s="107">
        <f t="array" ref="D507">IF(B507="", "", _xlfn.TEXTJOIN(", ", TRUE, IF('CLIENT DATA'!$A$2:$A$205=B507, 'CLIENT DATA'!$C$2:$F$205, "")))</f>
        <v/>
      </c>
      <c r="E507" s="52" t="n"/>
      <c r="F507" s="52" t="n"/>
      <c r="G507" s="52" t="n"/>
      <c r="H507" s="52" t="n"/>
      <c r="I507" s="52" t="n"/>
      <c r="J507" s="59" t="n"/>
      <c r="K507" s="59" t="n"/>
      <c r="L507" s="59" t="n"/>
      <c r="M507" s="59" t="n"/>
      <c r="N507" s="59" t="n"/>
      <c r="O507" s="297" t="n"/>
      <c r="P507" s="297" t="n"/>
      <c r="Q507" s="297" t="n"/>
      <c r="R507" s="297" t="n"/>
      <c r="S507" s="297" t="n"/>
      <c r="T507" s="297" t="n"/>
      <c r="U507" s="297" t="n"/>
    </row>
    <row r="508">
      <c r="A508" s="174" t="n"/>
      <c r="B508" s="299" t="n"/>
      <c r="C508" s="107">
        <f>IF(B508="", "", VLOOKUP(B508, 'CLIENT DATA'!A:S, 19, FALSE))</f>
        <v/>
      </c>
      <c r="D508" s="107">
        <f t="array" ref="D508">IF(B508="", "", _xlfn.TEXTJOIN(", ", TRUE, IF('CLIENT DATA'!$A$2:$A$205=B508, 'CLIENT DATA'!$C$2:$F$205, "")))</f>
        <v/>
      </c>
      <c r="E508" s="52" t="n"/>
      <c r="F508" s="52" t="n"/>
      <c r="G508" s="52" t="n"/>
      <c r="H508" s="52" t="n"/>
      <c r="I508" s="52" t="n"/>
      <c r="J508" s="59" t="n"/>
      <c r="K508" s="59" t="n"/>
      <c r="L508" s="59" t="n"/>
      <c r="M508" s="59" t="n"/>
      <c r="N508" s="59" t="n"/>
      <c r="O508" s="297" t="n"/>
      <c r="P508" s="297" t="n"/>
      <c r="Q508" s="297" t="n"/>
      <c r="R508" s="297" t="n"/>
      <c r="S508" s="297" t="n"/>
      <c r="T508" s="297" t="n"/>
      <c r="U508" s="297" t="n"/>
    </row>
    <row r="509">
      <c r="A509" s="174" t="n"/>
      <c r="B509" s="299" t="n"/>
      <c r="C509" s="107">
        <f>IF(B509="", "", VLOOKUP(B509, 'CLIENT DATA'!A:S, 19, FALSE))</f>
        <v/>
      </c>
      <c r="D509" s="107">
        <f t="array" ref="D509">IF(B509="", "", _xlfn.TEXTJOIN(", ", TRUE, IF('CLIENT DATA'!$A$2:$A$205=B509, 'CLIENT DATA'!$C$2:$F$205, "")))</f>
        <v/>
      </c>
      <c r="E509" s="52" t="n"/>
      <c r="F509" s="52" t="n"/>
      <c r="G509" s="52" t="n"/>
      <c r="H509" s="52" t="n"/>
      <c r="I509" s="52" t="n"/>
      <c r="J509" s="59" t="n"/>
      <c r="K509" s="59" t="n"/>
      <c r="L509" s="59" t="n"/>
      <c r="M509" s="59" t="n"/>
      <c r="N509" s="59" t="n"/>
      <c r="O509" s="297" t="n"/>
      <c r="P509" s="297" t="n"/>
      <c r="Q509" s="297" t="n"/>
      <c r="R509" s="297" t="n"/>
      <c r="S509" s="297" t="n"/>
      <c r="T509" s="297" t="n"/>
      <c r="U509" s="297" t="n"/>
    </row>
    <row r="510">
      <c r="A510" s="174" t="n"/>
      <c r="B510" s="299" t="n"/>
      <c r="C510" s="107">
        <f>IF(B510="", "", VLOOKUP(B510, 'CLIENT DATA'!A:S, 19, FALSE))</f>
        <v/>
      </c>
      <c r="D510" s="107">
        <f t="array" ref="D510">IF(B510="", "", _xlfn.TEXTJOIN(", ", TRUE, IF('CLIENT DATA'!$A$2:$A$205=B510, 'CLIENT DATA'!$C$2:$F$205, "")))</f>
        <v/>
      </c>
      <c r="E510" s="52" t="n"/>
      <c r="F510" s="52" t="n"/>
      <c r="G510" s="52" t="n"/>
      <c r="H510" s="52" t="n"/>
      <c r="I510" s="52" t="n"/>
      <c r="J510" s="59" t="n"/>
      <c r="K510" s="59" t="n"/>
      <c r="L510" s="59" t="n"/>
      <c r="M510" s="59" t="n"/>
      <c r="N510" s="59" t="n"/>
      <c r="O510" s="297" t="n"/>
      <c r="P510" s="297" t="n"/>
      <c r="Q510" s="297" t="n"/>
      <c r="R510" s="297" t="n"/>
      <c r="S510" s="297" t="n"/>
      <c r="T510" s="297" t="n"/>
      <c r="U510" s="297" t="n"/>
    </row>
    <row r="511">
      <c r="A511" s="174" t="n"/>
      <c r="B511" s="187" t="n"/>
      <c r="C511" s="107">
        <f>IF(B511="", "", VLOOKUP(B511, 'CLIENT DATA'!A:S, 19, FALSE))</f>
        <v/>
      </c>
      <c r="D511" s="107">
        <f t="array" ref="D511">IF(B511="", "", _xlfn.TEXTJOIN(", ", TRUE, IF('CLIENT DATA'!$A$2:$A$205=B511, 'CLIENT DATA'!$C$2:$F$205, "")))</f>
        <v/>
      </c>
      <c r="E511" s="52" t="n"/>
      <c r="F511" s="52" t="n"/>
      <c r="G511" s="52" t="n"/>
      <c r="H511" s="52" t="n"/>
      <c r="I511" s="52" t="n"/>
      <c r="J511" s="59" t="n"/>
      <c r="K511" s="59" t="n"/>
      <c r="L511" s="59" t="n"/>
      <c r="M511" s="59" t="n"/>
      <c r="N511" s="59" t="n"/>
      <c r="O511" s="297" t="n"/>
      <c r="P511" s="297" t="n"/>
      <c r="Q511" s="297" t="n"/>
      <c r="R511" s="297" t="n"/>
      <c r="S511" s="297" t="n"/>
      <c r="T511" s="297" t="n"/>
      <c r="U511" s="297" t="n"/>
    </row>
    <row r="512">
      <c r="A512" s="174" t="n"/>
      <c r="B512" s="187" t="n"/>
      <c r="C512" s="107">
        <f>IF(B512="", "", VLOOKUP(B512, 'CLIENT DATA'!A:S, 19, FALSE))</f>
        <v/>
      </c>
      <c r="D512" s="107">
        <f t="array" ref="D512">IF(B512="", "", _xlfn.TEXTJOIN(", ", TRUE, IF('CLIENT DATA'!$A$2:$A$205=B512, 'CLIENT DATA'!$C$2:$F$205, "")))</f>
        <v/>
      </c>
      <c r="E512" s="52" t="n"/>
      <c r="F512" s="52" t="n"/>
      <c r="G512" s="52" t="n"/>
      <c r="H512" s="52" t="n"/>
      <c r="I512" s="52" t="n"/>
      <c r="J512" s="59" t="n"/>
      <c r="K512" s="59" t="n"/>
      <c r="L512" s="59" t="n"/>
      <c r="M512" s="59" t="n"/>
      <c r="N512" s="59" t="n"/>
      <c r="O512" s="297" t="n"/>
      <c r="P512" s="297" t="n"/>
      <c r="Q512" s="297" t="n"/>
      <c r="R512" s="297" t="n"/>
      <c r="S512" s="297" t="n"/>
      <c r="T512" s="297" t="n"/>
      <c r="U512" s="297" t="n"/>
    </row>
    <row r="513">
      <c r="A513" s="174" t="n"/>
      <c r="B513" s="187" t="n"/>
      <c r="C513" s="107">
        <f>IF(B513="", "", VLOOKUP(B513, 'CLIENT DATA'!A:S, 19, FALSE))</f>
        <v/>
      </c>
      <c r="D513" s="107">
        <f t="array" ref="D513">IF(B513="", "", _xlfn.TEXTJOIN(", ", TRUE, IF('CLIENT DATA'!$A$2:$A$205=B513, 'CLIENT DATA'!$C$2:$F$205, "")))</f>
        <v/>
      </c>
      <c r="E513" s="52" t="n"/>
      <c r="F513" s="52" t="n"/>
      <c r="G513" s="52" t="n"/>
      <c r="H513" s="52" t="n"/>
      <c r="I513" s="52" t="n"/>
      <c r="J513" s="59" t="n"/>
      <c r="K513" s="59" t="n"/>
      <c r="L513" s="59" t="n"/>
      <c r="M513" s="59" t="n"/>
      <c r="N513" s="59" t="n"/>
      <c r="O513" s="297" t="n"/>
      <c r="P513" s="297" t="n"/>
      <c r="Q513" s="297" t="n"/>
      <c r="R513" s="297" t="n"/>
      <c r="S513" s="297" t="n"/>
      <c r="T513" s="297" t="n"/>
      <c r="U513" s="297" t="n"/>
    </row>
    <row r="514">
      <c r="A514" s="174" t="n"/>
      <c r="B514" s="187" t="n"/>
      <c r="C514" s="107">
        <f>IF(B514="", "", VLOOKUP(B514, 'CLIENT DATA'!A:S, 19, FALSE))</f>
        <v/>
      </c>
      <c r="D514" s="107">
        <f t="array" ref="D514">IF(B514="", "", _xlfn.TEXTJOIN(", ", TRUE, IF('CLIENT DATA'!$A$2:$A$205=B514, 'CLIENT DATA'!$C$2:$F$205, "")))</f>
        <v/>
      </c>
      <c r="E514" s="52" t="n"/>
      <c r="F514" s="52" t="n"/>
      <c r="G514" s="52" t="n"/>
      <c r="H514" s="52" t="n"/>
      <c r="I514" s="52" t="n"/>
      <c r="J514" s="59" t="n"/>
      <c r="K514" s="59" t="n"/>
      <c r="L514" s="59" t="n"/>
      <c r="M514" s="59" t="n"/>
      <c r="N514" s="59" t="n"/>
      <c r="O514" s="297" t="n"/>
      <c r="P514" s="297" t="n"/>
      <c r="Q514" s="297" t="n"/>
      <c r="R514" s="297" t="n"/>
      <c r="S514" s="297" t="n"/>
      <c r="T514" s="297" t="n"/>
      <c r="U514" s="297" t="n"/>
    </row>
    <row r="515">
      <c r="A515" s="174" t="n"/>
      <c r="B515" s="187" t="n"/>
      <c r="C515" s="107">
        <f>IF(B515="", "", VLOOKUP(B515, 'CLIENT DATA'!A:S, 19, FALSE))</f>
        <v/>
      </c>
      <c r="D515" s="107">
        <f t="array" ref="D515">IF(B515="", "", _xlfn.TEXTJOIN(", ", TRUE, IF('CLIENT DATA'!$A$2:$A$205=B515, 'CLIENT DATA'!$C$2:$F$205, "")))</f>
        <v/>
      </c>
      <c r="E515" s="52" t="n"/>
      <c r="F515" s="52" t="n"/>
      <c r="G515" s="52" t="n"/>
      <c r="H515" s="52" t="n"/>
      <c r="I515" s="52" t="n"/>
      <c r="J515" s="59" t="n"/>
      <c r="K515" s="59" t="n"/>
      <c r="L515" s="59" t="n"/>
      <c r="M515" s="59" t="n"/>
      <c r="N515" s="59" t="n"/>
      <c r="O515" s="297" t="n"/>
      <c r="P515" s="297" t="n"/>
      <c r="Q515" s="297" t="n"/>
      <c r="R515" s="297" t="n"/>
      <c r="S515" s="297" t="n"/>
      <c r="T515" s="297" t="n"/>
      <c r="U515" s="297" t="n"/>
    </row>
    <row r="516">
      <c r="A516" s="174" t="n"/>
      <c r="B516" s="187" t="n"/>
      <c r="C516" s="107">
        <f>IF(B516="", "", VLOOKUP(B516, 'CLIENT DATA'!A:S, 19, FALSE))</f>
        <v/>
      </c>
      <c r="D516" s="107">
        <f t="array" ref="D516">IF(B516="", "", _xlfn.TEXTJOIN(", ", TRUE, IF('CLIENT DATA'!$A$2:$A$205=B516, 'CLIENT DATA'!$C$2:$F$205, "")))</f>
        <v/>
      </c>
      <c r="E516" s="52" t="n"/>
      <c r="F516" s="52" t="n"/>
      <c r="G516" s="52" t="n"/>
      <c r="H516" s="52" t="n"/>
      <c r="I516" s="52" t="n"/>
      <c r="J516" s="59" t="n"/>
      <c r="K516" s="59" t="n"/>
      <c r="L516" s="59" t="n"/>
      <c r="M516" s="59" t="n"/>
      <c r="N516" s="59" t="n"/>
      <c r="O516" s="297" t="n"/>
      <c r="P516" s="297" t="n"/>
      <c r="Q516" s="297" t="n"/>
      <c r="R516" s="297" t="n"/>
      <c r="S516" s="297" t="n"/>
      <c r="T516" s="297" t="n"/>
      <c r="U516" s="297" t="n"/>
    </row>
    <row r="517">
      <c r="A517" s="174" t="n"/>
      <c r="B517" s="187" t="n"/>
      <c r="C517" s="107">
        <f>IF(B517="", "", VLOOKUP(B517, 'CLIENT DATA'!A:S, 19, FALSE))</f>
        <v/>
      </c>
      <c r="D517" s="107">
        <f t="array" ref="D517">IF(B517="", "", _xlfn.TEXTJOIN(", ", TRUE, IF('CLIENT DATA'!$A$2:$A$205=B517, 'CLIENT DATA'!$C$2:$F$205, "")))</f>
        <v/>
      </c>
      <c r="E517" s="52" t="n"/>
      <c r="F517" s="52" t="n"/>
      <c r="G517" s="52" t="n"/>
      <c r="H517" s="52" t="n"/>
      <c r="I517" s="52" t="n"/>
      <c r="J517" s="59" t="n"/>
      <c r="K517" s="59" t="n"/>
      <c r="L517" s="59" t="n"/>
      <c r="M517" s="59" t="n"/>
      <c r="N517" s="59" t="n"/>
      <c r="O517" s="297" t="n"/>
      <c r="P517" s="297" t="n"/>
      <c r="Q517" s="297" t="n"/>
      <c r="R517" s="297" t="n"/>
      <c r="S517" s="297" t="n"/>
      <c r="T517" s="297" t="n"/>
      <c r="U517" s="297" t="n"/>
    </row>
    <row r="518">
      <c r="A518" s="174" t="n"/>
      <c r="B518" s="187" t="n"/>
      <c r="C518" s="107">
        <f>IF(B518="", "", VLOOKUP(B518, 'CLIENT DATA'!A:S, 19, FALSE))</f>
        <v/>
      </c>
      <c r="D518" s="107">
        <f t="array" ref="D518">IF(B518="", "", _xlfn.TEXTJOIN(", ", TRUE, IF('CLIENT DATA'!$A$2:$A$205=B518, 'CLIENT DATA'!$C$2:$F$205, "")))</f>
        <v/>
      </c>
      <c r="E518" s="52" t="n"/>
      <c r="F518" s="52" t="n"/>
      <c r="G518" s="52" t="n"/>
      <c r="H518" s="52" t="n"/>
      <c r="I518" s="52" t="n"/>
      <c r="J518" s="59" t="n"/>
      <c r="K518" s="59" t="n"/>
      <c r="L518" s="59" t="n"/>
      <c r="M518" s="59" t="n"/>
      <c r="N518" s="59" t="n"/>
      <c r="O518" s="297" t="n"/>
      <c r="P518" s="297" t="n"/>
      <c r="Q518" s="297" t="n"/>
      <c r="R518" s="297" t="n"/>
      <c r="S518" s="297" t="n"/>
      <c r="T518" s="297" t="n"/>
      <c r="U518" s="297" t="n"/>
    </row>
    <row r="519">
      <c r="A519" s="174" t="n"/>
      <c r="B519" s="299" t="n"/>
      <c r="C519" s="107">
        <f>IF(B519="", "", VLOOKUP(B519, 'CLIENT DATA'!A:S, 19, FALSE))</f>
        <v/>
      </c>
      <c r="D519" s="107">
        <f t="array" ref="D519">IF(B519="", "", _xlfn.TEXTJOIN(", ", TRUE, IF('CLIENT DATA'!$A$2:$A$205=B519, 'CLIENT DATA'!$C$2:$F$205, "")))</f>
        <v/>
      </c>
      <c r="E519" s="52" t="n"/>
      <c r="F519" s="52" t="n"/>
      <c r="G519" s="52" t="n"/>
      <c r="H519" s="52" t="n"/>
      <c r="I519" s="52" t="n"/>
      <c r="J519" s="59" t="n"/>
      <c r="K519" s="59" t="n"/>
      <c r="L519" s="59" t="n"/>
      <c r="M519" s="59" t="n"/>
      <c r="N519" s="59" t="n"/>
      <c r="O519" s="297" t="n"/>
      <c r="P519" s="297" t="n"/>
      <c r="Q519" s="297" t="n"/>
      <c r="R519" s="297" t="n"/>
      <c r="S519" s="297" t="n"/>
      <c r="T519" s="297" t="n"/>
      <c r="U519" s="297" t="n"/>
    </row>
    <row r="520">
      <c r="A520" s="174" t="n"/>
      <c r="B520" s="299" t="n"/>
      <c r="C520" s="107">
        <f>IF(B520="", "", VLOOKUP(B520, 'CLIENT DATA'!A:S, 19, FALSE))</f>
        <v/>
      </c>
      <c r="D520" s="107">
        <f t="array" ref="D520">IF(B520="", "", _xlfn.TEXTJOIN(", ", TRUE, IF('CLIENT DATA'!$A$2:$A$205=B520, 'CLIENT DATA'!$C$2:$F$205, "")))</f>
        <v/>
      </c>
      <c r="E520" s="52" t="n"/>
      <c r="F520" s="52" t="n"/>
      <c r="G520" s="52" t="n"/>
      <c r="H520" s="52" t="n"/>
      <c r="I520" s="52" t="n"/>
      <c r="J520" s="59" t="n"/>
      <c r="K520" s="59" t="n"/>
      <c r="L520" s="59" t="n"/>
      <c r="M520" s="59" t="n"/>
      <c r="N520" s="59" t="n"/>
      <c r="O520" s="297" t="n"/>
      <c r="P520" s="297" t="n"/>
      <c r="Q520" s="297" t="n"/>
      <c r="R520" s="297" t="n"/>
      <c r="S520" s="297" t="n"/>
      <c r="T520" s="297" t="n"/>
      <c r="U520" s="297" t="n"/>
    </row>
    <row r="521">
      <c r="A521" s="174" t="n"/>
      <c r="B521" s="299" t="n"/>
      <c r="C521" s="107">
        <f>IF(B521="", "", VLOOKUP(B521, 'CLIENT DATA'!A:S, 19, FALSE))</f>
        <v/>
      </c>
      <c r="D521" s="107">
        <f t="array" ref="D521">IF(B521="", "", _xlfn.TEXTJOIN(", ", TRUE, IF('CLIENT DATA'!$A$2:$A$205=B521, 'CLIENT DATA'!$C$2:$F$205, "")))</f>
        <v/>
      </c>
      <c r="E521" s="52" t="n"/>
      <c r="F521" s="52" t="n"/>
      <c r="G521" s="52" t="n"/>
      <c r="H521" s="52" t="n"/>
      <c r="I521" s="52" t="n"/>
      <c r="J521" s="59" t="n"/>
      <c r="K521" s="59" t="n"/>
      <c r="L521" s="59" t="n"/>
      <c r="M521" s="59" t="n"/>
      <c r="N521" s="59" t="n"/>
      <c r="O521" s="297" t="n"/>
      <c r="P521" s="297" t="n"/>
      <c r="Q521" s="297" t="n"/>
      <c r="R521" s="297" t="n"/>
      <c r="S521" s="297" t="n"/>
      <c r="T521" s="297" t="n"/>
      <c r="U521" s="297" t="n"/>
    </row>
    <row r="522">
      <c r="A522" s="174" t="n"/>
      <c r="B522" s="299" t="n"/>
      <c r="C522" s="107">
        <f>IF(B522="", "", VLOOKUP(B522, 'CLIENT DATA'!A:S, 19, FALSE))</f>
        <v/>
      </c>
      <c r="D522" s="107">
        <f t="array" ref="D522">IF(B522="", "", _xlfn.TEXTJOIN(", ", TRUE, IF('CLIENT DATA'!$A$2:$A$205=B522, 'CLIENT DATA'!$C$2:$F$205, "")))</f>
        <v/>
      </c>
      <c r="E522" s="52" t="n"/>
      <c r="F522" s="52" t="n"/>
      <c r="G522" s="52" t="n"/>
      <c r="H522" s="52" t="n"/>
      <c r="I522" s="52" t="n"/>
      <c r="J522" s="59" t="n"/>
      <c r="K522" s="59" t="n"/>
      <c r="L522" s="59" t="n"/>
      <c r="M522" s="59" t="n"/>
      <c r="N522" s="59" t="n"/>
      <c r="O522" s="297" t="n"/>
      <c r="P522" s="297" t="n"/>
      <c r="Q522" s="297" t="n"/>
      <c r="R522" s="297" t="n"/>
      <c r="S522" s="297" t="n"/>
      <c r="T522" s="297" t="n"/>
      <c r="U522" s="297" t="n"/>
    </row>
    <row r="523">
      <c r="A523" s="174" t="n"/>
      <c r="B523" s="299" t="n"/>
      <c r="C523" s="107">
        <f>IF(B523="", "", VLOOKUP(B523, 'CLIENT DATA'!A:S, 19, FALSE))</f>
        <v/>
      </c>
      <c r="D523" s="107">
        <f t="array" ref="D523">IF(B523="", "", _xlfn.TEXTJOIN(", ", TRUE, IF('CLIENT DATA'!$A$2:$A$205=B523, 'CLIENT DATA'!$C$2:$F$205, "")))</f>
        <v/>
      </c>
      <c r="E523" s="52" t="n"/>
      <c r="F523" s="52" t="n"/>
      <c r="G523" s="52" t="n"/>
      <c r="H523" s="52" t="n"/>
      <c r="I523" s="52" t="n"/>
      <c r="J523" s="59" t="n"/>
      <c r="K523" s="59" t="n"/>
      <c r="L523" s="59" t="n"/>
      <c r="M523" s="59" t="n"/>
      <c r="N523" s="59" t="n"/>
      <c r="O523" s="297" t="n"/>
      <c r="P523" s="297" t="n"/>
      <c r="Q523" s="297" t="n"/>
      <c r="R523" s="297" t="n"/>
      <c r="S523" s="297" t="n"/>
      <c r="T523" s="297" t="n"/>
      <c r="U523" s="297" t="n"/>
    </row>
    <row r="524">
      <c r="A524" s="174" t="n"/>
      <c r="B524" s="299" t="n"/>
      <c r="C524" s="107">
        <f>IF(B524="", "", VLOOKUP(B524, 'CLIENT DATA'!A:S, 19, FALSE))</f>
        <v/>
      </c>
      <c r="D524" s="107">
        <f t="array" ref="D524">IF(B524="", "", _xlfn.TEXTJOIN(", ", TRUE, IF('CLIENT DATA'!$A$2:$A$205=B524, 'CLIENT DATA'!$C$2:$F$205, "")))</f>
        <v/>
      </c>
      <c r="E524" s="52" t="n"/>
      <c r="F524" s="52" t="n"/>
      <c r="G524" s="52" t="n"/>
      <c r="H524" s="52" t="n"/>
      <c r="I524" s="52" t="n"/>
      <c r="J524" s="59" t="n"/>
      <c r="K524" s="59" t="n"/>
      <c r="L524" s="59" t="n"/>
      <c r="M524" s="59" t="n"/>
      <c r="N524" s="59" t="n"/>
      <c r="O524" s="297" t="n"/>
      <c r="P524" s="297" t="n"/>
      <c r="Q524" s="297" t="n"/>
      <c r="R524" s="297" t="n"/>
      <c r="S524" s="297" t="n"/>
      <c r="T524" s="297" t="n"/>
      <c r="U524" s="297" t="n"/>
    </row>
    <row r="525">
      <c r="A525" s="174" t="n"/>
      <c r="B525" s="299" t="n"/>
      <c r="C525" s="107">
        <f>IF(B525="", "", VLOOKUP(B525, 'CLIENT DATA'!A:S, 19, FALSE))</f>
        <v/>
      </c>
      <c r="D525" s="107">
        <f t="array" ref="D525">IF(B525="", "", _xlfn.TEXTJOIN(", ", TRUE, IF('CLIENT DATA'!$A$2:$A$205=B525, 'CLIENT DATA'!$C$2:$F$205, "")))</f>
        <v/>
      </c>
      <c r="E525" s="52" t="n"/>
      <c r="F525" s="52" t="n"/>
      <c r="G525" s="52" t="n"/>
      <c r="H525" s="52" t="n"/>
      <c r="I525" s="52" t="n"/>
      <c r="J525" s="59" t="n"/>
      <c r="K525" s="59" t="n"/>
      <c r="L525" s="59" t="n"/>
      <c r="M525" s="59" t="n"/>
      <c r="N525" s="59" t="n"/>
      <c r="O525" s="297" t="n"/>
      <c r="P525" s="297" t="n"/>
      <c r="Q525" s="297" t="n"/>
      <c r="R525" s="297" t="n"/>
      <c r="S525" s="297" t="n"/>
      <c r="T525" s="297" t="n"/>
      <c r="U525" s="297" t="n"/>
    </row>
    <row r="526">
      <c r="A526" s="174" t="n"/>
      <c r="B526" s="299" t="n"/>
      <c r="C526" s="107">
        <f>IF(B526="", "", VLOOKUP(B526, 'CLIENT DATA'!A:S, 19, FALSE))</f>
        <v/>
      </c>
      <c r="D526" s="107">
        <f t="array" ref="D526">IF(B526="", "", _xlfn.TEXTJOIN(", ", TRUE, IF('CLIENT DATA'!$A$2:$A$205=B526, 'CLIENT DATA'!$C$2:$F$205, "")))</f>
        <v/>
      </c>
      <c r="E526" s="52" t="n"/>
      <c r="F526" s="52" t="n"/>
      <c r="G526" s="52" t="n"/>
      <c r="H526" s="52" t="n"/>
      <c r="I526" s="52" t="n"/>
      <c r="J526" s="59" t="n"/>
      <c r="K526" s="59" t="n"/>
      <c r="L526" s="59" t="n"/>
      <c r="M526" s="59" t="n"/>
      <c r="N526" s="59" t="n"/>
      <c r="O526" s="297" t="n"/>
      <c r="P526" s="297" t="n"/>
      <c r="Q526" s="297" t="n"/>
      <c r="R526" s="297" t="n"/>
      <c r="S526" s="297" t="n"/>
      <c r="T526" s="297" t="n"/>
      <c r="U526" s="297" t="n"/>
    </row>
    <row r="527">
      <c r="A527" s="174" t="n"/>
      <c r="B527" s="299" t="n"/>
      <c r="C527" s="107">
        <f>IF(B527="", "", VLOOKUP(B527, 'CLIENT DATA'!A:S, 19, FALSE))</f>
        <v/>
      </c>
      <c r="D527" s="107">
        <f t="array" ref="D527">IF(B527="", "", _xlfn.TEXTJOIN(", ", TRUE, IF('CLIENT DATA'!$A$2:$A$205=B527, 'CLIENT DATA'!$C$2:$F$205, "")))</f>
        <v/>
      </c>
      <c r="E527" s="52" t="n"/>
      <c r="F527" s="52" t="n"/>
      <c r="G527" s="52" t="n"/>
      <c r="H527" s="52" t="n"/>
      <c r="I527" s="52" t="n"/>
      <c r="J527" s="59" t="n"/>
      <c r="K527" s="59" t="n"/>
      <c r="L527" s="59" t="n"/>
      <c r="M527" s="59" t="n"/>
      <c r="N527" s="59" t="n"/>
      <c r="O527" s="297" t="n"/>
      <c r="P527" s="297" t="n"/>
      <c r="Q527" s="297" t="n"/>
      <c r="R527" s="297" t="n"/>
      <c r="S527" s="297" t="n"/>
      <c r="T527" s="297" t="n"/>
      <c r="U527" s="297" t="n"/>
    </row>
    <row r="528">
      <c r="A528" s="174" t="n"/>
      <c r="B528" s="299" t="n"/>
      <c r="C528" s="107">
        <f>IF(B528="", "", VLOOKUP(B528, 'CLIENT DATA'!A:S, 19, FALSE))</f>
        <v/>
      </c>
      <c r="D528" s="107">
        <f t="array" ref="D528">IF(B528="", "", _xlfn.TEXTJOIN(", ", TRUE, IF('CLIENT DATA'!$A$2:$A$205=B528, 'CLIENT DATA'!$C$2:$F$205, "")))</f>
        <v/>
      </c>
      <c r="E528" s="52" t="n"/>
      <c r="F528" s="52" t="n"/>
      <c r="G528" s="52" t="n"/>
      <c r="H528" s="52" t="n"/>
      <c r="I528" s="52" t="n"/>
      <c r="J528" s="59" t="n"/>
      <c r="K528" s="59" t="n"/>
      <c r="L528" s="59" t="n"/>
      <c r="M528" s="59" t="n"/>
      <c r="N528" s="59" t="n"/>
      <c r="O528" s="297" t="n"/>
      <c r="P528" s="297" t="n"/>
      <c r="Q528" s="297" t="n"/>
      <c r="R528" s="297" t="n"/>
      <c r="S528" s="297" t="n"/>
      <c r="T528" s="297" t="n"/>
      <c r="U528" s="297" t="n"/>
    </row>
    <row r="529">
      <c r="A529" s="174" t="n"/>
      <c r="B529" s="299" t="n"/>
      <c r="C529" s="107">
        <f>IF(B529="", "", VLOOKUP(B529, 'CLIENT DATA'!A:S, 19, FALSE))</f>
        <v/>
      </c>
      <c r="D529" s="107">
        <f t="array" ref="D529">IF(B529="", "", _xlfn.TEXTJOIN(", ", TRUE, IF('CLIENT DATA'!$A$2:$A$205=B529, 'CLIENT DATA'!$C$2:$F$205, "")))</f>
        <v/>
      </c>
      <c r="E529" s="52" t="n"/>
      <c r="F529" s="52" t="n"/>
      <c r="G529" s="52" t="n"/>
      <c r="H529" s="52" t="n"/>
      <c r="I529" s="52" t="n"/>
      <c r="J529" s="59" t="n"/>
      <c r="K529" s="59" t="n"/>
      <c r="L529" s="59" t="n"/>
      <c r="M529" s="59" t="n"/>
      <c r="N529" s="59" t="n"/>
      <c r="O529" s="297" t="n"/>
      <c r="P529" s="297" t="n"/>
      <c r="Q529" s="297" t="n"/>
      <c r="R529" s="297" t="n"/>
      <c r="S529" s="297" t="n"/>
      <c r="T529" s="297" t="n"/>
      <c r="U529" s="297" t="n"/>
    </row>
    <row r="530">
      <c r="A530" s="174" t="n"/>
      <c r="B530" s="299" t="n"/>
      <c r="C530" s="107">
        <f>IF(B530="", "", VLOOKUP(B530, 'CLIENT DATA'!A:S, 19, FALSE))</f>
        <v/>
      </c>
      <c r="D530" s="107">
        <f t="array" ref="D530">IF(B530="", "", _xlfn.TEXTJOIN(", ", TRUE, IF('CLIENT DATA'!$A$2:$A$205=B530, 'CLIENT DATA'!$C$2:$F$205, "")))</f>
        <v/>
      </c>
      <c r="E530" s="52" t="n"/>
      <c r="F530" s="52" t="n"/>
      <c r="G530" s="52" t="n"/>
      <c r="H530" s="52" t="n"/>
      <c r="I530" s="52" t="n"/>
      <c r="J530" s="59" t="n"/>
      <c r="K530" s="59" t="n"/>
      <c r="L530" s="59" t="n"/>
      <c r="M530" s="59" t="n"/>
      <c r="N530" s="59" t="n"/>
      <c r="O530" s="297" t="n"/>
      <c r="P530" s="297" t="n"/>
      <c r="Q530" s="297" t="n"/>
      <c r="R530" s="297" t="n"/>
      <c r="S530" s="297" t="n"/>
      <c r="T530" s="297" t="n"/>
      <c r="U530" s="297" t="n"/>
    </row>
    <row r="531">
      <c r="A531" s="174" t="n"/>
      <c r="B531" s="300" t="n"/>
      <c r="C531" s="182">
        <f>IF(B531="", "", VLOOKUP(B531, 'CLIENT DATA'!A:S, 19, FALSE))</f>
        <v/>
      </c>
      <c r="D531" s="182">
        <f t="array" ref="D531">IF(B531="", "", _xlfn.TEXTJOIN(", ", TRUE, IF('CLIENT DATA'!$A$2:$A$205=B531, 'CLIENT DATA'!$C$2:$F$205, "")))</f>
        <v/>
      </c>
      <c r="E531" s="183" t="n"/>
      <c r="F531" s="183" t="n"/>
      <c r="G531" s="183" t="n"/>
      <c r="H531" s="183" t="n"/>
      <c r="I531" s="183" t="n"/>
      <c r="J531" s="184" t="n"/>
      <c r="K531" s="184" t="n"/>
      <c r="L531" s="184" t="n"/>
      <c r="M531" s="184" t="n"/>
      <c r="N531" s="184" t="n"/>
      <c r="O531" s="301" t="n"/>
      <c r="P531" s="301" t="n"/>
      <c r="Q531" s="301" t="n"/>
      <c r="R531" s="301" t="n"/>
      <c r="S531" s="301" t="n"/>
      <c r="T531" s="301" t="n"/>
      <c r="U531" s="301" t="n"/>
    </row>
    <row r="532">
      <c r="A532" s="174" t="n"/>
      <c r="B532" s="187" t="n"/>
      <c r="C532" s="107">
        <f>IF(B532="", "", VLOOKUP(B532, 'CLIENT DATA'!A:S, 19, FALSE))</f>
        <v/>
      </c>
      <c r="D532" s="107">
        <f t="array" ref="D532">IF(B532="", "", _xlfn.TEXTJOIN(", ", TRUE, IF('CLIENT DATA'!$A$2:$A$205=B532, 'CLIENT DATA'!$C$2:$F$205, "")))</f>
        <v/>
      </c>
      <c r="E532" s="52" t="n"/>
      <c r="F532" s="52" t="n"/>
      <c r="G532" s="52" t="n"/>
      <c r="H532" s="52" t="n"/>
      <c r="I532" s="52" t="n"/>
      <c r="J532" s="59" t="n"/>
      <c r="K532" s="59" t="n"/>
      <c r="L532" s="59" t="n"/>
      <c r="M532" s="59" t="n"/>
      <c r="N532" s="59" t="n"/>
      <c r="O532" s="297" t="n"/>
      <c r="P532" s="297" t="n"/>
      <c r="Q532" s="297" t="n"/>
      <c r="R532" s="297" t="n"/>
      <c r="S532" s="297" t="n"/>
      <c r="T532" s="297" t="n"/>
      <c r="U532" s="297" t="n"/>
    </row>
    <row r="533">
      <c r="A533" s="174" t="n"/>
      <c r="B533" s="187" t="n"/>
      <c r="C533" s="107">
        <f>IF(B533="", "", VLOOKUP(B533, 'CLIENT DATA'!A:S, 19, FALSE))</f>
        <v/>
      </c>
      <c r="D533" s="107">
        <f t="array" ref="D533">IF(B533="", "", _xlfn.TEXTJOIN(", ", TRUE, IF('CLIENT DATA'!$A$2:$A$205=B533, 'CLIENT DATA'!$C$2:$F$205, "")))</f>
        <v/>
      </c>
      <c r="E533" s="52" t="n"/>
      <c r="F533" s="52" t="n"/>
      <c r="G533" s="52" t="n"/>
      <c r="H533" s="52" t="n"/>
      <c r="I533" s="52" t="n"/>
      <c r="J533" s="59" t="n"/>
      <c r="K533" s="59" t="n"/>
      <c r="L533" s="59" t="n"/>
      <c r="M533" s="59" t="n"/>
      <c r="N533" s="59" t="n"/>
      <c r="O533" s="297" t="n"/>
      <c r="P533" s="297" t="n"/>
      <c r="Q533" s="297" t="n"/>
      <c r="R533" s="297" t="n"/>
      <c r="S533" s="297" t="n"/>
      <c r="T533" s="297" t="n"/>
      <c r="U533" s="297" t="n"/>
    </row>
    <row r="534">
      <c r="A534" s="174" t="n"/>
      <c r="B534" s="187" t="n"/>
      <c r="C534" s="107">
        <f>IF(B534="", "", VLOOKUP(B534, 'CLIENT DATA'!A:S, 19, FALSE))</f>
        <v/>
      </c>
      <c r="D534" s="107">
        <f t="array" ref="D534">IF(B534="", "", _xlfn.TEXTJOIN(", ", TRUE, IF('CLIENT DATA'!$A$2:$A$205=B534, 'CLIENT DATA'!$C$2:$F$205, "")))</f>
        <v/>
      </c>
      <c r="E534" s="52" t="n"/>
      <c r="F534" s="52" t="n"/>
      <c r="G534" s="52" t="n"/>
      <c r="H534" s="52" t="n"/>
      <c r="I534" s="52" t="n"/>
      <c r="J534" s="59" t="n"/>
      <c r="K534" s="59" t="n"/>
      <c r="L534" s="59" t="n"/>
      <c r="M534" s="59" t="n"/>
      <c r="N534" s="59" t="n"/>
      <c r="O534" s="297" t="n"/>
      <c r="P534" s="297" t="n"/>
      <c r="Q534" s="297" t="n"/>
      <c r="R534" s="297" t="n"/>
      <c r="S534" s="297" t="n"/>
      <c r="T534" s="297" t="n"/>
      <c r="U534" s="297" t="n"/>
    </row>
    <row r="535">
      <c r="A535" s="174" t="n"/>
      <c r="B535" s="187" t="n"/>
      <c r="C535" s="107">
        <f>IF(B535="", "", VLOOKUP(B535, 'CLIENT DATA'!A:S, 19, FALSE))</f>
        <v/>
      </c>
      <c r="D535" s="107">
        <f t="array" ref="D535">IF(B535="", "", _xlfn.TEXTJOIN(", ", TRUE, IF('CLIENT DATA'!$A$2:$A$205=B535, 'CLIENT DATA'!$C$2:$F$205, "")))</f>
        <v/>
      </c>
      <c r="E535" s="52" t="n"/>
      <c r="F535" s="52" t="n"/>
      <c r="G535" s="52" t="n"/>
      <c r="H535" s="52" t="n"/>
      <c r="I535" s="52" t="n"/>
      <c r="J535" s="59" t="n"/>
      <c r="K535" s="59" t="n"/>
      <c r="L535" s="59" t="n"/>
      <c r="M535" s="59" t="n"/>
      <c r="N535" s="59" t="n"/>
      <c r="O535" s="297" t="n"/>
      <c r="P535" s="297" t="n"/>
      <c r="Q535" s="297" t="n"/>
      <c r="R535" s="297" t="n"/>
      <c r="S535" s="297" t="n"/>
      <c r="T535" s="297" t="n"/>
      <c r="U535" s="297" t="n"/>
    </row>
    <row r="536">
      <c r="A536" s="174" t="n"/>
      <c r="B536" s="187" t="n"/>
      <c r="C536" s="107">
        <f>IF(B536="", "", VLOOKUP(B536, 'CLIENT DATA'!A:S, 19, FALSE))</f>
        <v/>
      </c>
      <c r="D536" s="107">
        <f t="array" ref="D536">IF(B536="", "", _xlfn.TEXTJOIN(", ", TRUE, IF('CLIENT DATA'!$A$2:$A$205=B536, 'CLIENT DATA'!$C$2:$F$205, "")))</f>
        <v/>
      </c>
      <c r="E536" s="52" t="n"/>
      <c r="F536" s="52" t="n"/>
      <c r="G536" s="52" t="n"/>
      <c r="H536" s="52" t="n"/>
      <c r="I536" s="52" t="n"/>
      <c r="J536" s="59" t="n"/>
      <c r="K536" s="59" t="n"/>
      <c r="L536" s="59" t="n"/>
      <c r="M536" s="59" t="n"/>
      <c r="N536" s="59" t="n"/>
      <c r="O536" s="297" t="n"/>
      <c r="P536" s="297" t="n"/>
      <c r="Q536" s="297" t="n"/>
      <c r="R536" s="297" t="n"/>
      <c r="S536" s="297" t="n"/>
      <c r="T536" s="297" t="n"/>
      <c r="U536" s="297" t="n"/>
    </row>
    <row r="537">
      <c r="A537" s="174" t="n"/>
      <c r="B537" s="187" t="n"/>
      <c r="C537" s="107">
        <f>IF(B537="", "", VLOOKUP(B537, 'CLIENT DATA'!A:S, 19, FALSE))</f>
        <v/>
      </c>
      <c r="D537" s="107">
        <f t="array" ref="D537">IF(B537="", "", _xlfn.TEXTJOIN(", ", TRUE, IF('CLIENT DATA'!$A$2:$A$205=B537, 'CLIENT DATA'!$C$2:$F$205, "")))</f>
        <v/>
      </c>
      <c r="E537" s="52" t="n"/>
      <c r="F537" s="52" t="n"/>
      <c r="G537" s="52" t="n"/>
      <c r="H537" s="52" t="n"/>
      <c r="I537" s="52" t="n"/>
      <c r="J537" s="59" t="n"/>
      <c r="K537" s="59" t="n"/>
      <c r="L537" s="59" t="n"/>
      <c r="M537" s="59" t="n"/>
      <c r="N537" s="59" t="n"/>
      <c r="O537" s="297" t="n"/>
      <c r="P537" s="297" t="n"/>
      <c r="Q537" s="297" t="n"/>
      <c r="R537" s="297" t="n"/>
      <c r="S537" s="297" t="n"/>
      <c r="T537" s="297" t="n"/>
      <c r="U537" s="297" t="n"/>
    </row>
    <row r="538">
      <c r="A538" s="174" t="n"/>
      <c r="B538" s="187" t="n"/>
      <c r="C538" s="107">
        <f>IF(B538="", "", VLOOKUP(B538, 'CLIENT DATA'!A:S, 19, FALSE))</f>
        <v/>
      </c>
      <c r="D538" s="107">
        <f t="array" ref="D538">IF(B538="", "", _xlfn.TEXTJOIN(", ", TRUE, IF('CLIENT DATA'!$A$2:$A$205=B538, 'CLIENT DATA'!$C$2:$F$205, "")))</f>
        <v/>
      </c>
      <c r="E538" s="52" t="n"/>
      <c r="F538" s="52" t="n"/>
      <c r="G538" s="52" t="n"/>
      <c r="H538" s="52" t="n"/>
      <c r="I538" s="52" t="n"/>
      <c r="J538" s="59" t="n"/>
      <c r="K538" s="59" t="n"/>
      <c r="L538" s="59" t="n"/>
      <c r="M538" s="59" t="n"/>
      <c r="N538" s="59" t="n"/>
      <c r="O538" s="297" t="n"/>
      <c r="P538" s="297" t="n"/>
      <c r="Q538" s="297" t="n"/>
      <c r="R538" s="297" t="n"/>
      <c r="S538" s="297" t="n"/>
      <c r="T538" s="297" t="n"/>
      <c r="U538" s="297" t="n"/>
    </row>
    <row r="539">
      <c r="A539" s="174" t="n"/>
      <c r="B539" s="187" t="n"/>
      <c r="C539" s="107">
        <f>IF(B539="", "", VLOOKUP(B539, 'CLIENT DATA'!A:S, 19, FALSE))</f>
        <v/>
      </c>
      <c r="D539" s="107">
        <f t="array" ref="D539">IF(B539="", "", _xlfn.TEXTJOIN(", ", TRUE, IF('CLIENT DATA'!$A$2:$A$205=B539, 'CLIENT DATA'!$C$2:$F$205, "")))</f>
        <v/>
      </c>
      <c r="E539" s="52" t="n"/>
      <c r="F539" s="52" t="n"/>
      <c r="G539" s="52" t="n"/>
      <c r="H539" s="52" t="n"/>
      <c r="I539" s="52" t="n"/>
      <c r="J539" s="59" t="n"/>
      <c r="K539" s="59" t="n"/>
      <c r="L539" s="59" t="n"/>
      <c r="M539" s="59" t="n"/>
      <c r="N539" s="59" t="n"/>
      <c r="O539" s="297" t="n"/>
      <c r="P539" s="297" t="n"/>
      <c r="Q539" s="297" t="n"/>
      <c r="R539" s="297" t="n"/>
      <c r="S539" s="297" t="n"/>
      <c r="T539" s="297" t="n"/>
      <c r="U539" s="297" t="n"/>
    </row>
    <row r="540">
      <c r="A540" s="174" t="n"/>
      <c r="B540" s="299" t="n"/>
      <c r="C540" s="107">
        <f>IF(B540="", "", VLOOKUP(B540, 'CLIENT DATA'!A:S, 19, FALSE))</f>
        <v/>
      </c>
      <c r="D540" s="107">
        <f t="array" ref="D540">IF(B540="", "", _xlfn.TEXTJOIN(", ", TRUE, IF('CLIENT DATA'!$A$2:$A$205=B540, 'CLIENT DATA'!$C$2:$F$205, "")))</f>
        <v/>
      </c>
      <c r="E540" s="52" t="n"/>
      <c r="F540" s="52" t="n"/>
      <c r="G540" s="52" t="n"/>
      <c r="H540" s="52" t="n"/>
      <c r="I540" s="52" t="n"/>
      <c r="J540" s="59" t="n"/>
      <c r="K540" s="59" t="n"/>
      <c r="L540" s="59" t="n"/>
      <c r="M540" s="59" t="n"/>
      <c r="N540" s="59" t="n"/>
      <c r="O540" s="297" t="n"/>
      <c r="P540" s="297" t="n"/>
      <c r="Q540" s="297" t="n"/>
      <c r="R540" s="297" t="n"/>
      <c r="S540" s="297" t="n"/>
      <c r="T540" s="297" t="n"/>
      <c r="U540" s="297" t="n"/>
    </row>
    <row r="541">
      <c r="A541" s="174" t="n"/>
      <c r="B541" s="299" t="n"/>
      <c r="C541" s="107">
        <f>IF(B541="", "", VLOOKUP(B541, 'CLIENT DATA'!A:S, 19, FALSE))</f>
        <v/>
      </c>
      <c r="D541" s="107">
        <f t="array" ref="D541">IF(B541="", "", _xlfn.TEXTJOIN(", ", TRUE, IF('CLIENT DATA'!$A$2:$A$205=B541, 'CLIENT DATA'!$C$2:$F$205, "")))</f>
        <v/>
      </c>
      <c r="E541" s="52" t="n"/>
      <c r="F541" s="52" t="n"/>
      <c r="G541" s="52" t="n"/>
      <c r="H541" s="52" t="n"/>
      <c r="I541" s="52" t="n"/>
      <c r="J541" s="59" t="n"/>
      <c r="K541" s="59" t="n"/>
      <c r="L541" s="59" t="n"/>
      <c r="M541" s="59" t="n"/>
      <c r="N541" s="59" t="n"/>
      <c r="O541" s="297" t="n"/>
      <c r="P541" s="297" t="n"/>
      <c r="Q541" s="297" t="n"/>
      <c r="R541" s="297" t="n"/>
      <c r="S541" s="297" t="n"/>
      <c r="T541" s="297" t="n"/>
      <c r="U541" s="297" t="n"/>
    </row>
    <row r="542">
      <c r="A542" s="174" t="n"/>
      <c r="B542" s="299" t="n"/>
      <c r="C542" s="107">
        <f>IF(B542="", "", VLOOKUP(B542, 'CLIENT DATA'!A:S, 19, FALSE))</f>
        <v/>
      </c>
      <c r="D542" s="107">
        <f t="array" ref="D542">IF(B542="", "", _xlfn.TEXTJOIN(", ", TRUE, IF('CLIENT DATA'!$A$2:$A$205=B542, 'CLIENT DATA'!$C$2:$F$205, "")))</f>
        <v/>
      </c>
      <c r="E542" s="52" t="n"/>
      <c r="F542" s="52" t="n"/>
      <c r="G542" s="52" t="n"/>
      <c r="H542" s="52" t="n"/>
      <c r="I542" s="52" t="n"/>
      <c r="J542" s="59" t="n"/>
      <c r="K542" s="59" t="n"/>
      <c r="L542" s="59" t="n"/>
      <c r="M542" s="59" t="n"/>
      <c r="N542" s="59" t="n"/>
      <c r="O542" s="297" t="n"/>
      <c r="P542" s="297" t="n"/>
      <c r="Q542" s="297" t="n"/>
      <c r="R542" s="297" t="n"/>
      <c r="S542" s="297" t="n"/>
      <c r="T542" s="297" t="n"/>
      <c r="U542" s="297" t="n"/>
    </row>
    <row r="543">
      <c r="A543" s="174" t="n"/>
      <c r="B543" s="299" t="n"/>
      <c r="C543" s="107">
        <f>IF(B543="", "", VLOOKUP(B543, 'CLIENT DATA'!A:S, 19, FALSE))</f>
        <v/>
      </c>
      <c r="D543" s="107">
        <f t="array" ref="D543">IF(B543="", "", _xlfn.TEXTJOIN(", ", TRUE, IF('CLIENT DATA'!$A$2:$A$205=B543, 'CLIENT DATA'!$C$2:$F$205, "")))</f>
        <v/>
      </c>
      <c r="E543" s="52" t="n"/>
      <c r="F543" s="52" t="n"/>
      <c r="G543" s="52" t="n"/>
      <c r="H543" s="52" t="n"/>
      <c r="I543" s="52" t="n"/>
      <c r="J543" s="59" t="n"/>
      <c r="K543" s="59" t="n"/>
      <c r="L543" s="59" t="n"/>
      <c r="M543" s="59" t="n"/>
      <c r="N543" s="59" t="n"/>
      <c r="O543" s="297" t="n"/>
      <c r="P543" s="297" t="n"/>
      <c r="Q543" s="297" t="n"/>
      <c r="R543" s="297" t="n"/>
      <c r="S543" s="297" t="n"/>
      <c r="T543" s="297" t="n"/>
      <c r="U543" s="297" t="n"/>
    </row>
    <row r="544">
      <c r="A544" s="174" t="n"/>
      <c r="B544" s="299" t="n"/>
      <c r="C544" s="107">
        <f>IF(B544="", "", VLOOKUP(B544, 'CLIENT DATA'!A:S, 19, FALSE))</f>
        <v/>
      </c>
      <c r="D544" s="107">
        <f t="array" ref="D544">IF(B544="", "", _xlfn.TEXTJOIN(", ", TRUE, IF('CLIENT DATA'!$A$2:$A$205=B544, 'CLIENT DATA'!$C$2:$F$205, "")))</f>
        <v/>
      </c>
      <c r="E544" s="52" t="n"/>
      <c r="F544" s="52" t="n"/>
      <c r="G544" s="52" t="n"/>
      <c r="H544" s="52" t="n"/>
      <c r="I544" s="52" t="n"/>
      <c r="J544" s="59" t="n"/>
      <c r="K544" s="59" t="n"/>
      <c r="L544" s="59" t="n"/>
      <c r="M544" s="59" t="n"/>
      <c r="N544" s="59" t="n"/>
      <c r="O544" s="297" t="n"/>
      <c r="P544" s="297" t="n"/>
      <c r="Q544" s="297" t="n"/>
      <c r="R544" s="297" t="n"/>
      <c r="S544" s="297" t="n"/>
      <c r="T544" s="297" t="n"/>
      <c r="U544" s="297" t="n"/>
    </row>
    <row r="545">
      <c r="A545" s="174" t="n"/>
      <c r="B545" s="299" t="n"/>
      <c r="C545" s="107">
        <f>IF(B545="", "", VLOOKUP(B545, 'CLIENT DATA'!A:S, 19, FALSE))</f>
        <v/>
      </c>
      <c r="D545" s="107">
        <f t="array" ref="D545">IF(B545="", "", _xlfn.TEXTJOIN(", ", TRUE, IF('CLIENT DATA'!$A$2:$A$205=B545, 'CLIENT DATA'!$C$2:$F$205, "")))</f>
        <v/>
      </c>
      <c r="E545" s="52" t="n"/>
      <c r="F545" s="52" t="n"/>
      <c r="G545" s="52" t="n"/>
      <c r="H545" s="52" t="n"/>
      <c r="I545" s="52" t="n"/>
      <c r="J545" s="59" t="n"/>
      <c r="K545" s="59" t="n"/>
      <c r="L545" s="59" t="n"/>
      <c r="M545" s="59" t="n"/>
      <c r="N545" s="59" t="n"/>
      <c r="O545" s="297" t="n"/>
      <c r="P545" s="297" t="n"/>
      <c r="Q545" s="297" t="n"/>
      <c r="R545" s="297" t="n"/>
      <c r="S545" s="297" t="n"/>
      <c r="T545" s="297" t="n"/>
      <c r="U545" s="297" t="n"/>
    </row>
    <row r="546">
      <c r="A546" s="174" t="n"/>
      <c r="B546" s="299" t="n"/>
      <c r="C546" s="107">
        <f>IF(B546="", "", VLOOKUP(B546, 'CLIENT DATA'!A:S, 19, FALSE))</f>
        <v/>
      </c>
      <c r="D546" s="107">
        <f t="array" ref="D546">IF(B546="", "", _xlfn.TEXTJOIN(", ", TRUE, IF('CLIENT DATA'!$A$2:$A$205=B546, 'CLIENT DATA'!$C$2:$F$205, "")))</f>
        <v/>
      </c>
      <c r="E546" s="52" t="n"/>
      <c r="F546" s="52" t="n"/>
      <c r="G546" s="52" t="n"/>
      <c r="H546" s="52" t="n"/>
      <c r="I546" s="52" t="n"/>
      <c r="J546" s="59" t="n"/>
      <c r="K546" s="59" t="n"/>
      <c r="L546" s="59" t="n"/>
      <c r="M546" s="59" t="n"/>
      <c r="N546" s="59" t="n"/>
      <c r="O546" s="297" t="n"/>
      <c r="P546" s="297" t="n"/>
      <c r="Q546" s="297" t="n"/>
      <c r="R546" s="297" t="n"/>
      <c r="S546" s="297" t="n"/>
      <c r="T546" s="297" t="n"/>
      <c r="U546" s="297" t="n"/>
    </row>
    <row r="547">
      <c r="A547" s="174" t="n"/>
      <c r="B547" s="299" t="n"/>
      <c r="C547" s="107">
        <f>IF(B547="", "", VLOOKUP(B547, 'CLIENT DATA'!A:S, 19, FALSE))</f>
        <v/>
      </c>
      <c r="D547" s="107">
        <f t="array" ref="D547">IF(B547="", "", _xlfn.TEXTJOIN(", ", TRUE, IF('CLIENT DATA'!$A$2:$A$205=B547, 'CLIENT DATA'!$C$2:$F$205, "")))</f>
        <v/>
      </c>
      <c r="E547" s="52" t="n"/>
      <c r="F547" s="52" t="n"/>
      <c r="G547" s="52" t="n"/>
      <c r="H547" s="52" t="n"/>
      <c r="I547" s="52" t="n"/>
      <c r="J547" s="59" t="n"/>
      <c r="K547" s="59" t="n"/>
      <c r="L547" s="59" t="n"/>
      <c r="M547" s="59" t="n"/>
      <c r="N547" s="59" t="n"/>
      <c r="O547" s="297" t="n"/>
      <c r="P547" s="297" t="n"/>
      <c r="Q547" s="297" t="n"/>
      <c r="R547" s="297" t="n"/>
      <c r="S547" s="297" t="n"/>
      <c r="T547" s="297" t="n"/>
      <c r="U547" s="297" t="n"/>
    </row>
    <row r="548">
      <c r="A548" s="174" t="n"/>
      <c r="B548" s="299" t="n"/>
      <c r="C548" s="107">
        <f>IF(B548="", "", VLOOKUP(B548, 'CLIENT DATA'!A:S, 19, FALSE))</f>
        <v/>
      </c>
      <c r="D548" s="107">
        <f t="array" ref="D548">IF(B548="", "", _xlfn.TEXTJOIN(", ", TRUE, IF('CLIENT DATA'!$A$2:$A$205=B548, 'CLIENT DATA'!$C$2:$F$205, "")))</f>
        <v/>
      </c>
      <c r="E548" s="52" t="n"/>
      <c r="F548" s="52" t="n"/>
      <c r="G548" s="52" t="n"/>
      <c r="H548" s="52" t="n"/>
      <c r="I548" s="52" t="n"/>
      <c r="J548" s="59" t="n"/>
      <c r="K548" s="59" t="n"/>
      <c r="L548" s="59" t="n"/>
      <c r="M548" s="59" t="n"/>
      <c r="N548" s="59" t="n"/>
      <c r="O548" s="297" t="n"/>
      <c r="P548" s="297" t="n"/>
      <c r="Q548" s="297" t="n"/>
      <c r="R548" s="297" t="n"/>
      <c r="S548" s="297" t="n"/>
      <c r="T548" s="297" t="n"/>
      <c r="U548" s="297" t="n"/>
    </row>
    <row r="549">
      <c r="A549" s="174" t="n"/>
      <c r="B549" s="299" t="n"/>
      <c r="C549" s="107">
        <f>IF(B549="", "", VLOOKUP(B549, 'CLIENT DATA'!A:S, 19, FALSE))</f>
        <v/>
      </c>
      <c r="D549" s="107">
        <f t="array" ref="D549">IF(B549="", "", _xlfn.TEXTJOIN(", ", TRUE, IF('CLIENT DATA'!$A$2:$A$205=B549, 'CLIENT DATA'!$C$2:$F$205, "")))</f>
        <v/>
      </c>
      <c r="E549" s="52" t="n"/>
      <c r="F549" s="52" t="n"/>
      <c r="G549" s="52" t="n"/>
      <c r="H549" s="52" t="n"/>
      <c r="I549" s="52" t="n"/>
      <c r="J549" s="59" t="n"/>
      <c r="K549" s="59" t="n"/>
      <c r="L549" s="59" t="n"/>
      <c r="M549" s="59" t="n"/>
      <c r="N549" s="59" t="n"/>
      <c r="O549" s="297" t="n"/>
      <c r="P549" s="297" t="n"/>
      <c r="Q549" s="297" t="n"/>
      <c r="R549" s="297" t="n"/>
      <c r="S549" s="297" t="n"/>
      <c r="T549" s="297" t="n"/>
      <c r="U549" s="297" t="n"/>
    </row>
    <row r="550">
      <c r="A550" s="174" t="n"/>
      <c r="B550" s="299" t="n"/>
      <c r="C550" s="107">
        <f>IF(B550="", "", VLOOKUP(B550, 'CLIENT DATA'!A:S, 19, FALSE))</f>
        <v/>
      </c>
      <c r="D550" s="107">
        <f t="array" ref="D550">IF(B550="", "", _xlfn.TEXTJOIN(", ", TRUE, IF('CLIENT DATA'!$A$2:$A$205=B550, 'CLIENT DATA'!$C$2:$F$205, "")))</f>
        <v/>
      </c>
      <c r="E550" s="52" t="n"/>
      <c r="F550" s="52" t="n"/>
      <c r="G550" s="52" t="n"/>
      <c r="H550" s="52" t="n"/>
      <c r="I550" s="52" t="n"/>
      <c r="J550" s="59" t="n"/>
      <c r="K550" s="59" t="n"/>
      <c r="L550" s="59" t="n"/>
      <c r="M550" s="59" t="n"/>
      <c r="N550" s="59" t="n"/>
      <c r="O550" s="297" t="n"/>
      <c r="P550" s="297" t="n"/>
      <c r="Q550" s="297" t="n"/>
      <c r="R550" s="297" t="n"/>
      <c r="S550" s="297" t="n"/>
      <c r="T550" s="297" t="n"/>
      <c r="U550" s="297" t="n"/>
    </row>
    <row r="551">
      <c r="A551" s="174" t="n"/>
      <c r="B551" s="299" t="n"/>
      <c r="C551" s="107">
        <f>IF(B551="", "", VLOOKUP(B551, 'CLIENT DATA'!A:S, 19, FALSE))</f>
        <v/>
      </c>
      <c r="D551" s="107">
        <f t="array" ref="D551">IF(B551="", "", _xlfn.TEXTJOIN(", ", TRUE, IF('CLIENT DATA'!$A$2:$A$205=B551, 'CLIENT DATA'!$C$2:$F$205, "")))</f>
        <v/>
      </c>
      <c r="E551" s="52" t="n"/>
      <c r="F551" s="52" t="n"/>
      <c r="G551" s="52" t="n"/>
      <c r="H551" s="52" t="n"/>
      <c r="I551" s="52" t="n"/>
      <c r="J551" s="59" t="n"/>
      <c r="K551" s="59" t="n"/>
      <c r="L551" s="59" t="n"/>
      <c r="M551" s="59" t="n"/>
      <c r="N551" s="59" t="n"/>
      <c r="O551" s="297" t="n"/>
      <c r="P551" s="297" t="n"/>
      <c r="Q551" s="297" t="n"/>
      <c r="R551" s="297" t="n"/>
      <c r="S551" s="297" t="n"/>
      <c r="T551" s="297" t="n"/>
      <c r="U551" s="297" t="n"/>
    </row>
    <row r="552">
      <c r="A552" s="174" t="n"/>
      <c r="B552" s="299" t="n"/>
      <c r="C552" s="107">
        <f>IF(B552="", "", VLOOKUP(B552, 'CLIENT DATA'!A:S, 19, FALSE))</f>
        <v/>
      </c>
      <c r="D552" s="107">
        <f t="array" ref="D552">IF(B552="", "", _xlfn.TEXTJOIN(", ", TRUE, IF('CLIENT DATA'!$A$2:$A$205=B552, 'CLIENT DATA'!$C$2:$F$205, "")))</f>
        <v/>
      </c>
      <c r="E552" s="52" t="n"/>
      <c r="F552" s="52" t="n"/>
      <c r="G552" s="52" t="n"/>
      <c r="H552" s="52" t="n"/>
      <c r="I552" s="52" t="n"/>
      <c r="J552" s="59" t="n"/>
      <c r="K552" s="59" t="n"/>
      <c r="L552" s="59" t="n"/>
      <c r="M552" s="59" t="n"/>
      <c r="N552" s="59" t="n"/>
      <c r="O552" s="297" t="n"/>
      <c r="P552" s="297" t="n"/>
      <c r="Q552" s="297" t="n"/>
      <c r="R552" s="297" t="n"/>
      <c r="S552" s="297" t="n"/>
      <c r="T552" s="297" t="n"/>
      <c r="U552" s="297" t="n"/>
    </row>
    <row r="553">
      <c r="A553" s="174" t="n"/>
      <c r="B553" s="187" t="n"/>
      <c r="C553" s="107">
        <f>IF(B553="", "", VLOOKUP(B553, 'CLIENT DATA'!A:S, 19, FALSE))</f>
        <v/>
      </c>
      <c r="D553" s="107">
        <f t="array" ref="D553">IF(B553="", "", _xlfn.TEXTJOIN(", ", TRUE, IF('CLIENT DATA'!$A$2:$A$205=B553, 'CLIENT DATA'!$C$2:$F$205, "")))</f>
        <v/>
      </c>
      <c r="E553" s="52" t="n"/>
      <c r="F553" s="52" t="n"/>
      <c r="G553" s="52" t="n"/>
      <c r="H553" s="52" t="n"/>
      <c r="I553" s="52" t="n"/>
      <c r="J553" s="59" t="n"/>
      <c r="K553" s="59" t="n"/>
      <c r="L553" s="59" t="n"/>
      <c r="M553" s="59" t="n"/>
      <c r="N553" s="59" t="n"/>
      <c r="O553" s="297" t="n"/>
      <c r="P553" s="297" t="n"/>
      <c r="Q553" s="297" t="n"/>
      <c r="R553" s="297" t="n"/>
      <c r="S553" s="297" t="n"/>
      <c r="T553" s="297" t="n"/>
      <c r="U553" s="297" t="n"/>
    </row>
    <row r="554">
      <c r="A554" s="174" t="n"/>
      <c r="B554" s="187" t="n"/>
      <c r="C554" s="107">
        <f>IF(B554="", "", VLOOKUP(B554, 'CLIENT DATA'!A:S, 19, FALSE))</f>
        <v/>
      </c>
      <c r="D554" s="107">
        <f t="array" ref="D554">IF(B554="", "", _xlfn.TEXTJOIN(", ", TRUE, IF('CLIENT DATA'!$A$2:$A$205=B554, 'CLIENT DATA'!$C$2:$F$205, "")))</f>
        <v/>
      </c>
      <c r="E554" s="52" t="n"/>
      <c r="F554" s="52" t="n"/>
      <c r="G554" s="52" t="n"/>
      <c r="H554" s="52" t="n"/>
      <c r="I554" s="52" t="n"/>
      <c r="J554" s="59" t="n"/>
      <c r="K554" s="59" t="n"/>
      <c r="L554" s="59" t="n"/>
      <c r="M554" s="59" t="n"/>
      <c r="N554" s="59" t="n"/>
      <c r="O554" s="297" t="n"/>
      <c r="P554" s="297" t="n"/>
      <c r="Q554" s="297" t="n"/>
      <c r="R554" s="297" t="n"/>
      <c r="S554" s="297" t="n"/>
      <c r="T554" s="297" t="n"/>
      <c r="U554" s="297" t="n"/>
    </row>
    <row r="555">
      <c r="A555" s="174" t="n"/>
      <c r="B555" s="187" t="n"/>
      <c r="C555" s="107">
        <f>IF(B555="", "", VLOOKUP(B555, 'CLIENT DATA'!A:S, 19, FALSE))</f>
        <v/>
      </c>
      <c r="D555" s="107">
        <f t="array" ref="D555">IF(B555="", "", _xlfn.TEXTJOIN(", ", TRUE, IF('CLIENT DATA'!$A$2:$A$205=B555, 'CLIENT DATA'!$C$2:$F$205, "")))</f>
        <v/>
      </c>
      <c r="E555" s="52" t="n"/>
      <c r="F555" s="52" t="n"/>
      <c r="G555" s="52" t="n"/>
      <c r="H555" s="52" t="n"/>
      <c r="I555" s="52" t="n"/>
      <c r="J555" s="59" t="n"/>
      <c r="K555" s="59" t="n"/>
      <c r="L555" s="59" t="n"/>
      <c r="M555" s="59" t="n"/>
      <c r="N555" s="59" t="n"/>
      <c r="O555" s="297" t="n"/>
      <c r="P555" s="297" t="n"/>
      <c r="Q555" s="297" t="n"/>
      <c r="R555" s="297" t="n"/>
      <c r="S555" s="297" t="n"/>
      <c r="T555" s="297" t="n"/>
      <c r="U555" s="297" t="n"/>
    </row>
    <row r="556">
      <c r="A556" s="174" t="n"/>
      <c r="B556" s="187" t="n"/>
      <c r="C556" s="107">
        <f>IF(B556="", "", VLOOKUP(B556, 'CLIENT DATA'!A:S, 19, FALSE))</f>
        <v/>
      </c>
      <c r="D556" s="107">
        <f t="array" ref="D556">IF(B556="", "", _xlfn.TEXTJOIN(", ", TRUE, IF('CLIENT DATA'!$A$2:$A$205=B556, 'CLIENT DATA'!$C$2:$F$205, "")))</f>
        <v/>
      </c>
      <c r="E556" s="52" t="n"/>
      <c r="F556" s="52" t="n"/>
      <c r="G556" s="52" t="n"/>
      <c r="H556" s="52" t="n"/>
      <c r="I556" s="52" t="n"/>
      <c r="J556" s="59" t="n"/>
      <c r="K556" s="59" t="n"/>
      <c r="L556" s="59" t="n"/>
      <c r="M556" s="59" t="n"/>
      <c r="N556" s="59" t="n"/>
      <c r="O556" s="297" t="n"/>
      <c r="P556" s="297" t="n"/>
      <c r="Q556" s="297" t="n"/>
      <c r="R556" s="297" t="n"/>
      <c r="S556" s="297" t="n"/>
      <c r="T556" s="297" t="n"/>
      <c r="U556" s="297" t="n"/>
    </row>
    <row r="557">
      <c r="A557" s="174" t="n"/>
      <c r="B557" s="187" t="n"/>
      <c r="C557" s="107">
        <f>IF(B557="", "", VLOOKUP(B557, 'CLIENT DATA'!A:S, 19, FALSE))</f>
        <v/>
      </c>
      <c r="D557" s="107">
        <f t="array" ref="D557">IF(B557="", "", _xlfn.TEXTJOIN(", ", TRUE, IF('CLIENT DATA'!$A$2:$A$205=B557, 'CLIENT DATA'!$C$2:$F$205, "")))</f>
        <v/>
      </c>
      <c r="E557" s="52" t="n"/>
      <c r="F557" s="52" t="n"/>
      <c r="G557" s="52" t="n"/>
      <c r="H557" s="52" t="n"/>
      <c r="I557" s="52" t="n"/>
      <c r="J557" s="59" t="n"/>
      <c r="K557" s="59" t="n"/>
      <c r="L557" s="59" t="n"/>
      <c r="M557" s="59" t="n"/>
      <c r="N557" s="59" t="n"/>
      <c r="O557" s="297" t="n"/>
      <c r="P557" s="297" t="n"/>
      <c r="Q557" s="297" t="n"/>
      <c r="R557" s="297" t="n"/>
      <c r="S557" s="297" t="n"/>
      <c r="T557" s="297" t="n"/>
      <c r="U557" s="297" t="n"/>
    </row>
    <row r="558">
      <c r="A558" s="174" t="n"/>
      <c r="B558" s="187" t="n"/>
      <c r="C558" s="107">
        <f>IF(B558="", "", VLOOKUP(B558, 'CLIENT DATA'!A:S, 19, FALSE))</f>
        <v/>
      </c>
      <c r="D558" s="107">
        <f t="array" ref="D558">IF(B558="", "", _xlfn.TEXTJOIN(", ", TRUE, IF('CLIENT DATA'!$A$2:$A$205=B558, 'CLIENT DATA'!$C$2:$F$205, "")))</f>
        <v/>
      </c>
      <c r="E558" s="52" t="n"/>
      <c r="F558" s="52" t="n"/>
      <c r="G558" s="52" t="n"/>
      <c r="H558" s="52" t="n"/>
      <c r="I558" s="52" t="n"/>
      <c r="J558" s="59" t="n"/>
      <c r="K558" s="59" t="n"/>
      <c r="L558" s="59" t="n"/>
      <c r="M558" s="59" t="n"/>
      <c r="N558" s="59" t="n"/>
      <c r="O558" s="297" t="n"/>
      <c r="P558" s="297" t="n"/>
      <c r="Q558" s="297" t="n"/>
      <c r="R558" s="297" t="n"/>
      <c r="S558" s="297" t="n"/>
      <c r="T558" s="297" t="n"/>
      <c r="U558" s="297" t="n"/>
    </row>
    <row r="559">
      <c r="A559" s="174" t="n"/>
      <c r="B559" s="187" t="n"/>
      <c r="C559" s="107">
        <f>IF(B559="", "", VLOOKUP(B559, 'CLIENT DATA'!A:S, 19, FALSE))</f>
        <v/>
      </c>
      <c r="D559" s="107">
        <f t="array" ref="D559">IF(B559="", "", _xlfn.TEXTJOIN(", ", TRUE, IF('CLIENT DATA'!$A$2:$A$205=B559, 'CLIENT DATA'!$C$2:$F$205, "")))</f>
        <v/>
      </c>
      <c r="E559" s="52" t="n"/>
      <c r="F559" s="52" t="n"/>
      <c r="G559" s="52" t="n"/>
      <c r="H559" s="52" t="n"/>
      <c r="I559" s="52" t="n"/>
      <c r="J559" s="59" t="n"/>
      <c r="K559" s="59" t="n"/>
      <c r="L559" s="59" t="n"/>
      <c r="M559" s="59" t="n"/>
      <c r="N559" s="59" t="n"/>
      <c r="O559" s="297" t="n"/>
      <c r="P559" s="297" t="n"/>
      <c r="Q559" s="297" t="n"/>
      <c r="R559" s="297" t="n"/>
      <c r="S559" s="297" t="n"/>
      <c r="T559" s="297" t="n"/>
      <c r="U559" s="297" t="n"/>
    </row>
    <row r="560">
      <c r="A560" s="174" t="n"/>
      <c r="B560" s="187" t="n"/>
      <c r="C560" s="107">
        <f>IF(B560="", "", VLOOKUP(B560, 'CLIENT DATA'!A:S, 19, FALSE))</f>
        <v/>
      </c>
      <c r="D560" s="107">
        <f t="array" ref="D560">IF(B560="", "", _xlfn.TEXTJOIN(", ", TRUE, IF('CLIENT DATA'!$A$2:$A$205=B560, 'CLIENT DATA'!$C$2:$F$205, "")))</f>
        <v/>
      </c>
      <c r="E560" s="52" t="n"/>
      <c r="F560" s="52" t="n"/>
      <c r="G560" s="52" t="n"/>
      <c r="H560" s="52" t="n"/>
      <c r="I560" s="52" t="n"/>
      <c r="J560" s="59" t="n"/>
      <c r="K560" s="59" t="n"/>
      <c r="L560" s="59" t="n"/>
      <c r="M560" s="59" t="n"/>
      <c r="N560" s="59" t="n"/>
      <c r="O560" s="297" t="n"/>
      <c r="P560" s="297" t="n"/>
      <c r="Q560" s="297" t="n"/>
      <c r="R560" s="297" t="n"/>
      <c r="S560" s="297" t="n"/>
      <c r="T560" s="297" t="n"/>
      <c r="U560" s="297" t="n"/>
    </row>
    <row r="561">
      <c r="A561" s="174" t="n"/>
      <c r="B561" s="299" t="n"/>
      <c r="C561" s="107">
        <f>IF(B561="", "", VLOOKUP(B561, 'CLIENT DATA'!A:S, 19, FALSE))</f>
        <v/>
      </c>
      <c r="D561" s="107">
        <f t="array" ref="D561">IF(B561="", "", _xlfn.TEXTJOIN(", ", TRUE, IF('CLIENT DATA'!$A$2:$A$205=B561, 'CLIENT DATA'!$C$2:$F$205, "")))</f>
        <v/>
      </c>
      <c r="E561" s="52" t="n"/>
      <c r="F561" s="52" t="n"/>
      <c r="G561" s="52" t="n"/>
      <c r="H561" s="52" t="n"/>
      <c r="I561" s="52" t="n"/>
      <c r="J561" s="59" t="n"/>
      <c r="K561" s="59" t="n"/>
      <c r="L561" s="59" t="n"/>
      <c r="M561" s="59" t="n"/>
      <c r="N561" s="59" t="n"/>
      <c r="O561" s="297" t="n"/>
      <c r="P561" s="297" t="n"/>
      <c r="Q561" s="297" t="n"/>
      <c r="R561" s="297" t="n"/>
      <c r="S561" s="297" t="n"/>
      <c r="T561" s="297" t="n"/>
      <c r="U561" s="297" t="n"/>
    </row>
    <row r="562">
      <c r="A562" s="174" t="n"/>
      <c r="B562" s="299" t="n"/>
      <c r="C562" s="107">
        <f>IF(B562="", "", VLOOKUP(B562, 'CLIENT DATA'!A:S, 19, FALSE))</f>
        <v/>
      </c>
      <c r="D562" s="107">
        <f t="array" ref="D562">IF(B562="", "", _xlfn.TEXTJOIN(", ", TRUE, IF('CLIENT DATA'!$A$2:$A$205=B562, 'CLIENT DATA'!$C$2:$F$205, "")))</f>
        <v/>
      </c>
      <c r="E562" s="52" t="n"/>
      <c r="F562" s="52" t="n"/>
      <c r="G562" s="52" t="n"/>
      <c r="H562" s="52" t="n"/>
      <c r="I562" s="52" t="n"/>
      <c r="J562" s="59" t="n"/>
      <c r="K562" s="59" t="n"/>
      <c r="L562" s="59" t="n"/>
      <c r="M562" s="59" t="n"/>
      <c r="N562" s="59" t="n"/>
      <c r="O562" s="297" t="n"/>
      <c r="P562" s="297" t="n"/>
      <c r="Q562" s="297" t="n"/>
      <c r="R562" s="297" t="n"/>
      <c r="S562" s="297" t="n"/>
      <c r="T562" s="297" t="n"/>
      <c r="U562" s="297" t="n"/>
    </row>
    <row r="563">
      <c r="A563" s="174" t="n"/>
      <c r="B563" s="299" t="n"/>
      <c r="C563" s="107">
        <f>IF(B563="", "", VLOOKUP(B563, 'CLIENT DATA'!A:S, 19, FALSE))</f>
        <v/>
      </c>
      <c r="D563" s="107">
        <f t="array" ref="D563">IF(B563="", "", _xlfn.TEXTJOIN(", ", TRUE, IF('CLIENT DATA'!$A$2:$A$205=B563, 'CLIENT DATA'!$C$2:$F$205, "")))</f>
        <v/>
      </c>
      <c r="E563" s="52" t="n"/>
      <c r="F563" s="52" t="n"/>
      <c r="G563" s="52" t="n"/>
      <c r="H563" s="52" t="n"/>
      <c r="I563" s="52" t="n"/>
      <c r="J563" s="59" t="n"/>
      <c r="K563" s="59" t="n"/>
      <c r="L563" s="59" t="n"/>
      <c r="M563" s="59" t="n"/>
      <c r="N563" s="59" t="n"/>
      <c r="O563" s="297" t="n"/>
      <c r="P563" s="297" t="n"/>
      <c r="Q563" s="297" t="n"/>
      <c r="R563" s="297" t="n"/>
      <c r="S563" s="297" t="n"/>
      <c r="T563" s="297" t="n"/>
      <c r="U563" s="297" t="n"/>
    </row>
    <row r="564">
      <c r="A564" s="174" t="n"/>
      <c r="B564" s="299" t="n"/>
      <c r="C564" s="107">
        <f>IF(B564="", "", VLOOKUP(B564, 'CLIENT DATA'!A:S, 19, FALSE))</f>
        <v/>
      </c>
      <c r="D564" s="107">
        <f t="array" ref="D564">IF(B564="", "", _xlfn.TEXTJOIN(", ", TRUE, IF('CLIENT DATA'!$A$2:$A$205=B564, 'CLIENT DATA'!$C$2:$F$205, "")))</f>
        <v/>
      </c>
      <c r="E564" s="52" t="n"/>
      <c r="F564" s="52" t="n"/>
      <c r="G564" s="52" t="n"/>
      <c r="H564" s="52" t="n"/>
      <c r="I564" s="52" t="n"/>
      <c r="J564" s="59" t="n"/>
      <c r="K564" s="59" t="n"/>
      <c r="L564" s="59" t="n"/>
      <c r="M564" s="59" t="n"/>
      <c r="N564" s="59" t="n"/>
      <c r="O564" s="297" t="n"/>
      <c r="P564" s="297" t="n"/>
      <c r="Q564" s="297" t="n"/>
      <c r="R564" s="297" t="n"/>
      <c r="S564" s="297" t="n"/>
      <c r="T564" s="297" t="n"/>
      <c r="U564" s="297" t="n"/>
    </row>
    <row r="565">
      <c r="A565" s="174" t="n"/>
      <c r="B565" s="299" t="n"/>
      <c r="C565" s="107">
        <f>IF(B565="", "", VLOOKUP(B565, 'CLIENT DATA'!A:S, 19, FALSE))</f>
        <v/>
      </c>
      <c r="D565" s="107">
        <f t="array" ref="D565">IF(B565="", "", _xlfn.TEXTJOIN(", ", TRUE, IF('CLIENT DATA'!$A$2:$A$205=B565, 'CLIENT DATA'!$C$2:$F$205, "")))</f>
        <v/>
      </c>
      <c r="E565" s="52" t="n"/>
      <c r="F565" s="52" t="n"/>
      <c r="G565" s="52" t="n"/>
      <c r="H565" s="52" t="n"/>
      <c r="I565" s="52" t="n"/>
      <c r="J565" s="59" t="n"/>
      <c r="K565" s="59" t="n"/>
      <c r="L565" s="59" t="n"/>
      <c r="M565" s="59" t="n"/>
      <c r="N565" s="59" t="n"/>
      <c r="O565" s="297" t="n"/>
      <c r="P565" s="297" t="n"/>
      <c r="Q565" s="297" t="n"/>
      <c r="R565" s="297" t="n"/>
      <c r="S565" s="297" t="n"/>
      <c r="T565" s="297" t="n"/>
      <c r="U565" s="297" t="n"/>
    </row>
    <row r="566">
      <c r="A566" s="174" t="n"/>
      <c r="B566" s="299" t="n"/>
      <c r="C566" s="107">
        <f>IF(B566="", "", VLOOKUP(B566, 'CLIENT DATA'!A:S, 19, FALSE))</f>
        <v/>
      </c>
      <c r="D566" s="107">
        <f t="array" ref="D566">IF(B566="", "", _xlfn.TEXTJOIN(", ", TRUE, IF('CLIENT DATA'!$A$2:$A$205=B566, 'CLIENT DATA'!$C$2:$F$205, "")))</f>
        <v/>
      </c>
      <c r="E566" s="52" t="n"/>
      <c r="F566" s="52" t="n"/>
      <c r="G566" s="52" t="n"/>
      <c r="H566" s="52" t="n"/>
      <c r="I566" s="52" t="n"/>
      <c r="J566" s="59" t="n"/>
      <c r="K566" s="59" t="n"/>
      <c r="L566" s="59" t="n"/>
      <c r="M566" s="59" t="n"/>
      <c r="N566" s="59" t="n"/>
      <c r="O566" s="297" t="n"/>
      <c r="P566" s="297" t="n"/>
      <c r="Q566" s="297" t="n"/>
      <c r="R566" s="297" t="n"/>
      <c r="S566" s="297" t="n"/>
      <c r="T566" s="297" t="n"/>
      <c r="U566" s="297" t="n"/>
    </row>
    <row r="567">
      <c r="A567" s="174" t="n"/>
      <c r="B567" s="299" t="n"/>
      <c r="C567" s="107">
        <f>IF(B567="", "", VLOOKUP(B567, 'CLIENT DATA'!A:S, 19, FALSE))</f>
        <v/>
      </c>
      <c r="D567" s="107">
        <f t="array" ref="D567">IF(B567="", "", _xlfn.TEXTJOIN(", ", TRUE, IF('CLIENT DATA'!$A$2:$A$205=B567, 'CLIENT DATA'!$C$2:$F$205, "")))</f>
        <v/>
      </c>
      <c r="E567" s="52" t="n"/>
      <c r="F567" s="52" t="n"/>
      <c r="G567" s="52" t="n"/>
      <c r="H567" s="52" t="n"/>
      <c r="I567" s="52" t="n"/>
      <c r="J567" s="59" t="n"/>
      <c r="K567" s="59" t="n"/>
      <c r="L567" s="59" t="n"/>
      <c r="M567" s="59" t="n"/>
      <c r="N567" s="59" t="n"/>
      <c r="O567" s="297" t="n"/>
      <c r="P567" s="297" t="n"/>
      <c r="Q567" s="297" t="n"/>
      <c r="R567" s="297" t="n"/>
      <c r="S567" s="297" t="n"/>
      <c r="T567" s="297" t="n"/>
      <c r="U567" s="297" t="n"/>
    </row>
    <row r="568">
      <c r="A568" s="174" t="n"/>
      <c r="B568" s="299" t="n"/>
      <c r="C568" s="107">
        <f>IF(B568="", "", VLOOKUP(B568, 'CLIENT DATA'!A:S, 19, FALSE))</f>
        <v/>
      </c>
      <c r="D568" s="107">
        <f t="array" ref="D568">IF(B568="", "", _xlfn.TEXTJOIN(", ", TRUE, IF('CLIENT DATA'!$A$2:$A$205=B568, 'CLIENT DATA'!$C$2:$F$205, "")))</f>
        <v/>
      </c>
      <c r="E568" s="52" t="n"/>
      <c r="F568" s="52" t="n"/>
      <c r="G568" s="52" t="n"/>
      <c r="H568" s="52" t="n"/>
      <c r="I568" s="52" t="n"/>
      <c r="J568" s="59" t="n"/>
      <c r="K568" s="59" t="n"/>
      <c r="L568" s="59" t="n"/>
      <c r="M568" s="59" t="n"/>
      <c r="N568" s="59" t="n"/>
      <c r="O568" s="297" t="n"/>
      <c r="P568" s="297" t="n"/>
      <c r="Q568" s="297" t="n"/>
      <c r="R568" s="297" t="n"/>
      <c r="S568" s="297" t="n"/>
      <c r="T568" s="297" t="n"/>
      <c r="U568" s="297" t="n"/>
    </row>
    <row r="569">
      <c r="A569" s="174" t="n"/>
      <c r="B569" s="299" t="n"/>
      <c r="C569" s="107">
        <f>IF(B569="", "", VLOOKUP(B569, 'CLIENT DATA'!A:S, 19, FALSE))</f>
        <v/>
      </c>
      <c r="D569" s="107">
        <f t="array" ref="D569">IF(B569="", "", _xlfn.TEXTJOIN(", ", TRUE, IF('CLIENT DATA'!$A$2:$A$205=B569, 'CLIENT DATA'!$C$2:$F$205, "")))</f>
        <v/>
      </c>
      <c r="E569" s="52" t="n"/>
      <c r="F569" s="52" t="n"/>
      <c r="G569" s="52" t="n"/>
      <c r="H569" s="52" t="n"/>
      <c r="I569" s="52" t="n"/>
      <c r="J569" s="59" t="n"/>
      <c r="K569" s="59" t="n"/>
      <c r="L569" s="59" t="n"/>
      <c r="M569" s="59" t="n"/>
      <c r="N569" s="59" t="n"/>
      <c r="O569" s="297" t="n"/>
      <c r="P569" s="297" t="n"/>
      <c r="Q569" s="297" t="n"/>
      <c r="R569" s="297" t="n"/>
      <c r="S569" s="297" t="n"/>
      <c r="T569" s="297" t="n"/>
      <c r="U569" s="297" t="n"/>
    </row>
    <row r="570">
      <c r="A570" s="174" t="n"/>
      <c r="B570" s="299" t="n"/>
      <c r="C570" s="107">
        <f>IF(B570="", "", VLOOKUP(B570, 'CLIENT DATA'!A:S, 19, FALSE))</f>
        <v/>
      </c>
      <c r="D570" s="107">
        <f t="array" ref="D570">IF(B570="", "", _xlfn.TEXTJOIN(", ", TRUE, IF('CLIENT DATA'!$A$2:$A$205=B570, 'CLIENT DATA'!$C$2:$F$205, "")))</f>
        <v/>
      </c>
      <c r="E570" s="52" t="n"/>
      <c r="F570" s="52" t="n"/>
      <c r="G570" s="52" t="n"/>
      <c r="H570" s="52" t="n"/>
      <c r="I570" s="52" t="n"/>
      <c r="J570" s="59" t="n"/>
      <c r="K570" s="59" t="n"/>
      <c r="L570" s="59" t="n"/>
      <c r="M570" s="59" t="n"/>
      <c r="N570" s="59" t="n"/>
      <c r="O570" s="297" t="n"/>
      <c r="P570" s="297" t="n"/>
      <c r="Q570" s="297" t="n"/>
      <c r="R570" s="297" t="n"/>
      <c r="S570" s="297" t="n"/>
      <c r="T570" s="297" t="n"/>
      <c r="U570" s="297" t="n"/>
    </row>
    <row r="571">
      <c r="A571" s="174" t="n"/>
      <c r="B571" s="299" t="n"/>
      <c r="C571" s="107">
        <f>IF(B571="", "", VLOOKUP(B571, 'CLIENT DATA'!A:S, 19, FALSE))</f>
        <v/>
      </c>
      <c r="D571" s="107">
        <f t="array" ref="D571">IF(B571="", "", _xlfn.TEXTJOIN(", ", TRUE, IF('CLIENT DATA'!$A$2:$A$205=B571, 'CLIENT DATA'!$C$2:$F$205, "")))</f>
        <v/>
      </c>
      <c r="E571" s="52" t="n"/>
      <c r="F571" s="52" t="n"/>
      <c r="G571" s="52" t="n"/>
      <c r="H571" s="52" t="n"/>
      <c r="I571" s="52" t="n"/>
      <c r="J571" s="59" t="n"/>
      <c r="K571" s="59" t="n"/>
      <c r="L571" s="59" t="n"/>
      <c r="M571" s="59" t="n"/>
      <c r="N571" s="59" t="n"/>
      <c r="O571" s="297" t="n"/>
      <c r="P571" s="297" t="n"/>
      <c r="Q571" s="297" t="n"/>
      <c r="R571" s="297" t="n"/>
      <c r="S571" s="297" t="n"/>
      <c r="T571" s="297" t="n"/>
      <c r="U571" s="297" t="n"/>
    </row>
    <row r="572">
      <c r="A572" s="174" t="n"/>
      <c r="B572" s="299" t="n"/>
      <c r="C572" s="107">
        <f>IF(B572="", "", VLOOKUP(B572, 'CLIENT DATA'!A:S, 19, FALSE))</f>
        <v/>
      </c>
      <c r="D572" s="107">
        <f t="array" ref="D572">IF(B572="", "", _xlfn.TEXTJOIN(", ", TRUE, IF('CLIENT DATA'!$A$2:$A$205=B572, 'CLIENT DATA'!$C$2:$F$205, "")))</f>
        <v/>
      </c>
      <c r="E572" s="52" t="n"/>
      <c r="F572" s="52" t="n"/>
      <c r="G572" s="52" t="n"/>
      <c r="H572" s="52" t="n"/>
      <c r="I572" s="52" t="n"/>
      <c r="J572" s="59" t="n"/>
      <c r="K572" s="59" t="n"/>
      <c r="L572" s="59" t="n"/>
      <c r="M572" s="59" t="n"/>
      <c r="N572" s="59" t="n"/>
      <c r="O572" s="297" t="n"/>
      <c r="P572" s="297" t="n"/>
      <c r="Q572" s="297" t="n"/>
      <c r="R572" s="297" t="n"/>
      <c r="S572" s="297" t="n"/>
      <c r="T572" s="297" t="n"/>
      <c r="U572" s="297" t="n"/>
    </row>
    <row r="573">
      <c r="A573" s="174" t="n"/>
      <c r="B573" s="300" t="n"/>
      <c r="C573" s="182">
        <f>IF(B573="", "", VLOOKUP(B573, 'CLIENT DATA'!A:S, 19, FALSE))</f>
        <v/>
      </c>
      <c r="D573" s="182">
        <f t="array" ref="D573">IF(B573="", "", _xlfn.TEXTJOIN(", ", TRUE, IF('CLIENT DATA'!$A$2:$A$205=B573, 'CLIENT DATA'!$C$2:$F$205, "")))</f>
        <v/>
      </c>
      <c r="E573" s="183" t="n"/>
      <c r="F573" s="183" t="n"/>
      <c r="G573" s="183" t="n"/>
      <c r="H573" s="183" t="n"/>
      <c r="I573" s="183" t="n"/>
      <c r="J573" s="184" t="n"/>
      <c r="K573" s="184" t="n"/>
      <c r="L573" s="184" t="n"/>
      <c r="M573" s="184" t="n"/>
      <c r="N573" s="184" t="n"/>
      <c r="O573" s="301" t="n"/>
      <c r="P573" s="301" t="n"/>
      <c r="Q573" s="301" t="n"/>
      <c r="R573" s="301" t="n"/>
      <c r="S573" s="301" t="n"/>
      <c r="T573" s="301" t="n"/>
      <c r="U573" s="301" t="n"/>
    </row>
    <row r="574">
      <c r="A574" s="174" t="n"/>
      <c r="B574" s="187" t="n"/>
      <c r="C574" s="107">
        <f>IF(B574="", "", VLOOKUP(B574, 'CLIENT DATA'!A:S, 19, FALSE))</f>
        <v/>
      </c>
      <c r="D574" s="107">
        <f t="array" ref="D574">IF(B574="", "", _xlfn.TEXTJOIN(", ", TRUE, IF('CLIENT DATA'!$A$2:$A$205=B574, 'CLIENT DATA'!$C$2:$F$205, "")))</f>
        <v/>
      </c>
      <c r="E574" s="52" t="n"/>
      <c r="F574" s="52" t="n"/>
      <c r="G574" s="52" t="n"/>
      <c r="H574" s="52" t="n"/>
      <c r="I574" s="52" t="n"/>
      <c r="J574" s="59" t="n"/>
      <c r="K574" s="59" t="n"/>
      <c r="L574" s="59" t="n"/>
      <c r="M574" s="59" t="n"/>
      <c r="N574" s="59" t="n"/>
      <c r="O574" s="297" t="n"/>
      <c r="P574" s="297" t="n"/>
      <c r="Q574" s="297" t="n"/>
      <c r="R574" s="297" t="n"/>
      <c r="S574" s="297" t="n"/>
      <c r="T574" s="297" t="n"/>
      <c r="U574" s="297" t="n"/>
    </row>
    <row r="575">
      <c r="A575" s="174" t="n"/>
      <c r="B575" s="187" t="n"/>
      <c r="C575" s="107">
        <f>IF(B575="", "", VLOOKUP(B575, 'CLIENT DATA'!A:S, 19, FALSE))</f>
        <v/>
      </c>
      <c r="D575" s="107">
        <f t="array" ref="D575">IF(B575="", "", _xlfn.TEXTJOIN(", ", TRUE, IF('CLIENT DATA'!$A$2:$A$205=B575, 'CLIENT DATA'!$C$2:$F$205, "")))</f>
        <v/>
      </c>
      <c r="E575" s="52" t="n"/>
      <c r="F575" s="52" t="n"/>
      <c r="G575" s="52" t="n"/>
      <c r="H575" s="52" t="n"/>
      <c r="I575" s="52" t="n"/>
      <c r="J575" s="59" t="n"/>
      <c r="K575" s="59" t="n"/>
      <c r="L575" s="59" t="n"/>
      <c r="M575" s="59" t="n"/>
      <c r="N575" s="59" t="n"/>
      <c r="O575" s="297" t="n"/>
      <c r="P575" s="297" t="n"/>
      <c r="Q575" s="297" t="n"/>
      <c r="R575" s="297" t="n"/>
      <c r="S575" s="297" t="n"/>
      <c r="T575" s="297" t="n"/>
      <c r="U575" s="297" t="n"/>
    </row>
    <row r="576">
      <c r="A576" s="174" t="n"/>
      <c r="B576" s="187" t="n"/>
      <c r="C576" s="107">
        <f>IF(B576="", "", VLOOKUP(B576, 'CLIENT DATA'!A:S, 19, FALSE))</f>
        <v/>
      </c>
      <c r="D576" s="107">
        <f t="array" ref="D576">IF(B576="", "", _xlfn.TEXTJOIN(", ", TRUE, IF('CLIENT DATA'!$A$2:$A$205=B576, 'CLIENT DATA'!$C$2:$F$205, "")))</f>
        <v/>
      </c>
      <c r="E576" s="52" t="n"/>
      <c r="F576" s="52" t="n"/>
      <c r="G576" s="52" t="n"/>
      <c r="H576" s="52" t="n"/>
      <c r="I576" s="52" t="n"/>
      <c r="J576" s="59" t="n"/>
      <c r="K576" s="59" t="n"/>
      <c r="L576" s="59" t="n"/>
      <c r="M576" s="59" t="n"/>
      <c r="N576" s="59" t="n"/>
      <c r="O576" s="297" t="n"/>
      <c r="P576" s="297" t="n"/>
      <c r="Q576" s="297" t="n"/>
      <c r="R576" s="297" t="n"/>
      <c r="S576" s="297" t="n"/>
      <c r="T576" s="297" t="n"/>
      <c r="U576" s="297" t="n"/>
    </row>
    <row r="577">
      <c r="A577" s="174" t="n"/>
      <c r="B577" s="187" t="n"/>
      <c r="C577" s="107">
        <f>IF(B577="", "", VLOOKUP(B577, 'CLIENT DATA'!A:S, 19, FALSE))</f>
        <v/>
      </c>
      <c r="D577" s="107">
        <f t="array" ref="D577">IF(B577="", "", _xlfn.TEXTJOIN(", ", TRUE, IF('CLIENT DATA'!$A$2:$A$205=B577, 'CLIENT DATA'!$C$2:$F$205, "")))</f>
        <v/>
      </c>
      <c r="E577" s="52" t="n"/>
      <c r="F577" s="52" t="n"/>
      <c r="G577" s="52" t="n"/>
      <c r="H577" s="52" t="n"/>
      <c r="I577" s="52" t="n"/>
      <c r="J577" s="59" t="n"/>
      <c r="K577" s="59" t="n"/>
      <c r="L577" s="59" t="n"/>
      <c r="M577" s="59" t="n"/>
      <c r="N577" s="59" t="n"/>
      <c r="O577" s="297" t="n"/>
      <c r="P577" s="297" t="n"/>
      <c r="Q577" s="297" t="n"/>
      <c r="R577" s="297" t="n"/>
      <c r="S577" s="297" t="n"/>
      <c r="T577" s="297" t="n"/>
      <c r="U577" s="297" t="n"/>
    </row>
    <row r="578">
      <c r="A578" s="174" t="n"/>
      <c r="B578" s="187" t="n"/>
      <c r="C578" s="107">
        <f>IF(B578="", "", VLOOKUP(B578, 'CLIENT DATA'!A:S, 19, FALSE))</f>
        <v/>
      </c>
      <c r="D578" s="107">
        <f t="array" ref="D578">IF(B578="", "", _xlfn.TEXTJOIN(", ", TRUE, IF('CLIENT DATA'!$A$2:$A$205=B578, 'CLIENT DATA'!$C$2:$F$205, "")))</f>
        <v/>
      </c>
      <c r="E578" s="52" t="n"/>
      <c r="F578" s="52" t="n"/>
      <c r="G578" s="52" t="n"/>
      <c r="H578" s="52" t="n"/>
      <c r="I578" s="52" t="n"/>
      <c r="J578" s="59" t="n"/>
      <c r="K578" s="59" t="n"/>
      <c r="L578" s="59" t="n"/>
      <c r="M578" s="59" t="n"/>
      <c r="N578" s="59" t="n"/>
      <c r="O578" s="297" t="n"/>
      <c r="P578" s="297" t="n"/>
      <c r="Q578" s="297" t="n"/>
      <c r="R578" s="297" t="n"/>
      <c r="S578" s="297" t="n"/>
      <c r="T578" s="297" t="n"/>
      <c r="U578" s="297" t="n"/>
    </row>
    <row r="579">
      <c r="A579" s="174" t="n"/>
      <c r="B579" s="187" t="n"/>
      <c r="C579" s="107">
        <f>IF(B579="", "", VLOOKUP(B579, 'CLIENT DATA'!A:S, 19, FALSE))</f>
        <v/>
      </c>
      <c r="D579" s="107">
        <f t="array" ref="D579">IF(B579="", "", _xlfn.TEXTJOIN(", ", TRUE, IF('CLIENT DATA'!$A$2:$A$205=B579, 'CLIENT DATA'!$C$2:$F$205, "")))</f>
        <v/>
      </c>
      <c r="E579" s="52" t="n"/>
      <c r="F579" s="52" t="n"/>
      <c r="G579" s="52" t="n"/>
      <c r="H579" s="52" t="n"/>
      <c r="I579" s="52" t="n"/>
      <c r="J579" s="59" t="n"/>
      <c r="K579" s="59" t="n"/>
      <c r="L579" s="59" t="n"/>
      <c r="M579" s="59" t="n"/>
      <c r="N579" s="59" t="n"/>
      <c r="O579" s="297" t="n"/>
      <c r="P579" s="297" t="n"/>
      <c r="Q579" s="297" t="n"/>
      <c r="R579" s="297" t="n"/>
      <c r="S579" s="297" t="n"/>
      <c r="T579" s="297" t="n"/>
      <c r="U579" s="297" t="n"/>
    </row>
    <row r="580">
      <c r="A580" s="174" t="n"/>
      <c r="B580" s="187" t="n"/>
      <c r="C580" s="107">
        <f>IF(B580="", "", VLOOKUP(B580, 'CLIENT DATA'!A:S, 19, FALSE))</f>
        <v/>
      </c>
      <c r="D580" s="107">
        <f t="array" ref="D580">IF(B580="", "", _xlfn.TEXTJOIN(", ", TRUE, IF('CLIENT DATA'!$A$2:$A$205=B580, 'CLIENT DATA'!$C$2:$F$205, "")))</f>
        <v/>
      </c>
      <c r="E580" s="52" t="n"/>
      <c r="F580" s="52" t="n"/>
      <c r="G580" s="52" t="n"/>
      <c r="H580" s="52" t="n"/>
      <c r="I580" s="52" t="n"/>
      <c r="J580" s="59" t="n"/>
      <c r="K580" s="59" t="n"/>
      <c r="L580" s="59" t="n"/>
      <c r="M580" s="59" t="n"/>
      <c r="N580" s="59" t="n"/>
      <c r="O580" s="297" t="n"/>
      <c r="P580" s="297" t="n"/>
      <c r="Q580" s="297" t="n"/>
      <c r="R580" s="297" t="n"/>
      <c r="S580" s="297" t="n"/>
      <c r="T580" s="297" t="n"/>
      <c r="U580" s="297" t="n"/>
    </row>
    <row r="581">
      <c r="A581" s="174" t="n"/>
      <c r="B581" s="187" t="n"/>
      <c r="C581" s="107">
        <f>IF(B581="", "", VLOOKUP(B581, 'CLIENT DATA'!A:S, 19, FALSE))</f>
        <v/>
      </c>
      <c r="D581" s="107">
        <f t="array" ref="D581">IF(B581="", "", _xlfn.TEXTJOIN(", ", TRUE, IF('CLIENT DATA'!$A$2:$A$205=B581, 'CLIENT DATA'!$C$2:$F$205, "")))</f>
        <v/>
      </c>
      <c r="E581" s="52" t="n"/>
      <c r="F581" s="52" t="n"/>
      <c r="G581" s="52" t="n"/>
      <c r="H581" s="52" t="n"/>
      <c r="I581" s="52" t="n"/>
      <c r="J581" s="59" t="n"/>
      <c r="K581" s="59" t="n"/>
      <c r="L581" s="59" t="n"/>
      <c r="M581" s="59" t="n"/>
      <c r="N581" s="59" t="n"/>
      <c r="O581" s="297" t="n"/>
      <c r="P581" s="297" t="n"/>
      <c r="Q581" s="297" t="n"/>
      <c r="R581" s="297" t="n"/>
      <c r="S581" s="297" t="n"/>
      <c r="T581" s="297" t="n"/>
      <c r="U581" s="297" t="n"/>
    </row>
    <row r="582">
      <c r="A582" s="174" t="n"/>
      <c r="B582" s="299" t="n"/>
      <c r="C582" s="107">
        <f>IF(B582="", "", VLOOKUP(B582, 'CLIENT DATA'!A:S, 19, FALSE))</f>
        <v/>
      </c>
      <c r="D582" s="107">
        <f t="array" ref="D582">IF(B582="", "", _xlfn.TEXTJOIN(", ", TRUE, IF('CLIENT DATA'!$A$2:$A$205=B582, 'CLIENT DATA'!$C$2:$F$205, "")))</f>
        <v/>
      </c>
      <c r="E582" s="52" t="n"/>
      <c r="F582" s="52" t="n"/>
      <c r="G582" s="52" t="n"/>
      <c r="H582" s="52" t="n"/>
      <c r="I582" s="52" t="n"/>
      <c r="J582" s="59" t="n"/>
      <c r="K582" s="59" t="n"/>
      <c r="L582" s="59" t="n"/>
      <c r="M582" s="59" t="n"/>
      <c r="N582" s="59" t="n"/>
      <c r="O582" s="297" t="n"/>
      <c r="P582" s="297" t="n"/>
      <c r="Q582" s="297" t="n"/>
      <c r="R582" s="297" t="n"/>
      <c r="S582" s="297" t="n"/>
      <c r="T582" s="297" t="n"/>
      <c r="U582" s="297" t="n"/>
    </row>
    <row r="583">
      <c r="A583" s="174" t="n"/>
      <c r="B583" s="299" t="n"/>
      <c r="C583" s="107">
        <f>IF(B583="", "", VLOOKUP(B583, 'CLIENT DATA'!A:S, 19, FALSE))</f>
        <v/>
      </c>
      <c r="D583" s="107">
        <f t="array" ref="D583">IF(B583="", "", _xlfn.TEXTJOIN(", ", TRUE, IF('CLIENT DATA'!$A$2:$A$205=B583, 'CLIENT DATA'!$C$2:$F$205, "")))</f>
        <v/>
      </c>
      <c r="E583" s="52" t="n"/>
      <c r="F583" s="52" t="n"/>
      <c r="G583" s="52" t="n"/>
      <c r="H583" s="52" t="n"/>
      <c r="I583" s="52" t="n"/>
      <c r="J583" s="59" t="n"/>
      <c r="K583" s="59" t="n"/>
      <c r="L583" s="59" t="n"/>
      <c r="M583" s="59" t="n"/>
      <c r="N583" s="59" t="n"/>
      <c r="O583" s="297" t="n"/>
      <c r="P583" s="297" t="n"/>
      <c r="Q583" s="297" t="n"/>
      <c r="R583" s="297" t="n"/>
      <c r="S583" s="297" t="n"/>
      <c r="T583" s="297" t="n"/>
      <c r="U583" s="297" t="n"/>
    </row>
    <row r="584">
      <c r="A584" s="174" t="n"/>
      <c r="B584" s="299" t="n"/>
      <c r="C584" s="107">
        <f>IF(B584="", "", VLOOKUP(B584, 'CLIENT DATA'!A:S, 19, FALSE))</f>
        <v/>
      </c>
      <c r="D584" s="107">
        <f t="array" ref="D584">IF(B584="", "", _xlfn.TEXTJOIN(", ", TRUE, IF('CLIENT DATA'!$A$2:$A$205=B584, 'CLIENT DATA'!$C$2:$F$205, "")))</f>
        <v/>
      </c>
      <c r="E584" s="52" t="n"/>
      <c r="F584" s="52" t="n"/>
      <c r="G584" s="52" t="n"/>
      <c r="H584" s="52" t="n"/>
      <c r="I584" s="52" t="n"/>
      <c r="J584" s="59" t="n"/>
      <c r="K584" s="59" t="n"/>
      <c r="L584" s="59" t="n"/>
      <c r="M584" s="59" t="n"/>
      <c r="N584" s="59" t="n"/>
      <c r="O584" s="297" t="n"/>
      <c r="P584" s="297" t="n"/>
      <c r="Q584" s="297" t="n"/>
      <c r="R584" s="297" t="n"/>
      <c r="S584" s="297" t="n"/>
      <c r="T584" s="297" t="n"/>
      <c r="U584" s="297" t="n"/>
    </row>
    <row r="585">
      <c r="A585" s="174" t="n"/>
      <c r="B585" s="299" t="n"/>
      <c r="C585" s="107">
        <f>IF(B585="", "", VLOOKUP(B585, 'CLIENT DATA'!A:S, 19, FALSE))</f>
        <v/>
      </c>
      <c r="D585" s="107">
        <f t="array" ref="D585">IF(B585="", "", _xlfn.TEXTJOIN(", ", TRUE, IF('CLIENT DATA'!$A$2:$A$205=B585, 'CLIENT DATA'!$C$2:$F$205, "")))</f>
        <v/>
      </c>
      <c r="E585" s="52" t="n"/>
      <c r="F585" s="52" t="n"/>
      <c r="G585" s="52" t="n"/>
      <c r="H585" s="52" t="n"/>
      <c r="I585" s="52" t="n"/>
      <c r="J585" s="59" t="n"/>
      <c r="K585" s="59" t="n"/>
      <c r="L585" s="59" t="n"/>
      <c r="M585" s="59" t="n"/>
      <c r="N585" s="59" t="n"/>
      <c r="O585" s="297" t="n"/>
      <c r="P585" s="297" t="n"/>
      <c r="Q585" s="297" t="n"/>
      <c r="R585" s="297" t="n"/>
      <c r="S585" s="297" t="n"/>
      <c r="T585" s="297" t="n"/>
      <c r="U585" s="297" t="n"/>
    </row>
    <row r="586">
      <c r="A586" s="174" t="n"/>
      <c r="B586" s="299" t="n"/>
      <c r="C586" s="107">
        <f>IF(B586="", "", VLOOKUP(B586, 'CLIENT DATA'!A:S, 19, FALSE))</f>
        <v/>
      </c>
      <c r="D586" s="107">
        <f t="array" ref="D586">IF(B586="", "", _xlfn.TEXTJOIN(", ", TRUE, IF('CLIENT DATA'!$A$2:$A$205=B586, 'CLIENT DATA'!$C$2:$F$205, "")))</f>
        <v/>
      </c>
      <c r="E586" s="52" t="n"/>
      <c r="F586" s="52" t="n"/>
      <c r="G586" s="52" t="n"/>
      <c r="H586" s="52" t="n"/>
      <c r="I586" s="52" t="n"/>
      <c r="J586" s="59" t="n"/>
      <c r="K586" s="59" t="n"/>
      <c r="L586" s="59" t="n"/>
      <c r="M586" s="59" t="n"/>
      <c r="N586" s="59" t="n"/>
      <c r="O586" s="297" t="n"/>
      <c r="P586" s="297" t="n"/>
      <c r="Q586" s="297" t="n"/>
      <c r="R586" s="297" t="n"/>
      <c r="S586" s="297" t="n"/>
      <c r="T586" s="297" t="n"/>
      <c r="U586" s="297" t="n"/>
    </row>
    <row r="587">
      <c r="A587" s="174" t="n"/>
      <c r="B587" s="299" t="n"/>
      <c r="C587" s="107">
        <f>IF(B587="", "", VLOOKUP(B587, 'CLIENT DATA'!A:S, 19, FALSE))</f>
        <v/>
      </c>
      <c r="D587" s="107">
        <f t="array" ref="D587">IF(B587="", "", _xlfn.TEXTJOIN(", ", TRUE, IF('CLIENT DATA'!$A$2:$A$205=B587, 'CLIENT DATA'!$C$2:$F$205, "")))</f>
        <v/>
      </c>
      <c r="E587" s="52" t="n"/>
      <c r="F587" s="52" t="n"/>
      <c r="G587" s="52" t="n"/>
      <c r="H587" s="52" t="n"/>
      <c r="I587" s="52" t="n"/>
      <c r="J587" s="59" t="n"/>
      <c r="K587" s="59" t="n"/>
      <c r="L587" s="59" t="n"/>
      <c r="M587" s="59" t="n"/>
      <c r="N587" s="59" t="n"/>
      <c r="O587" s="297" t="n"/>
      <c r="P587" s="297" t="n"/>
      <c r="Q587" s="297" t="n"/>
      <c r="R587" s="297" t="n"/>
      <c r="S587" s="297" t="n"/>
      <c r="T587" s="297" t="n"/>
      <c r="U587" s="297" t="n"/>
    </row>
    <row r="588">
      <c r="A588" s="174" t="n"/>
      <c r="B588" s="299" t="n"/>
      <c r="C588" s="107">
        <f>IF(B588="", "", VLOOKUP(B588, 'CLIENT DATA'!A:S, 19, FALSE))</f>
        <v/>
      </c>
      <c r="D588" s="107">
        <f t="array" ref="D588">IF(B588="", "", _xlfn.TEXTJOIN(", ", TRUE, IF('CLIENT DATA'!$A$2:$A$205=B588, 'CLIENT DATA'!$C$2:$F$205, "")))</f>
        <v/>
      </c>
      <c r="E588" s="52" t="n"/>
      <c r="F588" s="52" t="n"/>
      <c r="G588" s="52" t="n"/>
      <c r="H588" s="52" t="n"/>
      <c r="I588" s="52" t="n"/>
      <c r="J588" s="59" t="n"/>
      <c r="K588" s="59" t="n"/>
      <c r="L588" s="59" t="n"/>
      <c r="M588" s="59" t="n"/>
      <c r="N588" s="59" t="n"/>
      <c r="O588" s="297" t="n"/>
      <c r="P588" s="297" t="n"/>
      <c r="Q588" s="297" t="n"/>
      <c r="R588" s="297" t="n"/>
      <c r="S588" s="297" t="n"/>
      <c r="T588" s="297" t="n"/>
      <c r="U588" s="297" t="n"/>
    </row>
    <row r="589">
      <c r="A589" s="174" t="n"/>
      <c r="B589" s="299" t="n"/>
      <c r="C589" s="107">
        <f>IF(B589="", "", VLOOKUP(B589, 'CLIENT DATA'!A:S, 19, FALSE))</f>
        <v/>
      </c>
      <c r="D589" s="107">
        <f t="array" ref="D589">IF(B589="", "", _xlfn.TEXTJOIN(", ", TRUE, IF('CLIENT DATA'!$A$2:$A$205=B589, 'CLIENT DATA'!$C$2:$F$205, "")))</f>
        <v/>
      </c>
      <c r="E589" s="52" t="n"/>
      <c r="F589" s="52" t="n"/>
      <c r="G589" s="52" t="n"/>
      <c r="H589" s="52" t="n"/>
      <c r="I589" s="52" t="n"/>
      <c r="J589" s="59" t="n"/>
      <c r="K589" s="59" t="n"/>
      <c r="L589" s="59" t="n"/>
      <c r="M589" s="59" t="n"/>
      <c r="N589" s="59" t="n"/>
      <c r="O589" s="297" t="n"/>
      <c r="P589" s="297" t="n"/>
      <c r="Q589" s="297" t="n"/>
      <c r="R589" s="297" t="n"/>
      <c r="S589" s="297" t="n"/>
      <c r="T589" s="297" t="n"/>
      <c r="U589" s="297" t="n"/>
    </row>
    <row r="590">
      <c r="A590" s="174" t="n"/>
      <c r="B590" s="299" t="n"/>
      <c r="C590" s="107">
        <f>IF(B590="", "", VLOOKUP(B590, 'CLIENT DATA'!A:S, 19, FALSE))</f>
        <v/>
      </c>
      <c r="D590" s="107">
        <f t="array" ref="D590">IF(B590="", "", _xlfn.TEXTJOIN(", ", TRUE, IF('CLIENT DATA'!$A$2:$A$205=B590, 'CLIENT DATA'!$C$2:$F$205, "")))</f>
        <v/>
      </c>
      <c r="E590" s="52" t="n"/>
      <c r="F590" s="52" t="n"/>
      <c r="G590" s="52" t="n"/>
      <c r="H590" s="52" t="n"/>
      <c r="I590" s="52" t="n"/>
      <c r="J590" s="59" t="n"/>
      <c r="K590" s="59" t="n"/>
      <c r="L590" s="59" t="n"/>
      <c r="M590" s="59" t="n"/>
      <c r="N590" s="59" t="n"/>
      <c r="O590" s="297" t="n"/>
      <c r="P590" s="297" t="n"/>
      <c r="Q590" s="297" t="n"/>
      <c r="R590" s="297" t="n"/>
      <c r="S590" s="297" t="n"/>
      <c r="T590" s="297" t="n"/>
      <c r="U590" s="297" t="n"/>
    </row>
    <row r="591">
      <c r="A591" s="174" t="n"/>
      <c r="B591" s="299" t="n"/>
      <c r="C591" s="107">
        <f>IF(B591="", "", VLOOKUP(B591, 'CLIENT DATA'!A:S, 19, FALSE))</f>
        <v/>
      </c>
      <c r="D591" s="107">
        <f t="array" ref="D591">IF(B591="", "", _xlfn.TEXTJOIN(", ", TRUE, IF('CLIENT DATA'!$A$2:$A$205=B591, 'CLIENT DATA'!$C$2:$F$205, "")))</f>
        <v/>
      </c>
      <c r="E591" s="52" t="n"/>
      <c r="F591" s="52" t="n"/>
      <c r="G591" s="52" t="n"/>
      <c r="H591" s="52" t="n"/>
      <c r="I591" s="52" t="n"/>
      <c r="J591" s="59" t="n"/>
      <c r="K591" s="59" t="n"/>
      <c r="L591" s="59" t="n"/>
      <c r="M591" s="59" t="n"/>
      <c r="N591" s="59" t="n"/>
      <c r="O591" s="297" t="n"/>
      <c r="P591" s="297" t="n"/>
      <c r="Q591" s="297" t="n"/>
      <c r="R591" s="297" t="n"/>
      <c r="S591" s="297" t="n"/>
      <c r="T591" s="297" t="n"/>
      <c r="U591" s="297" t="n"/>
    </row>
    <row r="592">
      <c r="A592" s="174" t="n"/>
      <c r="B592" s="299" t="n"/>
      <c r="C592" s="107">
        <f>IF(B592="", "", VLOOKUP(B592, 'CLIENT DATA'!A:S, 19, FALSE))</f>
        <v/>
      </c>
      <c r="D592" s="107">
        <f t="array" ref="D592">IF(B592="", "", _xlfn.TEXTJOIN(", ", TRUE, IF('CLIENT DATA'!$A$2:$A$205=B592, 'CLIENT DATA'!$C$2:$F$205, "")))</f>
        <v/>
      </c>
      <c r="E592" s="52" t="n"/>
      <c r="F592" s="52" t="n"/>
      <c r="G592" s="52" t="n"/>
      <c r="H592" s="52" t="n"/>
      <c r="I592" s="52" t="n"/>
      <c r="J592" s="59" t="n"/>
      <c r="K592" s="59" t="n"/>
      <c r="L592" s="59" t="n"/>
      <c r="M592" s="59" t="n"/>
      <c r="N592" s="59" t="n"/>
      <c r="O592" s="297" t="n"/>
      <c r="P592" s="297" t="n"/>
      <c r="Q592" s="297" t="n"/>
      <c r="R592" s="297" t="n"/>
      <c r="S592" s="297" t="n"/>
      <c r="T592" s="297" t="n"/>
      <c r="U592" s="297" t="n"/>
    </row>
    <row r="593">
      <c r="A593" s="174" t="n"/>
      <c r="B593" s="299" t="n"/>
      <c r="C593" s="107">
        <f>IF(B593="", "", VLOOKUP(B593, 'CLIENT DATA'!A:S, 19, FALSE))</f>
        <v/>
      </c>
      <c r="D593" s="107">
        <f t="array" ref="D593">IF(B593="", "", _xlfn.TEXTJOIN(", ", TRUE, IF('CLIENT DATA'!$A$2:$A$205=B593, 'CLIENT DATA'!$C$2:$F$205, "")))</f>
        <v/>
      </c>
      <c r="E593" s="52" t="n"/>
      <c r="F593" s="52" t="n"/>
      <c r="G593" s="52" t="n"/>
      <c r="H593" s="52" t="n"/>
      <c r="I593" s="52" t="n"/>
      <c r="J593" s="59" t="n"/>
      <c r="K593" s="59" t="n"/>
      <c r="L593" s="59" t="n"/>
      <c r="M593" s="59" t="n"/>
      <c r="N593" s="59" t="n"/>
      <c r="O593" s="297" t="n"/>
      <c r="P593" s="297" t="n"/>
      <c r="Q593" s="297" t="n"/>
      <c r="R593" s="297" t="n"/>
      <c r="S593" s="297" t="n"/>
      <c r="T593" s="297" t="n"/>
      <c r="U593" s="297" t="n"/>
    </row>
    <row r="594">
      <c r="A594" s="174" t="n"/>
      <c r="B594" s="299" t="n"/>
      <c r="C594" s="107">
        <f>IF(B594="", "", VLOOKUP(B594, 'CLIENT DATA'!A:S, 19, FALSE))</f>
        <v/>
      </c>
      <c r="D594" s="107">
        <f t="array" ref="D594">IF(B594="", "", _xlfn.TEXTJOIN(", ", TRUE, IF('CLIENT DATA'!$A$2:$A$205=B594, 'CLIENT DATA'!$C$2:$F$205, "")))</f>
        <v/>
      </c>
      <c r="E594" s="52" t="n"/>
      <c r="F594" s="52" t="n"/>
      <c r="G594" s="52" t="n"/>
      <c r="H594" s="52" t="n"/>
      <c r="I594" s="52" t="n"/>
      <c r="J594" s="59" t="n"/>
      <c r="K594" s="59" t="n"/>
      <c r="L594" s="59" t="n"/>
      <c r="M594" s="59" t="n"/>
      <c r="N594" s="59" t="n"/>
      <c r="O594" s="297" t="n"/>
      <c r="P594" s="297" t="n"/>
      <c r="Q594" s="297" t="n"/>
      <c r="R594" s="297" t="n"/>
      <c r="S594" s="297" t="n"/>
      <c r="T594" s="297" t="n"/>
      <c r="U594" s="297" t="n"/>
    </row>
    <row r="595">
      <c r="A595" s="174" t="n"/>
      <c r="B595" s="187" t="n"/>
      <c r="C595" s="107">
        <f>IF(B595="", "", VLOOKUP(B595, 'CLIENT DATA'!A:S, 19, FALSE))</f>
        <v/>
      </c>
      <c r="D595" s="107">
        <f t="array" ref="D595">IF(B595="", "", _xlfn.TEXTJOIN(", ", TRUE, IF('CLIENT DATA'!$A$2:$A$205=B595, 'CLIENT DATA'!$C$2:$F$205, "")))</f>
        <v/>
      </c>
      <c r="E595" s="52" t="n"/>
      <c r="F595" s="52" t="n"/>
      <c r="G595" s="52" t="n"/>
      <c r="H595" s="52" t="n"/>
      <c r="I595" s="52" t="n"/>
      <c r="J595" s="59" t="n"/>
      <c r="K595" s="59" t="n"/>
      <c r="L595" s="59" t="n"/>
      <c r="M595" s="59" t="n"/>
      <c r="N595" s="59" t="n"/>
      <c r="O595" s="297" t="n"/>
      <c r="P595" s="297" t="n"/>
      <c r="Q595" s="297" t="n"/>
      <c r="R595" s="297" t="n"/>
      <c r="S595" s="297" t="n"/>
      <c r="T595" s="297" t="n"/>
      <c r="U595" s="297" t="n"/>
    </row>
    <row r="596">
      <c r="A596" s="174" t="n"/>
      <c r="B596" s="187" t="n"/>
      <c r="C596" s="107">
        <f>IF(B596="", "", VLOOKUP(B596, 'CLIENT DATA'!A:S, 19, FALSE))</f>
        <v/>
      </c>
      <c r="D596" s="107">
        <f t="array" ref="D596">IF(B596="", "", _xlfn.TEXTJOIN(", ", TRUE, IF('CLIENT DATA'!$A$2:$A$205=B596, 'CLIENT DATA'!$C$2:$F$205, "")))</f>
        <v/>
      </c>
      <c r="E596" s="52" t="n"/>
      <c r="F596" s="52" t="n"/>
      <c r="G596" s="52" t="n"/>
      <c r="H596" s="52" t="n"/>
      <c r="I596" s="52" t="n"/>
      <c r="J596" s="59" t="n"/>
      <c r="K596" s="59" t="n"/>
      <c r="L596" s="59" t="n"/>
      <c r="M596" s="59" t="n"/>
      <c r="N596" s="59" t="n"/>
      <c r="O596" s="297" t="n"/>
      <c r="P596" s="297" t="n"/>
      <c r="Q596" s="297" t="n"/>
      <c r="R596" s="297" t="n"/>
      <c r="S596" s="297" t="n"/>
      <c r="T596" s="297" t="n"/>
      <c r="U596" s="297" t="n"/>
    </row>
    <row r="597">
      <c r="A597" s="174" t="n"/>
      <c r="B597" s="187" t="n"/>
      <c r="C597" s="107">
        <f>IF(B597="", "", VLOOKUP(B597, 'CLIENT DATA'!A:S, 19, FALSE))</f>
        <v/>
      </c>
      <c r="D597" s="107">
        <f t="array" ref="D597">IF(B597="", "", _xlfn.TEXTJOIN(", ", TRUE, IF('CLIENT DATA'!$A$2:$A$205=B597, 'CLIENT DATA'!$C$2:$F$205, "")))</f>
        <v/>
      </c>
      <c r="E597" s="52" t="n"/>
      <c r="F597" s="52" t="n"/>
      <c r="G597" s="52" t="n"/>
      <c r="H597" s="52" t="n"/>
      <c r="I597" s="52" t="n"/>
      <c r="J597" s="59" t="n"/>
      <c r="K597" s="59" t="n"/>
      <c r="L597" s="59" t="n"/>
      <c r="M597" s="59" t="n"/>
      <c r="N597" s="59" t="n"/>
      <c r="O597" s="297" t="n"/>
      <c r="P597" s="297" t="n"/>
      <c r="Q597" s="297" t="n"/>
      <c r="R597" s="297" t="n"/>
      <c r="S597" s="297" t="n"/>
      <c r="T597" s="297" t="n"/>
      <c r="U597" s="297" t="n"/>
    </row>
    <row r="598">
      <c r="A598" s="174" t="n"/>
      <c r="B598" s="187" t="n"/>
      <c r="C598" s="107">
        <f>IF(B598="", "", VLOOKUP(B598, 'CLIENT DATA'!A:S, 19, FALSE))</f>
        <v/>
      </c>
      <c r="D598" s="107">
        <f t="array" ref="D598">IF(B598="", "", _xlfn.TEXTJOIN(", ", TRUE, IF('CLIENT DATA'!$A$2:$A$205=B598, 'CLIENT DATA'!$C$2:$F$205, "")))</f>
        <v/>
      </c>
      <c r="E598" s="52" t="n"/>
      <c r="F598" s="52" t="n"/>
      <c r="G598" s="52" t="n"/>
      <c r="H598" s="52" t="n"/>
      <c r="I598" s="52" t="n"/>
      <c r="J598" s="59" t="n"/>
      <c r="K598" s="59" t="n"/>
      <c r="L598" s="59" t="n"/>
      <c r="M598" s="59" t="n"/>
      <c r="N598" s="59" t="n"/>
      <c r="O598" s="297" t="n"/>
      <c r="P598" s="297" t="n"/>
      <c r="Q598" s="297" t="n"/>
      <c r="R598" s="297" t="n"/>
      <c r="S598" s="297" t="n"/>
      <c r="T598" s="297" t="n"/>
      <c r="U598" s="297" t="n"/>
    </row>
    <row r="599">
      <c r="A599" s="174" t="n"/>
      <c r="B599" s="187" t="n"/>
      <c r="C599" s="107">
        <f>IF(B599="", "", VLOOKUP(B599, 'CLIENT DATA'!A:S, 19, FALSE))</f>
        <v/>
      </c>
      <c r="D599" s="107">
        <f t="array" ref="D599">IF(B599="", "", _xlfn.TEXTJOIN(", ", TRUE, IF('CLIENT DATA'!$A$2:$A$205=B599, 'CLIENT DATA'!$C$2:$F$205, "")))</f>
        <v/>
      </c>
      <c r="E599" s="52" t="n"/>
      <c r="F599" s="52" t="n"/>
      <c r="G599" s="52" t="n"/>
      <c r="H599" s="52" t="n"/>
      <c r="I599" s="52" t="n"/>
      <c r="J599" s="59" t="n"/>
      <c r="K599" s="59" t="n"/>
      <c r="L599" s="59" t="n"/>
      <c r="M599" s="59" t="n"/>
      <c r="N599" s="59" t="n"/>
      <c r="O599" s="297" t="n"/>
      <c r="P599" s="297" t="n"/>
      <c r="Q599" s="297" t="n"/>
      <c r="R599" s="297" t="n"/>
      <c r="S599" s="297" t="n"/>
      <c r="T599" s="297" t="n"/>
      <c r="U599" s="297" t="n"/>
    </row>
    <row r="600">
      <c r="A600" s="174" t="n"/>
      <c r="B600" s="187" t="n"/>
      <c r="C600" s="107">
        <f>IF(B600="", "", VLOOKUP(B600, 'CLIENT DATA'!A:S, 19, FALSE))</f>
        <v/>
      </c>
      <c r="D600" s="107">
        <f t="array" ref="D600">IF(B600="", "", _xlfn.TEXTJOIN(", ", TRUE, IF('CLIENT DATA'!$A$2:$A$205=B600, 'CLIENT DATA'!$C$2:$F$205, "")))</f>
        <v/>
      </c>
      <c r="E600" s="52" t="n"/>
      <c r="F600" s="52" t="n"/>
      <c r="G600" s="52" t="n"/>
      <c r="H600" s="52" t="n"/>
      <c r="I600" s="52" t="n"/>
      <c r="J600" s="59" t="n"/>
      <c r="K600" s="59" t="n"/>
      <c r="L600" s="59" t="n"/>
      <c r="M600" s="59" t="n"/>
      <c r="N600" s="59" t="n"/>
      <c r="O600" s="297" t="n"/>
      <c r="P600" s="297" t="n"/>
      <c r="Q600" s="297" t="n"/>
      <c r="R600" s="297" t="n"/>
      <c r="S600" s="297" t="n"/>
      <c r="T600" s="297" t="n"/>
      <c r="U600" s="297" t="n"/>
    </row>
    <row r="601">
      <c r="A601" s="174" t="n"/>
      <c r="B601" s="187" t="n"/>
      <c r="C601" s="107">
        <f>IF(B601="", "", VLOOKUP(B601, 'CLIENT DATA'!A:S, 19, FALSE))</f>
        <v/>
      </c>
      <c r="D601" s="107">
        <f t="array" ref="D601">IF(B601="", "", _xlfn.TEXTJOIN(", ", TRUE, IF('CLIENT DATA'!$A$2:$A$205=B601, 'CLIENT DATA'!$C$2:$F$205, "")))</f>
        <v/>
      </c>
      <c r="E601" s="52" t="n"/>
      <c r="F601" s="52" t="n"/>
      <c r="G601" s="52" t="n"/>
      <c r="H601" s="52" t="n"/>
      <c r="I601" s="52" t="n"/>
      <c r="J601" s="59" t="n"/>
      <c r="K601" s="59" t="n"/>
      <c r="L601" s="59" t="n"/>
      <c r="M601" s="59" t="n"/>
      <c r="N601" s="59" t="n"/>
      <c r="O601" s="297" t="n"/>
      <c r="P601" s="297" t="n"/>
      <c r="Q601" s="297" t="n"/>
      <c r="R601" s="297" t="n"/>
      <c r="S601" s="297" t="n"/>
      <c r="T601" s="297" t="n"/>
      <c r="U601" s="297" t="n"/>
    </row>
    <row r="602">
      <c r="A602" s="174" t="n"/>
      <c r="B602" s="187" t="n"/>
      <c r="C602" s="107">
        <f>IF(B602="", "", VLOOKUP(B602, 'CLIENT DATA'!A:S, 19, FALSE))</f>
        <v/>
      </c>
      <c r="D602" s="107">
        <f t="array" ref="D602">IF(B602="", "", _xlfn.TEXTJOIN(", ", TRUE, IF('CLIENT DATA'!$A$2:$A$205=B602, 'CLIENT DATA'!$C$2:$F$205, "")))</f>
        <v/>
      </c>
      <c r="E602" s="52" t="n"/>
      <c r="F602" s="52" t="n"/>
      <c r="G602" s="52" t="n"/>
      <c r="H602" s="52" t="n"/>
      <c r="I602" s="52" t="n"/>
      <c r="J602" s="59" t="n"/>
      <c r="K602" s="59" t="n"/>
      <c r="L602" s="59" t="n"/>
      <c r="M602" s="59" t="n"/>
      <c r="N602" s="59" t="n"/>
      <c r="O602" s="297" t="n"/>
      <c r="P602" s="297" t="n"/>
      <c r="Q602" s="297" t="n"/>
      <c r="R602" s="297" t="n"/>
      <c r="S602" s="297" t="n"/>
      <c r="T602" s="297" t="n"/>
      <c r="U602" s="297" t="n"/>
    </row>
    <row r="603">
      <c r="A603" s="174" t="n"/>
      <c r="B603" s="299" t="n"/>
      <c r="C603" s="107">
        <f>IF(B603="", "", VLOOKUP(B603, 'CLIENT DATA'!A:S, 19, FALSE))</f>
        <v/>
      </c>
      <c r="D603" s="107">
        <f t="array" ref="D603">IF(B603="", "", _xlfn.TEXTJOIN(", ", TRUE, IF('CLIENT DATA'!$A$2:$A$205=B603, 'CLIENT DATA'!$C$2:$F$205, "")))</f>
        <v/>
      </c>
      <c r="E603" s="52" t="n"/>
      <c r="F603" s="52" t="n"/>
      <c r="G603" s="52" t="n"/>
      <c r="H603" s="52" t="n"/>
      <c r="I603" s="52" t="n"/>
      <c r="J603" s="59" t="n"/>
      <c r="K603" s="59" t="n"/>
      <c r="L603" s="59" t="n"/>
      <c r="M603" s="59" t="n"/>
      <c r="N603" s="59" t="n"/>
      <c r="O603" s="297" t="n"/>
      <c r="P603" s="297" t="n"/>
      <c r="Q603" s="297" t="n"/>
      <c r="R603" s="297" t="n"/>
      <c r="S603" s="297" t="n"/>
      <c r="T603" s="297" t="n"/>
      <c r="U603" s="297" t="n"/>
    </row>
    <row r="604">
      <c r="A604" s="174" t="n"/>
      <c r="B604" s="299" t="n"/>
      <c r="C604" s="107">
        <f>IF(B604="", "", VLOOKUP(B604, 'CLIENT DATA'!A:S, 19, FALSE))</f>
        <v/>
      </c>
      <c r="D604" s="107">
        <f t="array" ref="D604">IF(B604="", "", _xlfn.TEXTJOIN(", ", TRUE, IF('CLIENT DATA'!$A$2:$A$205=B604, 'CLIENT DATA'!$C$2:$F$205, "")))</f>
        <v/>
      </c>
      <c r="E604" s="52" t="n"/>
      <c r="F604" s="52" t="n"/>
      <c r="G604" s="52" t="n"/>
      <c r="H604" s="52" t="n"/>
      <c r="I604" s="52" t="n"/>
      <c r="J604" s="59" t="n"/>
      <c r="K604" s="59" t="n"/>
      <c r="L604" s="59" t="n"/>
      <c r="M604" s="59" t="n"/>
      <c r="N604" s="59" t="n"/>
      <c r="O604" s="297" t="n"/>
      <c r="P604" s="297" t="n"/>
      <c r="Q604" s="297" t="n"/>
      <c r="R604" s="297" t="n"/>
      <c r="S604" s="297" t="n"/>
      <c r="T604" s="297" t="n"/>
      <c r="U604" s="297" t="n"/>
    </row>
    <row r="605">
      <c r="A605" s="174" t="n"/>
      <c r="B605" s="299" t="n"/>
      <c r="C605" s="107">
        <f>IF(B605="", "", VLOOKUP(B605, 'CLIENT DATA'!A:S, 19, FALSE))</f>
        <v/>
      </c>
      <c r="D605" s="107">
        <f t="array" ref="D605">IF(B605="", "", _xlfn.TEXTJOIN(", ", TRUE, IF('CLIENT DATA'!$A$2:$A$205=B605, 'CLIENT DATA'!$C$2:$F$205, "")))</f>
        <v/>
      </c>
      <c r="E605" s="52" t="n"/>
      <c r="F605" s="52" t="n"/>
      <c r="G605" s="52" t="n"/>
      <c r="H605" s="52" t="n"/>
      <c r="I605" s="52" t="n"/>
      <c r="J605" s="59" t="n"/>
      <c r="K605" s="59" t="n"/>
      <c r="L605" s="59" t="n"/>
      <c r="M605" s="59" t="n"/>
      <c r="N605" s="59" t="n"/>
      <c r="O605" s="297" t="n"/>
      <c r="P605" s="297" t="n"/>
      <c r="Q605" s="297" t="n"/>
      <c r="R605" s="297" t="n"/>
      <c r="S605" s="297" t="n"/>
      <c r="T605" s="297" t="n"/>
      <c r="U605" s="297" t="n"/>
    </row>
    <row r="606">
      <c r="A606" s="174" t="n"/>
      <c r="B606" s="299" t="n"/>
      <c r="C606" s="107">
        <f>IF(B606="", "", VLOOKUP(B606, 'CLIENT DATA'!A:S, 19, FALSE))</f>
        <v/>
      </c>
      <c r="D606" s="107">
        <f t="array" ref="D606">IF(B606="", "", _xlfn.TEXTJOIN(", ", TRUE, IF('CLIENT DATA'!$A$2:$A$205=B606, 'CLIENT DATA'!$C$2:$F$205, "")))</f>
        <v/>
      </c>
      <c r="E606" s="52" t="n"/>
      <c r="F606" s="52" t="n"/>
      <c r="G606" s="52" t="n"/>
      <c r="H606" s="52" t="n"/>
      <c r="I606" s="52" t="n"/>
      <c r="J606" s="59" t="n"/>
      <c r="K606" s="59" t="n"/>
      <c r="L606" s="59" t="n"/>
      <c r="M606" s="59" t="n"/>
      <c r="N606" s="59" t="n"/>
      <c r="O606" s="297" t="n"/>
      <c r="P606" s="297" t="n"/>
      <c r="Q606" s="297" t="n"/>
      <c r="R606" s="297" t="n"/>
      <c r="S606" s="297" t="n"/>
      <c r="T606" s="297" t="n"/>
      <c r="U606" s="297" t="n"/>
    </row>
    <row r="607">
      <c r="A607" s="174" t="n"/>
      <c r="B607" s="299" t="n"/>
      <c r="C607" s="107">
        <f>IF(B607="", "", VLOOKUP(B607, 'CLIENT DATA'!A:S, 19, FALSE))</f>
        <v/>
      </c>
      <c r="D607" s="107">
        <f t="array" ref="D607">IF(B607="", "", _xlfn.TEXTJOIN(", ", TRUE, IF('CLIENT DATA'!$A$2:$A$205=B607, 'CLIENT DATA'!$C$2:$F$205, "")))</f>
        <v/>
      </c>
      <c r="E607" s="52" t="n"/>
      <c r="F607" s="52" t="n"/>
      <c r="G607" s="52" t="n"/>
      <c r="H607" s="52" t="n"/>
      <c r="I607" s="52" t="n"/>
      <c r="J607" s="59" t="n"/>
      <c r="K607" s="59" t="n"/>
      <c r="L607" s="59" t="n"/>
      <c r="M607" s="59" t="n"/>
      <c r="N607" s="59" t="n"/>
      <c r="O607" s="297" t="n"/>
      <c r="P607" s="297" t="n"/>
      <c r="Q607" s="297" t="n"/>
      <c r="R607" s="297" t="n"/>
      <c r="S607" s="297" t="n"/>
      <c r="T607" s="297" t="n"/>
      <c r="U607" s="297" t="n"/>
    </row>
    <row r="608">
      <c r="A608" s="174" t="n"/>
      <c r="B608" s="299" t="n"/>
      <c r="C608" s="107">
        <f>IF(B608="", "", VLOOKUP(B608, 'CLIENT DATA'!A:S, 19, FALSE))</f>
        <v/>
      </c>
      <c r="D608" s="107">
        <f t="array" ref="D608">IF(B608="", "", _xlfn.TEXTJOIN(", ", TRUE, IF('CLIENT DATA'!$A$2:$A$205=B608, 'CLIENT DATA'!$C$2:$F$205, "")))</f>
        <v/>
      </c>
      <c r="E608" s="52" t="n"/>
      <c r="F608" s="52" t="n"/>
      <c r="G608" s="52" t="n"/>
      <c r="H608" s="52" t="n"/>
      <c r="I608" s="52" t="n"/>
      <c r="J608" s="59" t="n"/>
      <c r="K608" s="59" t="n"/>
      <c r="L608" s="59" t="n"/>
      <c r="M608" s="59" t="n"/>
      <c r="N608" s="59" t="n"/>
      <c r="O608" s="297" t="n"/>
      <c r="P608" s="297" t="n"/>
      <c r="Q608" s="297" t="n"/>
      <c r="R608" s="297" t="n"/>
      <c r="S608" s="297" t="n"/>
      <c r="T608" s="297" t="n"/>
      <c r="U608" s="297" t="n"/>
    </row>
    <row r="609">
      <c r="A609" s="174" t="n"/>
      <c r="B609" s="299" t="n"/>
      <c r="C609" s="107">
        <f>IF(B609="", "", VLOOKUP(B609, 'CLIENT DATA'!A:S, 19, FALSE))</f>
        <v/>
      </c>
      <c r="D609" s="107">
        <f t="array" ref="D609">IF(B609="", "", _xlfn.TEXTJOIN(", ", TRUE, IF('CLIENT DATA'!$A$2:$A$205=B609, 'CLIENT DATA'!$C$2:$F$205, "")))</f>
        <v/>
      </c>
      <c r="E609" s="52" t="n"/>
      <c r="F609" s="52" t="n"/>
      <c r="G609" s="52" t="n"/>
      <c r="H609" s="52" t="n"/>
      <c r="I609" s="52" t="n"/>
      <c r="J609" s="59" t="n"/>
      <c r="K609" s="59" t="n"/>
      <c r="L609" s="59" t="n"/>
      <c r="M609" s="59" t="n"/>
      <c r="N609" s="59" t="n"/>
      <c r="O609" s="297" t="n"/>
      <c r="P609" s="297" t="n"/>
      <c r="Q609" s="297" t="n"/>
      <c r="R609" s="297" t="n"/>
      <c r="S609" s="297" t="n"/>
      <c r="T609" s="297" t="n"/>
      <c r="U609" s="297" t="n"/>
    </row>
    <row r="610">
      <c r="A610" s="174" t="n"/>
      <c r="B610" s="299" t="n"/>
      <c r="C610" s="107">
        <f>IF(B610="", "", VLOOKUP(B610, 'CLIENT DATA'!A:S, 19, FALSE))</f>
        <v/>
      </c>
      <c r="D610" s="107">
        <f t="array" ref="D610">IF(B610="", "", _xlfn.TEXTJOIN(", ", TRUE, IF('CLIENT DATA'!$A$2:$A$205=B610, 'CLIENT DATA'!$C$2:$F$205, "")))</f>
        <v/>
      </c>
      <c r="E610" s="52" t="n"/>
      <c r="F610" s="52" t="n"/>
      <c r="G610" s="52" t="n"/>
      <c r="H610" s="52" t="n"/>
      <c r="I610" s="52" t="n"/>
      <c r="J610" s="59" t="n"/>
      <c r="K610" s="59" t="n"/>
      <c r="L610" s="59" t="n"/>
      <c r="M610" s="59" t="n"/>
      <c r="N610" s="59" t="n"/>
      <c r="O610" s="297" t="n"/>
      <c r="P610" s="297" t="n"/>
      <c r="Q610" s="297" t="n"/>
      <c r="R610" s="297" t="n"/>
      <c r="S610" s="297" t="n"/>
      <c r="T610" s="297" t="n"/>
      <c r="U610" s="297" t="n"/>
    </row>
    <row r="611">
      <c r="A611" s="174" t="n"/>
      <c r="B611" s="299" t="n"/>
      <c r="C611" s="107">
        <f>IF(B611="", "", VLOOKUP(B611, 'CLIENT DATA'!A:S, 19, FALSE))</f>
        <v/>
      </c>
      <c r="D611" s="107">
        <f t="array" ref="D611">IF(B611="", "", _xlfn.TEXTJOIN(", ", TRUE, IF('CLIENT DATA'!$A$2:$A$205=B611, 'CLIENT DATA'!$C$2:$F$205, "")))</f>
        <v/>
      </c>
      <c r="E611" s="52" t="n"/>
      <c r="F611" s="52" t="n"/>
      <c r="G611" s="52" t="n"/>
      <c r="H611" s="52" t="n"/>
      <c r="I611" s="52" t="n"/>
      <c r="J611" s="59" t="n"/>
      <c r="K611" s="59" t="n"/>
      <c r="L611" s="59" t="n"/>
      <c r="M611" s="59" t="n"/>
      <c r="N611" s="59" t="n"/>
      <c r="O611" s="297" t="n"/>
      <c r="P611" s="297" t="n"/>
      <c r="Q611" s="297" t="n"/>
      <c r="R611" s="297" t="n"/>
      <c r="S611" s="297" t="n"/>
      <c r="T611" s="297" t="n"/>
      <c r="U611" s="297" t="n"/>
    </row>
    <row r="612">
      <c r="A612" s="174" t="n"/>
      <c r="B612" s="299" t="n"/>
      <c r="C612" s="107">
        <f>IF(B612="", "", VLOOKUP(B612, 'CLIENT DATA'!A:S, 19, FALSE))</f>
        <v/>
      </c>
      <c r="D612" s="107">
        <f t="array" ref="D612">IF(B612="", "", _xlfn.TEXTJOIN(", ", TRUE, IF('CLIENT DATA'!$A$2:$A$205=B612, 'CLIENT DATA'!$C$2:$F$205, "")))</f>
        <v/>
      </c>
      <c r="E612" s="52" t="n"/>
      <c r="F612" s="52" t="n"/>
      <c r="G612" s="52" t="n"/>
      <c r="H612" s="52" t="n"/>
      <c r="I612" s="52" t="n"/>
      <c r="J612" s="59" t="n"/>
      <c r="K612" s="59" t="n"/>
      <c r="L612" s="59" t="n"/>
      <c r="M612" s="59" t="n"/>
      <c r="N612" s="59" t="n"/>
      <c r="O612" s="297" t="n"/>
      <c r="P612" s="297" t="n"/>
      <c r="Q612" s="297" t="n"/>
      <c r="R612" s="297" t="n"/>
      <c r="S612" s="297" t="n"/>
      <c r="T612" s="297" t="n"/>
      <c r="U612" s="297" t="n"/>
    </row>
    <row r="613">
      <c r="A613" s="174" t="n"/>
      <c r="B613" s="299" t="n"/>
      <c r="C613" s="107">
        <f>IF(B613="", "", VLOOKUP(B613, 'CLIENT DATA'!A:S, 19, FALSE))</f>
        <v/>
      </c>
      <c r="D613" s="107">
        <f t="array" ref="D613">IF(B613="", "", _xlfn.TEXTJOIN(", ", TRUE, IF('CLIENT DATA'!$A$2:$A$205=B613, 'CLIENT DATA'!$C$2:$F$205, "")))</f>
        <v/>
      </c>
      <c r="E613" s="52" t="n"/>
      <c r="F613" s="52" t="n"/>
      <c r="G613" s="52" t="n"/>
      <c r="H613" s="52" t="n"/>
      <c r="I613" s="52" t="n"/>
      <c r="J613" s="59" t="n"/>
      <c r="K613" s="59" t="n"/>
      <c r="L613" s="59" t="n"/>
      <c r="M613" s="59" t="n"/>
      <c r="N613" s="59" t="n"/>
      <c r="O613" s="297" t="n"/>
      <c r="P613" s="297" t="n"/>
      <c r="Q613" s="297" t="n"/>
      <c r="R613" s="297" t="n"/>
      <c r="S613" s="297" t="n"/>
      <c r="T613" s="297" t="n"/>
      <c r="U613" s="297" t="n"/>
    </row>
    <row r="614">
      <c r="A614" s="174" t="n"/>
      <c r="B614" s="299" t="n"/>
      <c r="C614" s="107">
        <f>IF(B614="", "", VLOOKUP(B614, 'CLIENT DATA'!A:S, 19, FALSE))</f>
        <v/>
      </c>
      <c r="D614" s="107">
        <f t="array" ref="D614">IF(B614="", "", _xlfn.TEXTJOIN(", ", TRUE, IF('CLIENT DATA'!$A$2:$A$205=B614, 'CLIENT DATA'!$C$2:$F$205, "")))</f>
        <v/>
      </c>
      <c r="E614" s="52" t="n"/>
      <c r="F614" s="52" t="n"/>
      <c r="G614" s="52" t="n"/>
      <c r="H614" s="52" t="n"/>
      <c r="I614" s="52" t="n"/>
      <c r="J614" s="59" t="n"/>
      <c r="K614" s="59" t="n"/>
      <c r="L614" s="59" t="n"/>
      <c r="M614" s="59" t="n"/>
      <c r="N614" s="59" t="n"/>
      <c r="O614" s="297" t="n"/>
      <c r="P614" s="297" t="n"/>
      <c r="Q614" s="297" t="n"/>
      <c r="R614" s="297" t="n"/>
      <c r="S614" s="297" t="n"/>
      <c r="T614" s="297" t="n"/>
      <c r="U614" s="297" t="n"/>
    </row>
    <row r="615">
      <c r="A615" s="174" t="n"/>
      <c r="B615" s="300" t="n"/>
      <c r="C615" s="182">
        <f>IF(B615="", "", VLOOKUP(B615, 'CLIENT DATA'!A:S, 19, FALSE))</f>
        <v/>
      </c>
      <c r="D615" s="182">
        <f t="array" ref="D615">IF(B615="", "", _xlfn.TEXTJOIN(", ", TRUE, IF('CLIENT DATA'!$A$2:$A$205=B615, 'CLIENT DATA'!$C$2:$F$205, "")))</f>
        <v/>
      </c>
      <c r="E615" s="183" t="n"/>
      <c r="F615" s="183" t="n"/>
      <c r="G615" s="183" t="n"/>
      <c r="H615" s="183" t="n"/>
      <c r="I615" s="183" t="n"/>
      <c r="J615" s="184" t="n"/>
      <c r="K615" s="184" t="n"/>
      <c r="L615" s="184" t="n"/>
      <c r="M615" s="184" t="n"/>
      <c r="N615" s="184" t="n"/>
      <c r="O615" s="301" t="n"/>
      <c r="P615" s="301" t="n"/>
      <c r="Q615" s="301" t="n"/>
      <c r="R615" s="301" t="n"/>
      <c r="S615" s="301" t="n"/>
      <c r="T615" s="301" t="n"/>
      <c r="U615" s="301" t="n"/>
    </row>
    <row r="616">
      <c r="A616" s="174" t="n"/>
      <c r="B616" s="187" t="n"/>
      <c r="C616" s="107">
        <f>IF(B616="", "", VLOOKUP(B616, 'CLIENT DATA'!A:S, 19, FALSE))</f>
        <v/>
      </c>
      <c r="D616" s="107">
        <f t="array" ref="D616">IF(B616="", "", _xlfn.TEXTJOIN(", ", TRUE, IF('CLIENT DATA'!$A$2:$A$205=B616, 'CLIENT DATA'!$C$2:$F$205, "")))</f>
        <v/>
      </c>
      <c r="E616" s="52" t="n"/>
      <c r="F616" s="52" t="n"/>
      <c r="G616" s="52" t="n"/>
      <c r="H616" s="52" t="n"/>
      <c r="I616" s="52" t="n"/>
      <c r="J616" s="59" t="n"/>
      <c r="K616" s="59" t="n"/>
      <c r="L616" s="59" t="n"/>
      <c r="M616" s="59" t="n"/>
      <c r="N616" s="59" t="n"/>
      <c r="O616" s="297" t="n"/>
      <c r="P616" s="297" t="n"/>
      <c r="Q616" s="297" t="n"/>
      <c r="R616" s="297" t="n"/>
      <c r="S616" s="297" t="n"/>
      <c r="T616" s="297" t="n"/>
      <c r="U616" s="297" t="n"/>
    </row>
    <row r="617">
      <c r="A617" s="174" t="n"/>
      <c r="B617" s="187" t="n"/>
      <c r="C617" s="107">
        <f>IF(B617="", "", VLOOKUP(B617, 'CLIENT DATA'!A:S, 19, FALSE))</f>
        <v/>
      </c>
      <c r="D617" s="107">
        <f t="array" ref="D617">IF(B617="", "", _xlfn.TEXTJOIN(", ", TRUE, IF('CLIENT DATA'!$A$2:$A$205=B617, 'CLIENT DATA'!$C$2:$F$205, "")))</f>
        <v/>
      </c>
      <c r="E617" s="52" t="n"/>
      <c r="F617" s="52" t="n"/>
      <c r="G617" s="52" t="n"/>
      <c r="H617" s="52" t="n"/>
      <c r="I617" s="52" t="n"/>
      <c r="J617" s="59" t="n"/>
      <c r="K617" s="59" t="n"/>
      <c r="L617" s="59" t="n"/>
      <c r="M617" s="59" t="n"/>
      <c r="N617" s="59" t="n"/>
      <c r="O617" s="297" t="n"/>
      <c r="P617" s="297" t="n"/>
      <c r="Q617" s="297" t="n"/>
      <c r="R617" s="297" t="n"/>
      <c r="S617" s="297" t="n"/>
      <c r="T617" s="297" t="n"/>
      <c r="U617" s="297" t="n"/>
    </row>
    <row r="618">
      <c r="A618" s="174" t="n"/>
      <c r="B618" s="187" t="n"/>
      <c r="C618" s="107">
        <f>IF(B618="", "", VLOOKUP(B618, 'CLIENT DATA'!A:S, 19, FALSE))</f>
        <v/>
      </c>
      <c r="D618" s="107">
        <f t="array" ref="D618">IF(B618="", "", _xlfn.TEXTJOIN(", ", TRUE, IF('CLIENT DATA'!$A$2:$A$205=B618, 'CLIENT DATA'!$C$2:$F$205, "")))</f>
        <v/>
      </c>
      <c r="E618" s="52" t="n"/>
      <c r="F618" s="52" t="n"/>
      <c r="G618" s="52" t="n"/>
      <c r="H618" s="52" t="n"/>
      <c r="I618" s="52" t="n"/>
      <c r="J618" s="59" t="n"/>
      <c r="K618" s="59" t="n"/>
      <c r="L618" s="59" t="n"/>
      <c r="M618" s="59" t="n"/>
      <c r="N618" s="59" t="n"/>
      <c r="O618" s="297" t="n"/>
      <c r="P618" s="297" t="n"/>
      <c r="Q618" s="297" t="n"/>
      <c r="R618" s="297" t="n"/>
      <c r="S618" s="297" t="n"/>
      <c r="T618" s="297" t="n"/>
      <c r="U618" s="297" t="n"/>
    </row>
    <row r="619">
      <c r="A619" s="174" t="n"/>
      <c r="B619" s="187" t="n"/>
      <c r="C619" s="107">
        <f>IF(B619="", "", VLOOKUP(B619, 'CLIENT DATA'!A:S, 19, FALSE))</f>
        <v/>
      </c>
      <c r="D619" s="107">
        <f t="array" ref="D619">IF(B619="", "", _xlfn.TEXTJOIN(", ", TRUE, IF('CLIENT DATA'!$A$2:$A$205=B619, 'CLIENT DATA'!$C$2:$F$205, "")))</f>
        <v/>
      </c>
      <c r="E619" s="52" t="n"/>
      <c r="F619" s="52" t="n"/>
      <c r="G619" s="52" t="n"/>
      <c r="H619" s="52" t="n"/>
      <c r="I619" s="52" t="n"/>
      <c r="J619" s="59" t="n"/>
      <c r="K619" s="59" t="n"/>
      <c r="L619" s="59" t="n"/>
      <c r="M619" s="59" t="n"/>
      <c r="N619" s="59" t="n"/>
      <c r="O619" s="297" t="n"/>
      <c r="P619" s="297" t="n"/>
      <c r="Q619" s="297" t="n"/>
      <c r="R619" s="297" t="n"/>
      <c r="S619" s="297" t="n"/>
      <c r="T619" s="297" t="n"/>
      <c r="U619" s="297" t="n"/>
    </row>
    <row r="620">
      <c r="A620" s="174" t="n"/>
      <c r="B620" s="187" t="n"/>
      <c r="C620" s="107">
        <f>IF(B620="", "", VLOOKUP(B620, 'CLIENT DATA'!A:S, 19, FALSE))</f>
        <v/>
      </c>
      <c r="D620" s="107">
        <f t="array" ref="D620">IF(B620="", "", _xlfn.TEXTJOIN(", ", TRUE, IF('CLIENT DATA'!$A$2:$A$205=B620, 'CLIENT DATA'!$C$2:$F$205, "")))</f>
        <v/>
      </c>
      <c r="E620" s="52" t="n"/>
      <c r="F620" s="52" t="n"/>
      <c r="G620" s="52" t="n"/>
      <c r="H620" s="52" t="n"/>
      <c r="I620" s="52" t="n"/>
      <c r="J620" s="59" t="n"/>
      <c r="K620" s="59" t="n"/>
      <c r="L620" s="59" t="n"/>
      <c r="M620" s="59" t="n"/>
      <c r="N620" s="59" t="n"/>
      <c r="O620" s="297" t="n"/>
      <c r="P620" s="297" t="n"/>
      <c r="Q620" s="297" t="n"/>
      <c r="R620" s="297" t="n"/>
      <c r="S620" s="297" t="n"/>
      <c r="T620" s="297" t="n"/>
      <c r="U620" s="297" t="n"/>
    </row>
    <row r="621">
      <c r="A621" s="174" t="n"/>
      <c r="B621" s="187" t="n"/>
      <c r="C621" s="107">
        <f>IF(B621="", "", VLOOKUP(B621, 'CLIENT DATA'!A:S, 19, FALSE))</f>
        <v/>
      </c>
      <c r="D621" s="107">
        <f t="array" ref="D621">IF(B621="", "", _xlfn.TEXTJOIN(", ", TRUE, IF('CLIENT DATA'!$A$2:$A$205=B621, 'CLIENT DATA'!$C$2:$F$205, "")))</f>
        <v/>
      </c>
      <c r="E621" s="52" t="n"/>
      <c r="F621" s="52" t="n"/>
      <c r="G621" s="52" t="n"/>
      <c r="H621" s="52" t="n"/>
      <c r="I621" s="52" t="n"/>
      <c r="J621" s="59" t="n"/>
      <c r="K621" s="59" t="n"/>
      <c r="L621" s="59" t="n"/>
      <c r="M621" s="59" t="n"/>
      <c r="N621" s="59" t="n"/>
      <c r="O621" s="297" t="n"/>
      <c r="P621" s="297" t="n"/>
      <c r="Q621" s="297" t="n"/>
      <c r="R621" s="297" t="n"/>
      <c r="S621" s="297" t="n"/>
      <c r="T621" s="297" t="n"/>
      <c r="U621" s="297" t="n"/>
    </row>
    <row r="622">
      <c r="A622" s="174" t="n"/>
      <c r="B622" s="187" t="n"/>
      <c r="C622" s="107">
        <f>IF(B622="", "", VLOOKUP(B622, 'CLIENT DATA'!A:S, 19, FALSE))</f>
        <v/>
      </c>
      <c r="D622" s="107">
        <f t="array" ref="D622">IF(B622="", "", _xlfn.TEXTJOIN(", ", TRUE, IF('CLIENT DATA'!$A$2:$A$205=B622, 'CLIENT DATA'!$C$2:$F$205, "")))</f>
        <v/>
      </c>
      <c r="E622" s="52" t="n"/>
      <c r="F622" s="52" t="n"/>
      <c r="G622" s="52" t="n"/>
      <c r="H622" s="52" t="n"/>
      <c r="I622" s="52" t="n"/>
      <c r="J622" s="59" t="n"/>
      <c r="K622" s="59" t="n"/>
      <c r="L622" s="59" t="n"/>
      <c r="M622" s="59" t="n"/>
      <c r="N622" s="59" t="n"/>
      <c r="O622" s="297" t="n"/>
      <c r="P622" s="297" t="n"/>
      <c r="Q622" s="297" t="n"/>
      <c r="R622" s="297" t="n"/>
      <c r="S622" s="297" t="n"/>
      <c r="T622" s="297" t="n"/>
      <c r="U622" s="297" t="n"/>
    </row>
    <row r="623">
      <c r="A623" s="174" t="n"/>
      <c r="B623" s="187" t="n"/>
      <c r="C623" s="107">
        <f>IF(B623="", "", VLOOKUP(B623, 'CLIENT DATA'!A:S, 19, FALSE))</f>
        <v/>
      </c>
      <c r="D623" s="107">
        <f t="array" ref="D623">IF(B623="", "", _xlfn.TEXTJOIN(", ", TRUE, IF('CLIENT DATA'!$A$2:$A$205=B623, 'CLIENT DATA'!$C$2:$F$205, "")))</f>
        <v/>
      </c>
      <c r="E623" s="52" t="n"/>
      <c r="F623" s="52" t="n"/>
      <c r="G623" s="52" t="n"/>
      <c r="H623" s="52" t="n"/>
      <c r="I623" s="52" t="n"/>
      <c r="J623" s="59" t="n"/>
      <c r="K623" s="59" t="n"/>
      <c r="L623" s="59" t="n"/>
      <c r="M623" s="59" t="n"/>
      <c r="N623" s="59" t="n"/>
      <c r="O623" s="297" t="n"/>
      <c r="P623" s="297" t="n"/>
      <c r="Q623" s="297" t="n"/>
      <c r="R623" s="297" t="n"/>
      <c r="S623" s="297" t="n"/>
      <c r="T623" s="297" t="n"/>
      <c r="U623" s="297" t="n"/>
    </row>
    <row r="624">
      <c r="A624" s="174" t="n"/>
      <c r="B624" s="299" t="n"/>
      <c r="C624" s="107">
        <f>IF(B624="", "", VLOOKUP(B624, 'CLIENT DATA'!A:S, 19, FALSE))</f>
        <v/>
      </c>
      <c r="D624" s="107">
        <f t="array" ref="D624">IF(B624="", "", _xlfn.TEXTJOIN(", ", TRUE, IF('CLIENT DATA'!$A$2:$A$205=B624, 'CLIENT DATA'!$C$2:$F$205, "")))</f>
        <v/>
      </c>
      <c r="E624" s="52" t="n"/>
      <c r="F624" s="52" t="n"/>
      <c r="G624" s="52" t="n"/>
      <c r="H624" s="52" t="n"/>
      <c r="I624" s="52" t="n"/>
      <c r="J624" s="59" t="n"/>
      <c r="K624" s="59" t="n"/>
      <c r="L624" s="59" t="n"/>
      <c r="M624" s="59" t="n"/>
      <c r="N624" s="59" t="n"/>
      <c r="O624" s="297" t="n"/>
      <c r="P624" s="297" t="n"/>
      <c r="Q624" s="297" t="n"/>
      <c r="R624" s="297" t="n"/>
      <c r="S624" s="297" t="n"/>
      <c r="T624" s="297" t="n"/>
      <c r="U624" s="297" t="n"/>
    </row>
    <row r="625">
      <c r="A625" s="174" t="n"/>
      <c r="B625" s="299" t="n"/>
      <c r="C625" s="107">
        <f>IF(B625="", "", VLOOKUP(B625, 'CLIENT DATA'!A:S, 19, FALSE))</f>
        <v/>
      </c>
      <c r="D625" s="107">
        <f t="array" ref="D625">IF(B625="", "", _xlfn.TEXTJOIN(", ", TRUE, IF('CLIENT DATA'!$A$2:$A$205=B625, 'CLIENT DATA'!$C$2:$F$205, "")))</f>
        <v/>
      </c>
      <c r="E625" s="52" t="n"/>
      <c r="F625" s="52" t="n"/>
      <c r="G625" s="52" t="n"/>
      <c r="H625" s="52" t="n"/>
      <c r="I625" s="52" t="n"/>
      <c r="J625" s="59" t="n"/>
      <c r="K625" s="59" t="n"/>
      <c r="L625" s="59" t="n"/>
      <c r="M625" s="59" t="n"/>
      <c r="N625" s="59" t="n"/>
      <c r="O625" s="297" t="n"/>
      <c r="P625" s="297" t="n"/>
      <c r="Q625" s="297" t="n"/>
      <c r="R625" s="297" t="n"/>
      <c r="S625" s="297" t="n"/>
      <c r="T625" s="297" t="n"/>
      <c r="U625" s="297" t="n"/>
    </row>
    <row r="626">
      <c r="A626" s="174" t="n"/>
      <c r="B626" s="299" t="n"/>
      <c r="C626" s="107">
        <f>IF(B626="", "", VLOOKUP(B626, 'CLIENT DATA'!A:S, 19, FALSE))</f>
        <v/>
      </c>
      <c r="D626" s="107">
        <f t="array" ref="D626">IF(B626="", "", _xlfn.TEXTJOIN(", ", TRUE, IF('CLIENT DATA'!$A$2:$A$205=B626, 'CLIENT DATA'!$C$2:$F$205, "")))</f>
        <v/>
      </c>
      <c r="E626" s="52" t="n"/>
      <c r="F626" s="52" t="n"/>
      <c r="G626" s="52" t="n"/>
      <c r="H626" s="52" t="n"/>
      <c r="I626" s="52" t="n"/>
      <c r="J626" s="59" t="n"/>
      <c r="K626" s="59" t="n"/>
      <c r="L626" s="59" t="n"/>
      <c r="M626" s="59" t="n"/>
      <c r="N626" s="59" t="n"/>
      <c r="O626" s="297" t="n"/>
      <c r="P626" s="297" t="n"/>
      <c r="Q626" s="297" t="n"/>
      <c r="R626" s="297" t="n"/>
      <c r="S626" s="297" t="n"/>
      <c r="T626" s="297" t="n"/>
      <c r="U626" s="297" t="n"/>
    </row>
    <row r="627">
      <c r="A627" s="174" t="n"/>
      <c r="B627" s="299" t="n"/>
      <c r="C627" s="107">
        <f>IF(B627="", "", VLOOKUP(B627, 'CLIENT DATA'!A:S, 19, FALSE))</f>
        <v/>
      </c>
      <c r="D627" s="107">
        <f t="array" ref="D627">IF(B627="", "", _xlfn.TEXTJOIN(", ", TRUE, IF('CLIENT DATA'!$A$2:$A$205=B627, 'CLIENT DATA'!$C$2:$F$205, "")))</f>
        <v/>
      </c>
      <c r="E627" s="52" t="n"/>
      <c r="F627" s="52" t="n"/>
      <c r="G627" s="52" t="n"/>
      <c r="H627" s="52" t="n"/>
      <c r="I627" s="52" t="n"/>
      <c r="J627" s="59" t="n"/>
      <c r="K627" s="59" t="n"/>
      <c r="L627" s="59" t="n"/>
      <c r="M627" s="59" t="n"/>
      <c r="N627" s="59" t="n"/>
      <c r="O627" s="297" t="n"/>
      <c r="P627" s="297" t="n"/>
      <c r="Q627" s="297" t="n"/>
      <c r="R627" s="297" t="n"/>
      <c r="S627" s="297" t="n"/>
      <c r="T627" s="297" t="n"/>
      <c r="U627" s="297" t="n"/>
    </row>
    <row r="628">
      <c r="A628" s="174" t="n"/>
      <c r="B628" s="299" t="n"/>
      <c r="C628" s="107">
        <f>IF(B628="", "", VLOOKUP(B628, 'CLIENT DATA'!A:S, 19, FALSE))</f>
        <v/>
      </c>
      <c r="D628" s="107">
        <f t="array" ref="D628">IF(B628="", "", _xlfn.TEXTJOIN(", ", TRUE, IF('CLIENT DATA'!$A$2:$A$205=B628, 'CLIENT DATA'!$C$2:$F$205, "")))</f>
        <v/>
      </c>
      <c r="E628" s="52" t="n"/>
      <c r="F628" s="52" t="n"/>
      <c r="G628" s="52" t="n"/>
      <c r="H628" s="52" t="n"/>
      <c r="I628" s="52" t="n"/>
      <c r="J628" s="59" t="n"/>
      <c r="K628" s="59" t="n"/>
      <c r="L628" s="59" t="n"/>
      <c r="M628" s="59" t="n"/>
      <c r="N628" s="59" t="n"/>
      <c r="O628" s="297" t="n"/>
      <c r="P628" s="297" t="n"/>
      <c r="Q628" s="297" t="n"/>
      <c r="R628" s="297" t="n"/>
      <c r="S628" s="297" t="n"/>
      <c r="T628" s="297" t="n"/>
      <c r="U628" s="297" t="n"/>
    </row>
    <row r="629">
      <c r="A629" s="174" t="n"/>
      <c r="B629" s="299" t="n"/>
      <c r="C629" s="107">
        <f>IF(B629="", "", VLOOKUP(B629, 'CLIENT DATA'!A:S, 19, FALSE))</f>
        <v/>
      </c>
      <c r="D629" s="107">
        <f t="array" ref="D629">IF(B629="", "", _xlfn.TEXTJOIN(", ", TRUE, IF('CLIENT DATA'!$A$2:$A$205=B629, 'CLIENT DATA'!$C$2:$F$205, "")))</f>
        <v/>
      </c>
      <c r="E629" s="52" t="n"/>
      <c r="F629" s="52" t="n"/>
      <c r="G629" s="52" t="n"/>
      <c r="H629" s="52" t="n"/>
      <c r="I629" s="52" t="n"/>
      <c r="J629" s="59" t="n"/>
      <c r="K629" s="59" t="n"/>
      <c r="L629" s="59" t="n"/>
      <c r="M629" s="59" t="n"/>
      <c r="N629" s="59" t="n"/>
      <c r="O629" s="297" t="n"/>
      <c r="P629" s="297" t="n"/>
      <c r="Q629" s="297" t="n"/>
      <c r="R629" s="297" t="n"/>
      <c r="S629" s="297" t="n"/>
      <c r="T629" s="297" t="n"/>
      <c r="U629" s="297" t="n"/>
    </row>
    <row r="630">
      <c r="A630" s="174" t="n"/>
      <c r="B630" s="299" t="n"/>
      <c r="C630" s="107">
        <f>IF(B630="", "", VLOOKUP(B630, 'CLIENT DATA'!A:S, 19, FALSE))</f>
        <v/>
      </c>
      <c r="D630" s="107">
        <f t="array" ref="D630">IF(B630="", "", _xlfn.TEXTJOIN(", ", TRUE, IF('CLIENT DATA'!$A$2:$A$205=B630, 'CLIENT DATA'!$C$2:$F$205, "")))</f>
        <v/>
      </c>
      <c r="E630" s="52" t="n"/>
      <c r="F630" s="52" t="n"/>
      <c r="G630" s="52" t="n"/>
      <c r="H630" s="52" t="n"/>
      <c r="I630" s="52" t="n"/>
      <c r="J630" s="59" t="n"/>
      <c r="K630" s="59" t="n"/>
      <c r="L630" s="59" t="n"/>
      <c r="M630" s="59" t="n"/>
      <c r="N630" s="59" t="n"/>
      <c r="O630" s="297" t="n"/>
      <c r="P630" s="297" t="n"/>
      <c r="Q630" s="297" t="n"/>
      <c r="R630" s="297" t="n"/>
      <c r="S630" s="297" t="n"/>
      <c r="T630" s="297" t="n"/>
      <c r="U630" s="297" t="n"/>
    </row>
    <row r="631">
      <c r="A631" s="174" t="n"/>
      <c r="B631" s="299" t="n"/>
      <c r="C631" s="107">
        <f>IF(B631="", "", VLOOKUP(B631, 'CLIENT DATA'!A:S, 19, FALSE))</f>
        <v/>
      </c>
      <c r="D631" s="107">
        <f t="array" ref="D631">IF(B631="", "", _xlfn.TEXTJOIN(", ", TRUE, IF('CLIENT DATA'!$A$2:$A$205=B631, 'CLIENT DATA'!$C$2:$F$205, "")))</f>
        <v/>
      </c>
      <c r="E631" s="52" t="n"/>
      <c r="F631" s="52" t="n"/>
      <c r="G631" s="52" t="n"/>
      <c r="H631" s="52" t="n"/>
      <c r="I631" s="52" t="n"/>
      <c r="J631" s="59" t="n"/>
      <c r="K631" s="59" t="n"/>
      <c r="L631" s="59" t="n"/>
      <c r="M631" s="59" t="n"/>
      <c r="N631" s="59" t="n"/>
      <c r="O631" s="297" t="n"/>
      <c r="P631" s="297" t="n"/>
      <c r="Q631" s="297" t="n"/>
      <c r="R631" s="297" t="n"/>
      <c r="S631" s="297" t="n"/>
      <c r="T631" s="297" t="n"/>
      <c r="U631" s="297" t="n"/>
    </row>
    <row r="632">
      <c r="A632" s="174" t="n"/>
      <c r="B632" s="299" t="n"/>
      <c r="C632" s="107">
        <f>IF(B632="", "", VLOOKUP(B632, 'CLIENT DATA'!A:S, 19, FALSE))</f>
        <v/>
      </c>
      <c r="D632" s="107">
        <f t="array" ref="D632">IF(B632="", "", _xlfn.TEXTJOIN(", ", TRUE, IF('CLIENT DATA'!$A$2:$A$205=B632, 'CLIENT DATA'!$C$2:$F$205, "")))</f>
        <v/>
      </c>
      <c r="E632" s="52" t="n"/>
      <c r="F632" s="52" t="n"/>
      <c r="G632" s="52" t="n"/>
      <c r="H632" s="52" t="n"/>
      <c r="I632" s="52" t="n"/>
      <c r="J632" s="59" t="n"/>
      <c r="K632" s="59" t="n"/>
      <c r="L632" s="59" t="n"/>
      <c r="M632" s="59" t="n"/>
      <c r="N632" s="59" t="n"/>
      <c r="O632" s="297" t="n"/>
      <c r="P632" s="297" t="n"/>
      <c r="Q632" s="297" t="n"/>
      <c r="R632" s="297" t="n"/>
      <c r="S632" s="297" t="n"/>
      <c r="T632" s="297" t="n"/>
      <c r="U632" s="297" t="n"/>
    </row>
    <row r="633">
      <c r="A633" s="174" t="n"/>
      <c r="B633" s="299" t="n"/>
      <c r="C633" s="107">
        <f>IF(B633="", "", VLOOKUP(B633, 'CLIENT DATA'!A:S, 19, FALSE))</f>
        <v/>
      </c>
      <c r="D633" s="107">
        <f t="array" ref="D633">IF(B633="", "", _xlfn.TEXTJOIN(", ", TRUE, IF('CLIENT DATA'!$A$2:$A$205=B633, 'CLIENT DATA'!$C$2:$F$205, "")))</f>
        <v/>
      </c>
      <c r="E633" s="52" t="n"/>
      <c r="F633" s="52" t="n"/>
      <c r="G633" s="52" t="n"/>
      <c r="H633" s="52" t="n"/>
      <c r="I633" s="52" t="n"/>
      <c r="J633" s="59" t="n"/>
      <c r="K633" s="59" t="n"/>
      <c r="L633" s="59" t="n"/>
      <c r="M633" s="59" t="n"/>
      <c r="N633" s="59" t="n"/>
      <c r="O633" s="297" t="n"/>
      <c r="P633" s="297" t="n"/>
      <c r="Q633" s="297" t="n"/>
      <c r="R633" s="297" t="n"/>
      <c r="S633" s="297" t="n"/>
      <c r="T633" s="297" t="n"/>
      <c r="U633" s="297" t="n"/>
    </row>
    <row r="634">
      <c r="A634" s="174" t="n"/>
      <c r="B634" s="299" t="n"/>
      <c r="C634" s="107">
        <f>IF(B634="", "", VLOOKUP(B634, 'CLIENT DATA'!A:S, 19, FALSE))</f>
        <v/>
      </c>
      <c r="D634" s="107">
        <f t="array" ref="D634">IF(B634="", "", _xlfn.TEXTJOIN(", ", TRUE, IF('CLIENT DATA'!$A$2:$A$205=B634, 'CLIENT DATA'!$C$2:$F$205, "")))</f>
        <v/>
      </c>
      <c r="E634" s="52" t="n"/>
      <c r="F634" s="52" t="n"/>
      <c r="G634" s="52" t="n"/>
      <c r="H634" s="52" t="n"/>
      <c r="I634" s="52" t="n"/>
      <c r="J634" s="59" t="n"/>
      <c r="K634" s="59" t="n"/>
      <c r="L634" s="59" t="n"/>
      <c r="M634" s="59" t="n"/>
      <c r="N634" s="59" t="n"/>
      <c r="O634" s="297" t="n"/>
      <c r="P634" s="297" t="n"/>
      <c r="Q634" s="297" t="n"/>
      <c r="R634" s="297" t="n"/>
      <c r="S634" s="297" t="n"/>
      <c r="T634" s="297" t="n"/>
      <c r="U634" s="297" t="n"/>
    </row>
    <row r="635">
      <c r="A635" s="174" t="n"/>
      <c r="B635" s="299" t="n"/>
      <c r="C635" s="107">
        <f>IF(B635="", "", VLOOKUP(B635, 'CLIENT DATA'!A:S, 19, FALSE))</f>
        <v/>
      </c>
      <c r="D635" s="107">
        <f t="array" ref="D635">IF(B635="", "", _xlfn.TEXTJOIN(", ", TRUE, IF('CLIENT DATA'!$A$2:$A$205=B635, 'CLIENT DATA'!$C$2:$F$205, "")))</f>
        <v/>
      </c>
      <c r="E635" s="52" t="n"/>
      <c r="F635" s="52" t="n"/>
      <c r="G635" s="52" t="n"/>
      <c r="H635" s="52" t="n"/>
      <c r="I635" s="52" t="n"/>
      <c r="J635" s="59" t="n"/>
      <c r="K635" s="59" t="n"/>
      <c r="L635" s="59" t="n"/>
      <c r="M635" s="59" t="n"/>
      <c r="N635" s="59" t="n"/>
      <c r="O635" s="297" t="n"/>
      <c r="P635" s="297" t="n"/>
      <c r="Q635" s="297" t="n"/>
      <c r="R635" s="297" t="n"/>
      <c r="S635" s="297" t="n"/>
      <c r="T635" s="297" t="n"/>
      <c r="U635" s="297" t="n"/>
    </row>
    <row r="636">
      <c r="A636" s="174" t="n"/>
      <c r="B636" s="299" t="n"/>
      <c r="C636" s="107">
        <f>IF(B636="", "", VLOOKUP(B636, 'CLIENT DATA'!A:S, 19, FALSE))</f>
        <v/>
      </c>
      <c r="D636" s="107">
        <f t="array" ref="D636">IF(B636="", "", _xlfn.TEXTJOIN(", ", TRUE, IF('CLIENT DATA'!$A$2:$A$205=B636, 'CLIENT DATA'!$C$2:$F$205, "")))</f>
        <v/>
      </c>
      <c r="E636" s="52" t="n"/>
      <c r="F636" s="52" t="n"/>
      <c r="G636" s="52" t="n"/>
      <c r="H636" s="52" t="n"/>
      <c r="I636" s="52" t="n"/>
      <c r="J636" s="59" t="n"/>
      <c r="K636" s="59" t="n"/>
      <c r="L636" s="59" t="n"/>
      <c r="M636" s="59" t="n"/>
      <c r="N636" s="59" t="n"/>
      <c r="O636" s="297" t="n"/>
      <c r="P636" s="297" t="n"/>
      <c r="Q636" s="297" t="n"/>
      <c r="R636" s="297" t="n"/>
      <c r="S636" s="297" t="n"/>
      <c r="T636" s="297" t="n"/>
      <c r="U636" s="297" t="n"/>
    </row>
    <row r="637">
      <c r="A637" s="174" t="n"/>
      <c r="B637" s="187" t="n"/>
      <c r="C637" s="107">
        <f>IF(B637="", "", VLOOKUP(B637, 'CLIENT DATA'!A:S, 19, FALSE))</f>
        <v/>
      </c>
      <c r="D637" s="107">
        <f t="array" ref="D637">IF(B637="", "", _xlfn.TEXTJOIN(", ", TRUE, IF('CLIENT DATA'!$A$2:$A$205=B637, 'CLIENT DATA'!$C$2:$F$205, "")))</f>
        <v/>
      </c>
      <c r="E637" s="52" t="n"/>
      <c r="F637" s="52" t="n"/>
      <c r="G637" s="52" t="n"/>
      <c r="H637" s="52" t="n"/>
      <c r="I637" s="52" t="n"/>
      <c r="J637" s="59" t="n"/>
      <c r="K637" s="59" t="n"/>
      <c r="L637" s="59" t="n"/>
      <c r="M637" s="59" t="n"/>
      <c r="N637" s="59" t="n"/>
      <c r="O637" s="297" t="n"/>
      <c r="P637" s="297" t="n"/>
      <c r="Q637" s="297" t="n"/>
      <c r="R637" s="297" t="n"/>
      <c r="S637" s="297" t="n"/>
      <c r="T637" s="297" t="n"/>
      <c r="U637" s="297" t="n"/>
    </row>
    <row r="638">
      <c r="A638" s="174" t="n"/>
      <c r="B638" s="187" t="n"/>
      <c r="C638" s="107">
        <f>IF(B638="", "", VLOOKUP(B638, 'CLIENT DATA'!A:S, 19, FALSE))</f>
        <v/>
      </c>
      <c r="D638" s="107">
        <f t="array" ref="D638">IF(B638="", "", _xlfn.TEXTJOIN(", ", TRUE, IF('CLIENT DATA'!$A$2:$A$205=B638, 'CLIENT DATA'!$C$2:$F$205, "")))</f>
        <v/>
      </c>
      <c r="E638" s="52" t="n"/>
      <c r="F638" s="52" t="n"/>
      <c r="G638" s="52" t="n"/>
      <c r="H638" s="52" t="n"/>
      <c r="I638" s="52" t="n"/>
      <c r="J638" s="59" t="n"/>
      <c r="K638" s="59" t="n"/>
      <c r="L638" s="59" t="n"/>
      <c r="M638" s="59" t="n"/>
      <c r="N638" s="59" t="n"/>
      <c r="O638" s="297" t="n"/>
      <c r="P638" s="297" t="n"/>
      <c r="Q638" s="297" t="n"/>
      <c r="R638" s="297" t="n"/>
      <c r="S638" s="297" t="n"/>
      <c r="T638" s="297" t="n"/>
      <c r="U638" s="297" t="n"/>
    </row>
    <row r="639">
      <c r="A639" s="174" t="n"/>
      <c r="B639" s="187" t="n"/>
      <c r="C639" s="107">
        <f>IF(B639="", "", VLOOKUP(B639, 'CLIENT DATA'!A:S, 19, FALSE))</f>
        <v/>
      </c>
      <c r="D639" s="107">
        <f t="array" ref="D639">IF(B639="", "", _xlfn.TEXTJOIN(", ", TRUE, IF('CLIENT DATA'!$A$2:$A$205=B639, 'CLIENT DATA'!$C$2:$F$205, "")))</f>
        <v/>
      </c>
      <c r="E639" s="52" t="n"/>
      <c r="F639" s="52" t="n"/>
      <c r="G639" s="52" t="n"/>
      <c r="H639" s="52" t="n"/>
      <c r="I639" s="52" t="n"/>
      <c r="J639" s="59" t="n"/>
      <c r="K639" s="59" t="n"/>
      <c r="L639" s="59" t="n"/>
      <c r="M639" s="59" t="n"/>
      <c r="N639" s="59" t="n"/>
      <c r="O639" s="297" t="n"/>
      <c r="P639" s="297" t="n"/>
      <c r="Q639" s="297" t="n"/>
      <c r="R639" s="297" t="n"/>
      <c r="S639" s="297" t="n"/>
      <c r="T639" s="297" t="n"/>
      <c r="U639" s="297" t="n"/>
    </row>
    <row r="640">
      <c r="A640" s="174" t="n"/>
      <c r="B640" s="187" t="n"/>
      <c r="C640" s="107">
        <f>IF(B640="", "", VLOOKUP(B640, 'CLIENT DATA'!A:S, 19, FALSE))</f>
        <v/>
      </c>
      <c r="D640" s="107">
        <f t="array" ref="D640">IF(B640="", "", _xlfn.TEXTJOIN(", ", TRUE, IF('CLIENT DATA'!$A$2:$A$205=B640, 'CLIENT DATA'!$C$2:$F$205, "")))</f>
        <v/>
      </c>
      <c r="E640" s="52" t="n"/>
      <c r="F640" s="52" t="n"/>
      <c r="G640" s="52" t="n"/>
      <c r="H640" s="52" t="n"/>
      <c r="I640" s="52" t="n"/>
      <c r="J640" s="59" t="n"/>
      <c r="K640" s="59" t="n"/>
      <c r="L640" s="59" t="n"/>
      <c r="M640" s="59" t="n"/>
      <c r="N640" s="59" t="n"/>
      <c r="O640" s="297" t="n"/>
      <c r="P640" s="297" t="n"/>
      <c r="Q640" s="297" t="n"/>
      <c r="R640" s="297" t="n"/>
      <c r="S640" s="297" t="n"/>
      <c r="T640" s="297" t="n"/>
      <c r="U640" s="297" t="n"/>
    </row>
    <row r="641">
      <c r="A641" s="174" t="n"/>
      <c r="B641" s="187" t="n"/>
      <c r="C641" s="107">
        <f>IF(B641="", "", VLOOKUP(B641, 'CLIENT DATA'!A:S, 19, FALSE))</f>
        <v/>
      </c>
      <c r="D641" s="107">
        <f t="array" ref="D641">IF(B641="", "", _xlfn.TEXTJOIN(", ", TRUE, IF('CLIENT DATA'!$A$2:$A$205=B641, 'CLIENT DATA'!$C$2:$F$205, "")))</f>
        <v/>
      </c>
      <c r="E641" s="52" t="n"/>
      <c r="F641" s="52" t="n"/>
      <c r="G641" s="52" t="n"/>
      <c r="H641" s="52" t="n"/>
      <c r="I641" s="52" t="n"/>
      <c r="J641" s="59" t="n"/>
      <c r="K641" s="59" t="n"/>
      <c r="L641" s="59" t="n"/>
      <c r="M641" s="59" t="n"/>
      <c r="N641" s="59" t="n"/>
      <c r="O641" s="297" t="n"/>
      <c r="P641" s="297" t="n"/>
      <c r="Q641" s="297" t="n"/>
      <c r="R641" s="297" t="n"/>
      <c r="S641" s="297" t="n"/>
      <c r="T641" s="297" t="n"/>
      <c r="U641" s="297" t="n"/>
    </row>
    <row r="642">
      <c r="A642" s="174" t="n"/>
      <c r="B642" s="187" t="n"/>
      <c r="C642" s="107">
        <f>IF(B642="", "", VLOOKUP(B642, 'CLIENT DATA'!A:S, 19, FALSE))</f>
        <v/>
      </c>
      <c r="D642" s="107">
        <f t="array" ref="D642">IF(B642="", "", _xlfn.TEXTJOIN(", ", TRUE, IF('CLIENT DATA'!$A$2:$A$205=B642, 'CLIENT DATA'!$C$2:$F$205, "")))</f>
        <v/>
      </c>
      <c r="E642" s="52" t="n"/>
      <c r="F642" s="52" t="n"/>
      <c r="G642" s="52" t="n"/>
      <c r="H642" s="52" t="n"/>
      <c r="I642" s="52" t="n"/>
      <c r="J642" s="59" t="n"/>
      <c r="K642" s="59" t="n"/>
      <c r="L642" s="59" t="n"/>
      <c r="M642" s="59" t="n"/>
      <c r="N642" s="59" t="n"/>
      <c r="O642" s="297" t="n"/>
      <c r="P642" s="297" t="n"/>
      <c r="Q642" s="297" t="n"/>
      <c r="R642" s="297" t="n"/>
      <c r="S642" s="297" t="n"/>
      <c r="T642" s="297" t="n"/>
      <c r="U642" s="297" t="n"/>
    </row>
    <row r="643">
      <c r="A643" s="174" t="n"/>
      <c r="B643" s="187" t="n"/>
      <c r="C643" s="107">
        <f>IF(B643="", "", VLOOKUP(B643, 'CLIENT DATA'!A:S, 19, FALSE))</f>
        <v/>
      </c>
      <c r="D643" s="107">
        <f t="array" ref="D643">IF(B643="", "", _xlfn.TEXTJOIN(", ", TRUE, IF('CLIENT DATA'!$A$2:$A$205=B643, 'CLIENT DATA'!$C$2:$F$205, "")))</f>
        <v/>
      </c>
      <c r="E643" s="52" t="n"/>
      <c r="F643" s="52" t="n"/>
      <c r="G643" s="52" t="n"/>
      <c r="H643" s="52" t="n"/>
      <c r="I643" s="52" t="n"/>
      <c r="J643" s="59" t="n"/>
      <c r="K643" s="59" t="n"/>
      <c r="L643" s="59" t="n"/>
      <c r="M643" s="59" t="n"/>
      <c r="N643" s="59" t="n"/>
      <c r="O643" s="297" t="n"/>
      <c r="P643" s="297" t="n"/>
      <c r="Q643" s="297" t="n"/>
      <c r="R643" s="297" t="n"/>
      <c r="S643" s="297" t="n"/>
      <c r="T643" s="297" t="n"/>
      <c r="U643" s="297" t="n"/>
    </row>
    <row r="644">
      <c r="A644" s="174" t="n"/>
      <c r="B644" s="187" t="n"/>
      <c r="C644" s="107">
        <f>IF(B644="", "", VLOOKUP(B644, 'CLIENT DATA'!A:S, 19, FALSE))</f>
        <v/>
      </c>
      <c r="D644" s="107">
        <f t="array" ref="D644">IF(B644="", "", _xlfn.TEXTJOIN(", ", TRUE, IF('CLIENT DATA'!$A$2:$A$205=B644, 'CLIENT DATA'!$C$2:$F$205, "")))</f>
        <v/>
      </c>
      <c r="E644" s="52" t="n"/>
      <c r="F644" s="52" t="n"/>
      <c r="G644" s="52" t="n"/>
      <c r="H644" s="52" t="n"/>
      <c r="I644" s="52" t="n"/>
      <c r="J644" s="59" t="n"/>
      <c r="K644" s="59" t="n"/>
      <c r="L644" s="59" t="n"/>
      <c r="M644" s="59" t="n"/>
      <c r="N644" s="59" t="n"/>
      <c r="O644" s="297" t="n"/>
      <c r="P644" s="297" t="n"/>
      <c r="Q644" s="297" t="n"/>
      <c r="R644" s="297" t="n"/>
      <c r="S644" s="297" t="n"/>
      <c r="T644" s="297" t="n"/>
      <c r="U644" s="297" t="n"/>
    </row>
    <row r="645">
      <c r="A645" s="174" t="n"/>
      <c r="B645" s="299" t="n"/>
      <c r="C645" s="107">
        <f>IF(B645="", "", VLOOKUP(B645, 'CLIENT DATA'!A:S, 19, FALSE))</f>
        <v/>
      </c>
      <c r="D645" s="107">
        <f t="array" ref="D645">IF(B645="", "", _xlfn.TEXTJOIN(", ", TRUE, IF('CLIENT DATA'!$A$2:$A$205=B645, 'CLIENT DATA'!$C$2:$F$205, "")))</f>
        <v/>
      </c>
      <c r="E645" s="52" t="n"/>
      <c r="F645" s="52" t="n"/>
      <c r="G645" s="52" t="n"/>
      <c r="H645" s="52" t="n"/>
      <c r="I645" s="52" t="n"/>
      <c r="J645" s="59" t="n"/>
      <c r="K645" s="59" t="n"/>
      <c r="L645" s="59" t="n"/>
      <c r="M645" s="59" t="n"/>
      <c r="N645" s="59" t="n"/>
      <c r="O645" s="297" t="n"/>
      <c r="P645" s="297" t="n"/>
      <c r="Q645" s="297" t="n"/>
      <c r="R645" s="297" t="n"/>
      <c r="S645" s="297" t="n"/>
      <c r="T645" s="297" t="n"/>
      <c r="U645" s="297" t="n"/>
    </row>
    <row r="646">
      <c r="A646" s="174" t="n"/>
      <c r="B646" s="299" t="n"/>
      <c r="C646" s="107">
        <f>IF(B646="", "", VLOOKUP(B646, 'CLIENT DATA'!A:S, 19, FALSE))</f>
        <v/>
      </c>
      <c r="D646" s="107">
        <f t="array" ref="D646">IF(B646="", "", _xlfn.TEXTJOIN(", ", TRUE, IF('CLIENT DATA'!$A$2:$A$205=B646, 'CLIENT DATA'!$C$2:$F$205, "")))</f>
        <v/>
      </c>
      <c r="E646" s="52" t="n"/>
      <c r="F646" s="52" t="n"/>
      <c r="G646" s="52" t="n"/>
      <c r="H646" s="52" t="n"/>
      <c r="I646" s="52" t="n"/>
      <c r="J646" s="59" t="n"/>
      <c r="K646" s="59" t="n"/>
      <c r="L646" s="59" t="n"/>
      <c r="M646" s="59" t="n"/>
      <c r="N646" s="59" t="n"/>
      <c r="O646" s="297" t="n"/>
      <c r="P646" s="297" t="n"/>
      <c r="Q646" s="297" t="n"/>
      <c r="R646" s="297" t="n"/>
      <c r="S646" s="297" t="n"/>
      <c r="T646" s="297" t="n"/>
      <c r="U646" s="297" t="n"/>
    </row>
    <row r="647">
      <c r="A647" s="174" t="n"/>
      <c r="B647" s="299" t="n"/>
      <c r="C647" s="107">
        <f>IF(B647="", "", VLOOKUP(B647, 'CLIENT DATA'!A:S, 19, FALSE))</f>
        <v/>
      </c>
      <c r="D647" s="107">
        <f t="array" ref="D647">IF(B647="", "", _xlfn.TEXTJOIN(", ", TRUE, IF('CLIENT DATA'!$A$2:$A$205=B647, 'CLIENT DATA'!$C$2:$F$205, "")))</f>
        <v/>
      </c>
      <c r="E647" s="52" t="n"/>
      <c r="F647" s="52" t="n"/>
      <c r="G647" s="52" t="n"/>
      <c r="H647" s="52" t="n"/>
      <c r="I647" s="52" t="n"/>
      <c r="J647" s="59" t="n"/>
      <c r="K647" s="59" t="n"/>
      <c r="L647" s="59" t="n"/>
      <c r="M647" s="59" t="n"/>
      <c r="N647" s="59" t="n"/>
      <c r="O647" s="297" t="n"/>
      <c r="P647" s="297" t="n"/>
      <c r="Q647" s="297" t="n"/>
      <c r="R647" s="297" t="n"/>
      <c r="S647" s="297" t="n"/>
      <c r="T647" s="297" t="n"/>
      <c r="U647" s="297" t="n"/>
    </row>
    <row r="648">
      <c r="A648" s="174" t="n"/>
      <c r="B648" s="299" t="n"/>
      <c r="C648" s="107">
        <f>IF(B648="", "", VLOOKUP(B648, 'CLIENT DATA'!A:S, 19, FALSE))</f>
        <v/>
      </c>
      <c r="D648" s="107">
        <f t="array" ref="D648">IF(B648="", "", _xlfn.TEXTJOIN(", ", TRUE, IF('CLIENT DATA'!$A$2:$A$205=B648, 'CLIENT DATA'!$C$2:$F$205, "")))</f>
        <v/>
      </c>
      <c r="E648" s="52" t="n"/>
      <c r="F648" s="52" t="n"/>
      <c r="G648" s="52" t="n"/>
      <c r="H648" s="52" t="n"/>
      <c r="I648" s="52" t="n"/>
      <c r="J648" s="59" t="n"/>
      <c r="K648" s="59" t="n"/>
      <c r="L648" s="59" t="n"/>
      <c r="M648" s="59" t="n"/>
      <c r="N648" s="59" t="n"/>
      <c r="O648" s="297" t="n"/>
      <c r="P648" s="297" t="n"/>
      <c r="Q648" s="297" t="n"/>
      <c r="R648" s="297" t="n"/>
      <c r="S648" s="297" t="n"/>
      <c r="T648" s="297" t="n"/>
      <c r="U648" s="297" t="n"/>
    </row>
    <row r="649">
      <c r="A649" s="174" t="n"/>
      <c r="B649" s="299" t="n"/>
      <c r="C649" s="107">
        <f>IF(B649="", "", VLOOKUP(B649, 'CLIENT DATA'!A:S, 19, FALSE))</f>
        <v/>
      </c>
      <c r="D649" s="107">
        <f t="array" ref="D649">IF(B649="", "", _xlfn.TEXTJOIN(", ", TRUE, IF('CLIENT DATA'!$A$2:$A$205=B649, 'CLIENT DATA'!$C$2:$F$205, "")))</f>
        <v/>
      </c>
      <c r="E649" s="52" t="n"/>
      <c r="F649" s="52" t="n"/>
      <c r="G649" s="52" t="n"/>
      <c r="H649" s="52" t="n"/>
      <c r="I649" s="52" t="n"/>
      <c r="J649" s="59" t="n"/>
      <c r="K649" s="59" t="n"/>
      <c r="L649" s="59" t="n"/>
      <c r="M649" s="59" t="n"/>
      <c r="N649" s="59" t="n"/>
      <c r="O649" s="297" t="n"/>
      <c r="P649" s="297" t="n"/>
      <c r="Q649" s="297" t="n"/>
      <c r="R649" s="297" t="n"/>
      <c r="S649" s="297" t="n"/>
      <c r="T649" s="297" t="n"/>
      <c r="U649" s="297" t="n"/>
    </row>
    <row r="650">
      <c r="A650" s="174" t="n"/>
      <c r="B650" s="299" t="n"/>
      <c r="C650" s="107">
        <f>IF(B650="", "", VLOOKUP(B650, 'CLIENT DATA'!A:S, 19, FALSE))</f>
        <v/>
      </c>
      <c r="D650" s="107">
        <f t="array" ref="D650">IF(B650="", "", _xlfn.TEXTJOIN(", ", TRUE, IF('CLIENT DATA'!$A$2:$A$205=B650, 'CLIENT DATA'!$C$2:$F$205, "")))</f>
        <v/>
      </c>
      <c r="E650" s="52" t="n"/>
      <c r="F650" s="52" t="n"/>
      <c r="G650" s="52" t="n"/>
      <c r="H650" s="52" t="n"/>
      <c r="I650" s="52" t="n"/>
      <c r="J650" s="59" t="n"/>
      <c r="K650" s="59" t="n"/>
      <c r="L650" s="59" t="n"/>
      <c r="M650" s="59" t="n"/>
      <c r="N650" s="59" t="n"/>
      <c r="O650" s="297" t="n"/>
      <c r="P650" s="297" t="n"/>
      <c r="Q650" s="297" t="n"/>
      <c r="R650" s="297" t="n"/>
      <c r="S650" s="297" t="n"/>
      <c r="T650" s="297" t="n"/>
      <c r="U650" s="297" t="n"/>
    </row>
    <row r="651">
      <c r="A651" s="174" t="n"/>
      <c r="B651" s="299" t="n"/>
      <c r="C651" s="107">
        <f>IF(B651="", "", VLOOKUP(B651, 'CLIENT DATA'!A:S, 19, FALSE))</f>
        <v/>
      </c>
      <c r="D651" s="107">
        <f t="array" ref="D651">IF(B651="", "", _xlfn.TEXTJOIN(", ", TRUE, IF('CLIENT DATA'!$A$2:$A$205=B651, 'CLIENT DATA'!$C$2:$F$205, "")))</f>
        <v/>
      </c>
      <c r="E651" s="52" t="n"/>
      <c r="F651" s="52" t="n"/>
      <c r="G651" s="52" t="n"/>
      <c r="H651" s="52" t="n"/>
      <c r="I651" s="52" t="n"/>
      <c r="J651" s="59" t="n"/>
      <c r="K651" s="59" t="n"/>
      <c r="L651" s="59" t="n"/>
      <c r="M651" s="59" t="n"/>
      <c r="N651" s="59" t="n"/>
      <c r="O651" s="297" t="n"/>
      <c r="P651" s="297" t="n"/>
      <c r="Q651" s="297" t="n"/>
      <c r="R651" s="297" t="n"/>
      <c r="S651" s="297" t="n"/>
      <c r="T651" s="297" t="n"/>
      <c r="U651" s="297" t="n"/>
    </row>
    <row r="652">
      <c r="A652" s="174" t="n"/>
      <c r="B652" s="299" t="n"/>
      <c r="C652" s="107">
        <f>IF(B652="", "", VLOOKUP(B652, 'CLIENT DATA'!A:S, 19, FALSE))</f>
        <v/>
      </c>
      <c r="D652" s="107">
        <f t="array" ref="D652">IF(B652="", "", _xlfn.TEXTJOIN(", ", TRUE, IF('CLIENT DATA'!$A$2:$A$205=B652, 'CLIENT DATA'!$C$2:$F$205, "")))</f>
        <v/>
      </c>
      <c r="E652" s="52" t="n"/>
      <c r="F652" s="52" t="n"/>
      <c r="G652" s="52" t="n"/>
      <c r="H652" s="52" t="n"/>
      <c r="I652" s="52" t="n"/>
      <c r="J652" s="59" t="n"/>
      <c r="K652" s="59" t="n"/>
      <c r="L652" s="59" t="n"/>
      <c r="M652" s="59" t="n"/>
      <c r="N652" s="59" t="n"/>
      <c r="O652" s="297" t="n"/>
      <c r="P652" s="297" t="n"/>
      <c r="Q652" s="297" t="n"/>
      <c r="R652" s="297" t="n"/>
      <c r="S652" s="297" t="n"/>
      <c r="T652" s="297" t="n"/>
      <c r="U652" s="297" t="n"/>
    </row>
    <row r="653">
      <c r="A653" s="174" t="n"/>
      <c r="B653" s="299" t="n"/>
      <c r="C653" s="107">
        <f>IF(B653="", "", VLOOKUP(B653, 'CLIENT DATA'!A:S, 19, FALSE))</f>
        <v/>
      </c>
      <c r="D653" s="107">
        <f t="array" ref="D653">IF(B653="", "", _xlfn.TEXTJOIN(", ", TRUE, IF('CLIENT DATA'!$A$2:$A$205=B653, 'CLIENT DATA'!$C$2:$F$205, "")))</f>
        <v/>
      </c>
      <c r="E653" s="52" t="n"/>
      <c r="F653" s="52" t="n"/>
      <c r="G653" s="52" t="n"/>
      <c r="H653" s="52" t="n"/>
      <c r="I653" s="52" t="n"/>
      <c r="J653" s="59" t="n"/>
      <c r="K653" s="59" t="n"/>
      <c r="L653" s="59" t="n"/>
      <c r="M653" s="59" t="n"/>
      <c r="N653" s="59" t="n"/>
      <c r="O653" s="297" t="n"/>
      <c r="P653" s="297" t="n"/>
      <c r="Q653" s="297" t="n"/>
      <c r="R653" s="297" t="n"/>
      <c r="S653" s="297" t="n"/>
      <c r="T653" s="297" t="n"/>
      <c r="U653" s="297" t="n"/>
    </row>
    <row r="654">
      <c r="A654" s="174" t="n"/>
      <c r="B654" s="299" t="n"/>
      <c r="C654" s="107">
        <f>IF(B654="", "", VLOOKUP(B654, 'CLIENT DATA'!A:S, 19, FALSE))</f>
        <v/>
      </c>
      <c r="D654" s="107">
        <f t="array" ref="D654">IF(B654="", "", _xlfn.TEXTJOIN(", ", TRUE, IF('CLIENT DATA'!$A$2:$A$205=B654, 'CLIENT DATA'!$C$2:$F$205, "")))</f>
        <v/>
      </c>
      <c r="E654" s="52" t="n"/>
      <c r="F654" s="52" t="n"/>
      <c r="G654" s="52" t="n"/>
      <c r="H654" s="52" t="n"/>
      <c r="I654" s="52" t="n"/>
      <c r="J654" s="59" t="n"/>
      <c r="K654" s="59" t="n"/>
      <c r="L654" s="59" t="n"/>
      <c r="M654" s="59" t="n"/>
      <c r="N654" s="59" t="n"/>
      <c r="O654" s="297" t="n"/>
      <c r="P654" s="297" t="n"/>
      <c r="Q654" s="297" t="n"/>
      <c r="R654" s="297" t="n"/>
      <c r="S654" s="297" t="n"/>
      <c r="T654" s="297" t="n"/>
      <c r="U654" s="297" t="n"/>
    </row>
    <row r="655">
      <c r="A655" s="174" t="n"/>
      <c r="B655" s="299" t="n"/>
      <c r="C655" s="107">
        <f>IF(B655="", "", VLOOKUP(B655, 'CLIENT DATA'!A:S, 19, FALSE))</f>
        <v/>
      </c>
      <c r="D655" s="107">
        <f t="array" ref="D655">IF(B655="", "", _xlfn.TEXTJOIN(", ", TRUE, IF('CLIENT DATA'!$A$2:$A$205=B655, 'CLIENT DATA'!$C$2:$F$205, "")))</f>
        <v/>
      </c>
      <c r="E655" s="52" t="n"/>
      <c r="F655" s="52" t="n"/>
      <c r="G655" s="52" t="n"/>
      <c r="H655" s="52" t="n"/>
      <c r="I655" s="52" t="n"/>
      <c r="J655" s="59" t="n"/>
      <c r="K655" s="59" t="n"/>
      <c r="L655" s="59" t="n"/>
      <c r="M655" s="59" t="n"/>
      <c r="N655" s="59" t="n"/>
      <c r="O655" s="297" t="n"/>
      <c r="P655" s="297" t="n"/>
      <c r="Q655" s="297" t="n"/>
      <c r="R655" s="297" t="n"/>
      <c r="S655" s="297" t="n"/>
      <c r="T655" s="297" t="n"/>
      <c r="U655" s="297" t="n"/>
    </row>
    <row r="656">
      <c r="A656" s="174" t="n"/>
      <c r="B656" s="299" t="n"/>
      <c r="C656" s="107">
        <f>IF(B656="", "", VLOOKUP(B656, 'CLIENT DATA'!A:S, 19, FALSE))</f>
        <v/>
      </c>
      <c r="D656" s="107">
        <f t="array" ref="D656">IF(B656="", "", _xlfn.TEXTJOIN(", ", TRUE, IF('CLIENT DATA'!$A$2:$A$205=B656, 'CLIENT DATA'!$C$2:$F$205, "")))</f>
        <v/>
      </c>
      <c r="E656" s="52" t="n"/>
      <c r="F656" s="52" t="n"/>
      <c r="G656" s="52" t="n"/>
      <c r="H656" s="52" t="n"/>
      <c r="I656" s="52" t="n"/>
      <c r="J656" s="59" t="n"/>
      <c r="K656" s="59" t="n"/>
      <c r="L656" s="59" t="n"/>
      <c r="M656" s="59" t="n"/>
      <c r="N656" s="59" t="n"/>
      <c r="O656" s="297" t="n"/>
      <c r="P656" s="297" t="n"/>
      <c r="Q656" s="297" t="n"/>
      <c r="R656" s="297" t="n"/>
      <c r="S656" s="297" t="n"/>
      <c r="T656" s="297" t="n"/>
      <c r="U656" s="297" t="n"/>
    </row>
    <row r="657">
      <c r="A657" s="174" t="n"/>
      <c r="B657" s="300" t="n"/>
      <c r="C657" s="182">
        <f>IF(B657="", "", VLOOKUP(B657, 'CLIENT DATA'!A:S, 19, FALSE))</f>
        <v/>
      </c>
      <c r="D657" s="182">
        <f t="array" ref="D657">IF(B657="", "", _xlfn.TEXTJOIN(", ", TRUE, IF('CLIENT DATA'!$A$2:$A$205=B657, 'CLIENT DATA'!$C$2:$F$205, "")))</f>
        <v/>
      </c>
      <c r="E657" s="183" t="n"/>
      <c r="F657" s="183" t="n"/>
      <c r="G657" s="183" t="n"/>
      <c r="H657" s="183" t="n"/>
      <c r="I657" s="183" t="n"/>
      <c r="J657" s="184" t="n"/>
      <c r="K657" s="184" t="n"/>
      <c r="L657" s="184" t="n"/>
      <c r="M657" s="184" t="n"/>
      <c r="N657" s="184" t="n"/>
      <c r="O657" s="301" t="n"/>
      <c r="P657" s="301" t="n"/>
      <c r="Q657" s="301" t="n"/>
      <c r="R657" s="301" t="n"/>
      <c r="S657" s="301" t="n"/>
      <c r="T657" s="301" t="n"/>
      <c r="U657" s="301" t="n"/>
    </row>
    <row r="658">
      <c r="A658" s="174" t="n"/>
      <c r="B658" s="187" t="n"/>
      <c r="C658" s="107">
        <f>IF(B658="", "", VLOOKUP(B658, 'CLIENT DATA'!A:S, 19, FALSE))</f>
        <v/>
      </c>
      <c r="D658" s="107">
        <f t="array" ref="D658">IF(B658="", "", _xlfn.TEXTJOIN(", ", TRUE, IF('CLIENT DATA'!$A$2:$A$205=B658, 'CLIENT DATA'!$C$2:$F$205, "")))</f>
        <v/>
      </c>
      <c r="E658" s="52" t="n"/>
      <c r="F658" s="52" t="n"/>
      <c r="G658" s="52" t="n"/>
      <c r="H658" s="52" t="n"/>
      <c r="I658" s="52" t="n"/>
      <c r="J658" s="59" t="n"/>
      <c r="K658" s="59" t="n"/>
      <c r="L658" s="59" t="n"/>
      <c r="M658" s="59" t="n"/>
      <c r="N658" s="59" t="n"/>
      <c r="O658" s="297" t="n"/>
      <c r="P658" s="297" t="n"/>
      <c r="Q658" s="297" t="n"/>
      <c r="R658" s="297" t="n"/>
      <c r="S658" s="297" t="n"/>
      <c r="T658" s="297" t="n"/>
      <c r="U658" s="297" t="n"/>
    </row>
    <row r="659">
      <c r="A659" s="174" t="n"/>
      <c r="B659" s="187" t="n"/>
      <c r="C659" s="107">
        <f>IF(B659="", "", VLOOKUP(B659, 'CLIENT DATA'!A:S, 19, FALSE))</f>
        <v/>
      </c>
      <c r="D659" s="107">
        <f t="array" ref="D659">IF(B659="", "", _xlfn.TEXTJOIN(", ", TRUE, IF('CLIENT DATA'!$A$2:$A$205=B659, 'CLIENT DATA'!$C$2:$F$205, "")))</f>
        <v/>
      </c>
      <c r="E659" s="52" t="n"/>
      <c r="F659" s="52" t="n"/>
      <c r="G659" s="52" t="n"/>
      <c r="H659" s="52" t="n"/>
      <c r="I659" s="52" t="n"/>
      <c r="J659" s="59" t="n"/>
      <c r="K659" s="59" t="n"/>
      <c r="L659" s="59" t="n"/>
      <c r="M659" s="59" t="n"/>
      <c r="N659" s="59" t="n"/>
      <c r="O659" s="297" t="n"/>
      <c r="P659" s="297" t="n"/>
      <c r="Q659" s="297" t="n"/>
      <c r="R659" s="297" t="n"/>
      <c r="S659" s="297" t="n"/>
      <c r="T659" s="297" t="n"/>
      <c r="U659" s="297" t="n"/>
    </row>
    <row r="660">
      <c r="A660" s="174" t="n"/>
      <c r="B660" s="187" t="n"/>
      <c r="C660" s="107">
        <f>IF(B660="", "", VLOOKUP(B660, 'CLIENT DATA'!A:S, 19, FALSE))</f>
        <v/>
      </c>
      <c r="D660" s="107">
        <f t="array" ref="D660">IF(B660="", "", _xlfn.TEXTJOIN(", ", TRUE, IF('CLIENT DATA'!$A$2:$A$205=B660, 'CLIENT DATA'!$C$2:$F$205, "")))</f>
        <v/>
      </c>
      <c r="E660" s="52" t="n"/>
      <c r="F660" s="52" t="n"/>
      <c r="G660" s="52" t="n"/>
      <c r="H660" s="52" t="n"/>
      <c r="I660" s="52" t="n"/>
      <c r="J660" s="59" t="n"/>
      <c r="K660" s="59" t="n"/>
      <c r="L660" s="59" t="n"/>
      <c r="M660" s="59" t="n"/>
      <c r="N660" s="59" t="n"/>
      <c r="O660" s="297" t="n"/>
      <c r="P660" s="297" t="n"/>
      <c r="Q660" s="297" t="n"/>
      <c r="R660" s="297" t="n"/>
      <c r="S660" s="297" t="n"/>
      <c r="T660" s="297" t="n"/>
      <c r="U660" s="297" t="n"/>
    </row>
    <row r="661">
      <c r="A661" s="174" t="n"/>
      <c r="B661" s="187" t="n"/>
      <c r="C661" s="107">
        <f>IF(B661="", "", VLOOKUP(B661, 'CLIENT DATA'!A:S, 19, FALSE))</f>
        <v/>
      </c>
      <c r="D661" s="107">
        <f t="array" ref="D661">IF(B661="", "", _xlfn.TEXTJOIN(", ", TRUE, IF('CLIENT DATA'!$A$2:$A$205=B661, 'CLIENT DATA'!$C$2:$F$205, "")))</f>
        <v/>
      </c>
      <c r="E661" s="52" t="n"/>
      <c r="F661" s="52" t="n"/>
      <c r="G661" s="52" t="n"/>
      <c r="H661" s="52" t="n"/>
      <c r="I661" s="52" t="n"/>
      <c r="J661" s="59" t="n"/>
      <c r="K661" s="59" t="n"/>
      <c r="L661" s="59" t="n"/>
      <c r="M661" s="59" t="n"/>
      <c r="N661" s="59" t="n"/>
      <c r="O661" s="297" t="n"/>
      <c r="P661" s="297" t="n"/>
      <c r="Q661" s="297" t="n"/>
      <c r="R661" s="297" t="n"/>
      <c r="S661" s="297" t="n"/>
      <c r="T661" s="297" t="n"/>
      <c r="U661" s="297" t="n"/>
    </row>
    <row r="662">
      <c r="A662" s="174" t="n"/>
      <c r="B662" s="187" t="n"/>
      <c r="C662" s="107">
        <f>IF(B662="", "", VLOOKUP(B662, 'CLIENT DATA'!A:S, 19, FALSE))</f>
        <v/>
      </c>
      <c r="D662" s="107">
        <f t="array" ref="D662">IF(B662="", "", _xlfn.TEXTJOIN(", ", TRUE, IF('CLIENT DATA'!$A$2:$A$205=B662, 'CLIENT DATA'!$C$2:$F$205, "")))</f>
        <v/>
      </c>
      <c r="E662" s="52" t="n"/>
      <c r="F662" s="52" t="n"/>
      <c r="G662" s="52" t="n"/>
      <c r="H662" s="52" t="n"/>
      <c r="I662" s="52" t="n"/>
      <c r="J662" s="59" t="n"/>
      <c r="K662" s="59" t="n"/>
      <c r="L662" s="59" t="n"/>
      <c r="M662" s="59" t="n"/>
      <c r="N662" s="59" t="n"/>
      <c r="O662" s="297" t="n"/>
      <c r="P662" s="297" t="n"/>
      <c r="Q662" s="297" t="n"/>
      <c r="R662" s="297" t="n"/>
      <c r="S662" s="297" t="n"/>
      <c r="T662" s="297" t="n"/>
      <c r="U662" s="297" t="n"/>
    </row>
    <row r="663">
      <c r="A663" s="174" t="n"/>
      <c r="B663" s="187" t="n"/>
      <c r="C663" s="107">
        <f>IF(B663="", "", VLOOKUP(B663, 'CLIENT DATA'!A:S, 19, FALSE))</f>
        <v/>
      </c>
      <c r="D663" s="107">
        <f t="array" ref="D663">IF(B663="", "", _xlfn.TEXTJOIN(", ", TRUE, IF('CLIENT DATA'!$A$2:$A$205=B663, 'CLIENT DATA'!$C$2:$F$205, "")))</f>
        <v/>
      </c>
      <c r="E663" s="52" t="n"/>
      <c r="F663" s="52" t="n"/>
      <c r="G663" s="52" t="n"/>
      <c r="H663" s="52" t="n"/>
      <c r="I663" s="52" t="n"/>
      <c r="J663" s="59" t="n"/>
      <c r="K663" s="59" t="n"/>
      <c r="L663" s="59" t="n"/>
      <c r="M663" s="59" t="n"/>
      <c r="N663" s="59" t="n"/>
      <c r="O663" s="297" t="n"/>
      <c r="P663" s="297" t="n"/>
      <c r="Q663" s="297" t="n"/>
      <c r="R663" s="297" t="n"/>
      <c r="S663" s="297" t="n"/>
      <c r="T663" s="297" t="n"/>
      <c r="U663" s="297" t="n"/>
    </row>
    <row r="664">
      <c r="A664" s="174" t="n"/>
      <c r="B664" s="187" t="n"/>
      <c r="C664" s="107">
        <f>IF(B664="", "", VLOOKUP(B664, 'CLIENT DATA'!A:S, 19, FALSE))</f>
        <v/>
      </c>
      <c r="D664" s="107">
        <f t="array" ref="D664">IF(B664="", "", _xlfn.TEXTJOIN(", ", TRUE, IF('CLIENT DATA'!$A$2:$A$205=B664, 'CLIENT DATA'!$C$2:$F$205, "")))</f>
        <v/>
      </c>
      <c r="E664" s="52" t="n"/>
      <c r="F664" s="52" t="n"/>
      <c r="G664" s="52" t="n"/>
      <c r="H664" s="52" t="n"/>
      <c r="I664" s="52" t="n"/>
      <c r="J664" s="59" t="n"/>
      <c r="K664" s="59" t="n"/>
      <c r="L664" s="59" t="n"/>
      <c r="M664" s="59" t="n"/>
      <c r="N664" s="59" t="n"/>
      <c r="O664" s="297" t="n"/>
      <c r="P664" s="297" t="n"/>
      <c r="Q664" s="297" t="n"/>
      <c r="R664" s="297" t="n"/>
      <c r="S664" s="297" t="n"/>
      <c r="T664" s="297" t="n"/>
      <c r="U664" s="297" t="n"/>
    </row>
    <row r="665">
      <c r="A665" s="174" t="n"/>
      <c r="B665" s="187" t="n"/>
      <c r="C665" s="107">
        <f>IF(B665="", "", VLOOKUP(B665, 'CLIENT DATA'!A:S, 19, FALSE))</f>
        <v/>
      </c>
      <c r="D665" s="107">
        <f t="array" ref="D665">IF(B665="", "", _xlfn.TEXTJOIN(", ", TRUE, IF('CLIENT DATA'!$A$2:$A$205=B665, 'CLIENT DATA'!$C$2:$F$205, "")))</f>
        <v/>
      </c>
      <c r="E665" s="52" t="n"/>
      <c r="F665" s="52" t="n"/>
      <c r="G665" s="52" t="n"/>
      <c r="H665" s="52" t="n"/>
      <c r="I665" s="52" t="n"/>
      <c r="J665" s="59" t="n"/>
      <c r="K665" s="59" t="n"/>
      <c r="L665" s="59" t="n"/>
      <c r="M665" s="59" t="n"/>
      <c r="N665" s="59" t="n"/>
      <c r="O665" s="297" t="n"/>
      <c r="P665" s="297" t="n"/>
      <c r="Q665" s="297" t="n"/>
      <c r="R665" s="297" t="n"/>
      <c r="S665" s="297" t="n"/>
      <c r="T665" s="297" t="n"/>
      <c r="U665" s="297" t="n"/>
    </row>
    <row r="666">
      <c r="A666" s="174" t="n"/>
      <c r="B666" s="299" t="n"/>
      <c r="C666" s="107">
        <f>IF(B666="", "", VLOOKUP(B666, 'CLIENT DATA'!A:S, 19, FALSE))</f>
        <v/>
      </c>
      <c r="D666" s="107">
        <f t="array" ref="D666">IF(B666="", "", _xlfn.TEXTJOIN(", ", TRUE, IF('CLIENT DATA'!$A$2:$A$205=B666, 'CLIENT DATA'!$C$2:$F$205, "")))</f>
        <v/>
      </c>
      <c r="E666" s="52" t="n"/>
      <c r="F666" s="52" t="n"/>
      <c r="G666" s="52" t="n"/>
      <c r="H666" s="52" t="n"/>
      <c r="I666" s="52" t="n"/>
      <c r="J666" s="59" t="n"/>
      <c r="K666" s="59" t="n"/>
      <c r="L666" s="59" t="n"/>
      <c r="M666" s="59" t="n"/>
      <c r="N666" s="59" t="n"/>
      <c r="O666" s="297" t="n"/>
      <c r="P666" s="297" t="n"/>
      <c r="Q666" s="297" t="n"/>
      <c r="R666" s="297" t="n"/>
      <c r="S666" s="297" t="n"/>
      <c r="T666" s="297" t="n"/>
      <c r="U666" s="297" t="n"/>
    </row>
    <row r="667">
      <c r="A667" s="174" t="n"/>
      <c r="B667" s="299" t="n"/>
      <c r="C667" s="107">
        <f>IF(B667="", "", VLOOKUP(B667, 'CLIENT DATA'!A:S, 19, FALSE))</f>
        <v/>
      </c>
      <c r="D667" s="107">
        <f t="array" ref="D667">IF(B667="", "", _xlfn.TEXTJOIN(", ", TRUE, IF('CLIENT DATA'!$A$2:$A$205=B667, 'CLIENT DATA'!$C$2:$F$205, "")))</f>
        <v/>
      </c>
      <c r="E667" s="52" t="n"/>
      <c r="F667" s="52" t="n"/>
      <c r="G667" s="52" t="n"/>
      <c r="H667" s="52" t="n"/>
      <c r="I667" s="52" t="n"/>
      <c r="J667" s="59" t="n"/>
      <c r="K667" s="59" t="n"/>
      <c r="L667" s="59" t="n"/>
      <c r="M667" s="59" t="n"/>
      <c r="N667" s="59" t="n"/>
      <c r="O667" s="297" t="n"/>
      <c r="P667" s="297" t="n"/>
      <c r="Q667" s="297" t="n"/>
      <c r="R667" s="297" t="n"/>
      <c r="S667" s="297" t="n"/>
      <c r="T667" s="297" t="n"/>
      <c r="U667" s="297" t="n"/>
    </row>
    <row r="668">
      <c r="A668" s="174" t="n"/>
      <c r="B668" s="299" t="n"/>
      <c r="C668" s="107">
        <f>IF(B668="", "", VLOOKUP(B668, 'CLIENT DATA'!A:S, 19, FALSE))</f>
        <v/>
      </c>
      <c r="D668" s="107">
        <f t="array" ref="D668">IF(B668="", "", _xlfn.TEXTJOIN(", ", TRUE, IF('CLIENT DATA'!$A$2:$A$205=B668, 'CLIENT DATA'!$C$2:$F$205, "")))</f>
        <v/>
      </c>
      <c r="E668" s="52" t="n"/>
      <c r="F668" s="52" t="n"/>
      <c r="G668" s="52" t="n"/>
      <c r="H668" s="52" t="n"/>
      <c r="I668" s="52" t="n"/>
      <c r="J668" s="59" t="n"/>
      <c r="K668" s="59" t="n"/>
      <c r="L668" s="59" t="n"/>
      <c r="M668" s="59" t="n"/>
      <c r="N668" s="59" t="n"/>
      <c r="O668" s="297" t="n"/>
      <c r="P668" s="297" t="n"/>
      <c r="Q668" s="297" t="n"/>
      <c r="R668" s="297" t="n"/>
      <c r="S668" s="297" t="n"/>
      <c r="T668" s="297" t="n"/>
      <c r="U668" s="297" t="n"/>
    </row>
    <row r="669">
      <c r="A669" s="174" t="n"/>
      <c r="B669" s="299" t="n"/>
      <c r="C669" s="107">
        <f>IF(B669="", "", VLOOKUP(B669, 'CLIENT DATA'!A:S, 19, FALSE))</f>
        <v/>
      </c>
      <c r="D669" s="107">
        <f t="array" ref="D669">IF(B669="", "", _xlfn.TEXTJOIN(", ", TRUE, IF('CLIENT DATA'!$A$2:$A$205=B669, 'CLIENT DATA'!$C$2:$F$205, "")))</f>
        <v/>
      </c>
      <c r="E669" s="52" t="n"/>
      <c r="F669" s="52" t="n"/>
      <c r="G669" s="52" t="n"/>
      <c r="H669" s="52" t="n"/>
      <c r="I669" s="52" t="n"/>
      <c r="J669" s="59" t="n"/>
      <c r="K669" s="59" t="n"/>
      <c r="L669" s="59" t="n"/>
      <c r="M669" s="59" t="n"/>
      <c r="N669" s="59" t="n"/>
      <c r="O669" s="297" t="n"/>
      <c r="P669" s="297" t="n"/>
      <c r="Q669" s="297" t="n"/>
      <c r="R669" s="297" t="n"/>
      <c r="S669" s="297" t="n"/>
      <c r="T669" s="297" t="n"/>
      <c r="U669" s="297" t="n"/>
    </row>
    <row r="670">
      <c r="A670" s="174" t="n"/>
      <c r="B670" s="299" t="n"/>
      <c r="C670" s="107">
        <f>IF(B670="", "", VLOOKUP(B670, 'CLIENT DATA'!A:S, 19, FALSE))</f>
        <v/>
      </c>
      <c r="D670" s="107">
        <f t="array" ref="D670">IF(B670="", "", _xlfn.TEXTJOIN(", ", TRUE, IF('CLIENT DATA'!$A$2:$A$205=B670, 'CLIENT DATA'!$C$2:$F$205, "")))</f>
        <v/>
      </c>
      <c r="E670" s="52" t="n"/>
      <c r="F670" s="52" t="n"/>
      <c r="G670" s="52" t="n"/>
      <c r="H670" s="52" t="n"/>
      <c r="I670" s="52" t="n"/>
      <c r="J670" s="59" t="n"/>
      <c r="K670" s="59" t="n"/>
      <c r="L670" s="59" t="n"/>
      <c r="M670" s="59" t="n"/>
      <c r="N670" s="59" t="n"/>
      <c r="O670" s="297" t="n"/>
      <c r="P670" s="297" t="n"/>
      <c r="Q670" s="297" t="n"/>
      <c r="R670" s="297" t="n"/>
      <c r="S670" s="297" t="n"/>
      <c r="T670" s="297" t="n"/>
      <c r="U670" s="297" t="n"/>
    </row>
    <row r="671">
      <c r="A671" s="174" t="n"/>
      <c r="B671" s="299" t="n"/>
      <c r="C671" s="107">
        <f>IF(B671="", "", VLOOKUP(B671, 'CLIENT DATA'!A:S, 19, FALSE))</f>
        <v/>
      </c>
      <c r="D671" s="107">
        <f t="array" ref="D671">IF(B671="", "", _xlfn.TEXTJOIN(", ", TRUE, IF('CLIENT DATA'!$A$2:$A$205=B671, 'CLIENT DATA'!$C$2:$F$205, "")))</f>
        <v/>
      </c>
      <c r="E671" s="52" t="n"/>
      <c r="F671" s="52" t="n"/>
      <c r="G671" s="52" t="n"/>
      <c r="H671" s="52" t="n"/>
      <c r="I671" s="52" t="n"/>
      <c r="J671" s="59" t="n"/>
      <c r="K671" s="59" t="n"/>
      <c r="L671" s="59" t="n"/>
      <c r="M671" s="59" t="n"/>
      <c r="N671" s="59" t="n"/>
      <c r="O671" s="297" t="n"/>
      <c r="P671" s="297" t="n"/>
      <c r="Q671" s="297" t="n"/>
      <c r="R671" s="297" t="n"/>
      <c r="S671" s="297" t="n"/>
      <c r="T671" s="297" t="n"/>
      <c r="U671" s="297" t="n"/>
    </row>
    <row r="672">
      <c r="A672" s="174" t="n"/>
      <c r="B672" s="299" t="n"/>
      <c r="C672" s="107">
        <f>IF(B672="", "", VLOOKUP(B672, 'CLIENT DATA'!A:S, 19, FALSE))</f>
        <v/>
      </c>
      <c r="D672" s="107">
        <f t="array" ref="D672">IF(B672="", "", _xlfn.TEXTJOIN(", ", TRUE, IF('CLIENT DATA'!$A$2:$A$205=B672, 'CLIENT DATA'!$C$2:$F$205, "")))</f>
        <v/>
      </c>
      <c r="E672" s="52" t="n"/>
      <c r="F672" s="52" t="n"/>
      <c r="G672" s="52" t="n"/>
      <c r="H672" s="52" t="n"/>
      <c r="I672" s="52" t="n"/>
      <c r="J672" s="59" t="n"/>
      <c r="K672" s="59" t="n"/>
      <c r="L672" s="59" t="n"/>
      <c r="M672" s="59" t="n"/>
      <c r="N672" s="59" t="n"/>
      <c r="O672" s="297" t="n"/>
      <c r="P672" s="297" t="n"/>
      <c r="Q672" s="297" t="n"/>
      <c r="R672" s="297" t="n"/>
      <c r="S672" s="297" t="n"/>
      <c r="T672" s="297" t="n"/>
      <c r="U672" s="297" t="n"/>
    </row>
    <row r="673">
      <c r="A673" s="174" t="n"/>
      <c r="B673" s="299" t="n"/>
      <c r="C673" s="107">
        <f>IF(B673="", "", VLOOKUP(B673, 'CLIENT DATA'!A:S, 19, FALSE))</f>
        <v/>
      </c>
      <c r="D673" s="107">
        <f t="array" ref="D673">IF(B673="", "", _xlfn.TEXTJOIN(", ", TRUE, IF('CLIENT DATA'!$A$2:$A$205=B673, 'CLIENT DATA'!$C$2:$F$205, "")))</f>
        <v/>
      </c>
      <c r="E673" s="52" t="n"/>
      <c r="F673" s="52" t="n"/>
      <c r="G673" s="52" t="n"/>
      <c r="H673" s="52" t="n"/>
      <c r="I673" s="52" t="n"/>
      <c r="J673" s="59" t="n"/>
      <c r="K673" s="59" t="n"/>
      <c r="L673" s="59" t="n"/>
      <c r="M673" s="59" t="n"/>
      <c r="N673" s="59" t="n"/>
      <c r="O673" s="297" t="n"/>
      <c r="P673" s="297" t="n"/>
      <c r="Q673" s="297" t="n"/>
      <c r="R673" s="297" t="n"/>
      <c r="S673" s="297" t="n"/>
      <c r="T673" s="297" t="n"/>
      <c r="U673" s="297" t="n"/>
    </row>
    <row r="674">
      <c r="A674" s="174" t="n"/>
      <c r="B674" s="299" t="n"/>
      <c r="C674" s="107">
        <f>IF(B674="", "", VLOOKUP(B674, 'CLIENT DATA'!A:S, 19, FALSE))</f>
        <v/>
      </c>
      <c r="D674" s="107">
        <f t="array" ref="D674">IF(B674="", "", _xlfn.TEXTJOIN(", ", TRUE, IF('CLIENT DATA'!$A$2:$A$205=B674, 'CLIENT DATA'!$C$2:$F$205, "")))</f>
        <v/>
      </c>
      <c r="E674" s="52" t="n"/>
      <c r="F674" s="52" t="n"/>
      <c r="G674" s="52" t="n"/>
      <c r="H674" s="52" t="n"/>
      <c r="I674" s="52" t="n"/>
      <c r="J674" s="59" t="n"/>
      <c r="K674" s="59" t="n"/>
      <c r="L674" s="59" t="n"/>
      <c r="M674" s="59" t="n"/>
      <c r="N674" s="59" t="n"/>
      <c r="O674" s="297" t="n"/>
      <c r="P674" s="297" t="n"/>
      <c r="Q674" s="297" t="n"/>
      <c r="R674" s="297" t="n"/>
      <c r="S674" s="297" t="n"/>
      <c r="T674" s="297" t="n"/>
      <c r="U674" s="297" t="n"/>
    </row>
    <row r="675">
      <c r="A675" s="174" t="n"/>
      <c r="B675" s="299" t="n"/>
      <c r="C675" s="107">
        <f>IF(B675="", "", VLOOKUP(B675, 'CLIENT DATA'!A:S, 19, FALSE))</f>
        <v/>
      </c>
      <c r="D675" s="107">
        <f t="array" ref="D675">IF(B675="", "", _xlfn.TEXTJOIN(", ", TRUE, IF('CLIENT DATA'!$A$2:$A$205=B675, 'CLIENT DATA'!$C$2:$F$205, "")))</f>
        <v/>
      </c>
      <c r="E675" s="52" t="n"/>
      <c r="F675" s="52" t="n"/>
      <c r="G675" s="52" t="n"/>
      <c r="H675" s="52" t="n"/>
      <c r="I675" s="52" t="n"/>
      <c r="J675" s="59" t="n"/>
      <c r="K675" s="59" t="n"/>
      <c r="L675" s="59" t="n"/>
      <c r="M675" s="59" t="n"/>
      <c r="N675" s="59" t="n"/>
      <c r="O675" s="297" t="n"/>
      <c r="P675" s="297" t="n"/>
      <c r="Q675" s="297" t="n"/>
      <c r="R675" s="297" t="n"/>
      <c r="S675" s="297" t="n"/>
      <c r="T675" s="297" t="n"/>
      <c r="U675" s="297" t="n"/>
    </row>
    <row r="676">
      <c r="A676" s="174" t="n"/>
      <c r="B676" s="299" t="n"/>
      <c r="C676" s="107">
        <f>IF(B676="", "", VLOOKUP(B676, 'CLIENT DATA'!A:S, 19, FALSE))</f>
        <v/>
      </c>
      <c r="D676" s="107">
        <f t="array" ref="D676">IF(B676="", "", _xlfn.TEXTJOIN(", ", TRUE, IF('CLIENT DATA'!$A$2:$A$205=B676, 'CLIENT DATA'!$C$2:$F$205, "")))</f>
        <v/>
      </c>
      <c r="E676" s="52" t="n"/>
      <c r="F676" s="52" t="n"/>
      <c r="G676" s="52" t="n"/>
      <c r="H676" s="52" t="n"/>
      <c r="I676" s="52" t="n"/>
      <c r="J676" s="59" t="n"/>
      <c r="K676" s="59" t="n"/>
      <c r="L676" s="59" t="n"/>
      <c r="M676" s="59" t="n"/>
      <c r="N676" s="59" t="n"/>
      <c r="O676" s="297" t="n"/>
      <c r="P676" s="297" t="n"/>
      <c r="Q676" s="297" t="n"/>
      <c r="R676" s="297" t="n"/>
      <c r="S676" s="297" t="n"/>
      <c r="T676" s="297" t="n"/>
      <c r="U676" s="297" t="n"/>
    </row>
    <row r="677">
      <c r="A677" s="174" t="n"/>
      <c r="B677" s="299" t="n"/>
      <c r="C677" s="107">
        <f>IF(B677="", "", VLOOKUP(B677, 'CLIENT DATA'!A:S, 19, FALSE))</f>
        <v/>
      </c>
      <c r="D677" s="107">
        <f t="array" ref="D677">IF(B677="", "", _xlfn.TEXTJOIN(", ", TRUE, IF('CLIENT DATA'!$A$2:$A$205=B677, 'CLIENT DATA'!$C$2:$F$205, "")))</f>
        <v/>
      </c>
      <c r="E677" s="52" t="n"/>
      <c r="F677" s="52" t="n"/>
      <c r="G677" s="52" t="n"/>
      <c r="H677" s="52" t="n"/>
      <c r="I677" s="52" t="n"/>
      <c r="J677" s="59" t="n"/>
      <c r="K677" s="59" t="n"/>
      <c r="L677" s="59" t="n"/>
      <c r="M677" s="59" t="n"/>
      <c r="N677" s="59" t="n"/>
      <c r="O677" s="297" t="n"/>
      <c r="P677" s="297" t="n"/>
      <c r="Q677" s="297" t="n"/>
      <c r="R677" s="297" t="n"/>
      <c r="S677" s="297" t="n"/>
      <c r="T677" s="297" t="n"/>
      <c r="U677" s="297" t="n"/>
    </row>
    <row r="678">
      <c r="A678" s="174" t="n"/>
      <c r="B678" s="299" t="n"/>
      <c r="C678" s="107">
        <f>IF(B678="", "", VLOOKUP(B678, 'CLIENT DATA'!A:S, 19, FALSE))</f>
        <v/>
      </c>
      <c r="D678" s="107">
        <f t="array" ref="D678">IF(B678="", "", _xlfn.TEXTJOIN(", ", TRUE, IF('CLIENT DATA'!$A$2:$A$205=B678, 'CLIENT DATA'!$C$2:$F$205, "")))</f>
        <v/>
      </c>
      <c r="E678" s="52" t="n"/>
      <c r="F678" s="52" t="n"/>
      <c r="G678" s="52" t="n"/>
      <c r="H678" s="52" t="n"/>
      <c r="I678" s="52" t="n"/>
      <c r="J678" s="59" t="n"/>
      <c r="K678" s="59" t="n"/>
      <c r="L678" s="59" t="n"/>
      <c r="M678" s="59" t="n"/>
      <c r="N678" s="59" t="n"/>
      <c r="O678" s="297" t="n"/>
      <c r="P678" s="297" t="n"/>
      <c r="Q678" s="297" t="n"/>
      <c r="R678" s="297" t="n"/>
      <c r="S678" s="297" t="n"/>
      <c r="T678" s="297" t="n"/>
      <c r="U678" s="297" t="n"/>
    </row>
    <row r="679">
      <c r="A679" s="174" t="n"/>
      <c r="B679" s="187" t="n"/>
      <c r="C679" s="107">
        <f>IF(B679="", "", VLOOKUP(B679, 'CLIENT DATA'!A:S, 19, FALSE))</f>
        <v/>
      </c>
      <c r="D679" s="107">
        <f t="array" ref="D679">IF(B679="", "", _xlfn.TEXTJOIN(", ", TRUE, IF('CLIENT DATA'!$A$2:$A$205=B679, 'CLIENT DATA'!$C$2:$F$205, "")))</f>
        <v/>
      </c>
      <c r="E679" s="52" t="n"/>
      <c r="F679" s="52" t="n"/>
      <c r="G679" s="52" t="n"/>
      <c r="H679" s="52" t="n"/>
      <c r="I679" s="52" t="n"/>
      <c r="J679" s="59" t="n"/>
      <c r="K679" s="59" t="n"/>
      <c r="L679" s="59" t="n"/>
      <c r="M679" s="59" t="n"/>
      <c r="N679" s="59" t="n"/>
      <c r="O679" s="297" t="n"/>
      <c r="P679" s="297" t="n"/>
      <c r="Q679" s="297" t="n"/>
      <c r="R679" s="297" t="n"/>
      <c r="S679" s="297" t="n"/>
      <c r="T679" s="297" t="n"/>
      <c r="U679" s="297" t="n"/>
    </row>
    <row r="680">
      <c r="A680" s="174" t="n"/>
      <c r="B680" s="187" t="n"/>
      <c r="C680" s="107">
        <f>IF(B680="", "", VLOOKUP(B680, 'CLIENT DATA'!A:S, 19, FALSE))</f>
        <v/>
      </c>
      <c r="D680" s="107">
        <f t="array" ref="D680">IF(B680="", "", _xlfn.TEXTJOIN(", ", TRUE, IF('CLIENT DATA'!$A$2:$A$205=B680, 'CLIENT DATA'!$C$2:$F$205, "")))</f>
        <v/>
      </c>
      <c r="E680" s="52" t="n"/>
      <c r="F680" s="52" t="n"/>
      <c r="G680" s="52" t="n"/>
      <c r="H680" s="52" t="n"/>
      <c r="I680" s="52" t="n"/>
      <c r="J680" s="59" t="n"/>
      <c r="K680" s="59" t="n"/>
      <c r="L680" s="59" t="n"/>
      <c r="M680" s="59" t="n"/>
      <c r="N680" s="59" t="n"/>
      <c r="O680" s="297" t="n"/>
      <c r="P680" s="297" t="n"/>
      <c r="Q680" s="297" t="n"/>
      <c r="R680" s="297" t="n"/>
      <c r="S680" s="297" t="n"/>
      <c r="T680" s="297" t="n"/>
      <c r="U680" s="297" t="n"/>
    </row>
    <row r="681">
      <c r="A681" s="174" t="n"/>
      <c r="B681" s="187" t="n"/>
      <c r="C681" s="107">
        <f>IF(B681="", "", VLOOKUP(B681, 'CLIENT DATA'!A:S, 19, FALSE))</f>
        <v/>
      </c>
      <c r="D681" s="107">
        <f t="array" ref="D681">IF(B681="", "", _xlfn.TEXTJOIN(", ", TRUE, IF('CLIENT DATA'!$A$2:$A$205=B681, 'CLIENT DATA'!$C$2:$F$205, "")))</f>
        <v/>
      </c>
      <c r="E681" s="52" t="n"/>
      <c r="F681" s="52" t="n"/>
      <c r="G681" s="52" t="n"/>
      <c r="H681" s="52" t="n"/>
      <c r="I681" s="52" t="n"/>
      <c r="J681" s="59" t="n"/>
      <c r="K681" s="59" t="n"/>
      <c r="L681" s="59" t="n"/>
      <c r="M681" s="59" t="n"/>
      <c r="N681" s="59" t="n"/>
      <c r="O681" s="297" t="n"/>
      <c r="P681" s="297" t="n"/>
      <c r="Q681" s="297" t="n"/>
      <c r="R681" s="297" t="n"/>
      <c r="S681" s="297" t="n"/>
      <c r="T681" s="297" t="n"/>
      <c r="U681" s="297" t="n"/>
    </row>
    <row r="682">
      <c r="A682" s="174" t="n"/>
      <c r="B682" s="187" t="n"/>
      <c r="C682" s="107">
        <f>IF(B682="", "", VLOOKUP(B682, 'CLIENT DATA'!A:S, 19, FALSE))</f>
        <v/>
      </c>
      <c r="D682" s="107">
        <f t="array" ref="D682">IF(B682="", "", _xlfn.TEXTJOIN(", ", TRUE, IF('CLIENT DATA'!$A$2:$A$205=B682, 'CLIENT DATA'!$C$2:$F$205, "")))</f>
        <v/>
      </c>
      <c r="E682" s="52" t="n"/>
      <c r="F682" s="52" t="n"/>
      <c r="G682" s="52" t="n"/>
      <c r="H682" s="52" t="n"/>
      <c r="I682" s="52" t="n"/>
      <c r="J682" s="59" t="n"/>
      <c r="K682" s="59" t="n"/>
      <c r="L682" s="59" t="n"/>
      <c r="M682" s="59" t="n"/>
      <c r="N682" s="59" t="n"/>
      <c r="O682" s="297" t="n"/>
      <c r="P682" s="297" t="n"/>
      <c r="Q682" s="297" t="n"/>
      <c r="R682" s="297" t="n"/>
      <c r="S682" s="297" t="n"/>
      <c r="T682" s="297" t="n"/>
      <c r="U682" s="297" t="n"/>
    </row>
    <row r="683">
      <c r="A683" s="174" t="n"/>
      <c r="B683" s="187" t="n"/>
      <c r="C683" s="107">
        <f>IF(B683="", "", VLOOKUP(B683, 'CLIENT DATA'!A:S, 19, FALSE))</f>
        <v/>
      </c>
      <c r="D683" s="107">
        <f t="array" ref="D683">IF(B683="", "", _xlfn.TEXTJOIN(", ", TRUE, IF('CLIENT DATA'!$A$2:$A$205=B683, 'CLIENT DATA'!$C$2:$F$205, "")))</f>
        <v/>
      </c>
      <c r="E683" s="52" t="n"/>
      <c r="F683" s="52" t="n"/>
      <c r="G683" s="52" t="n"/>
      <c r="H683" s="52" t="n"/>
      <c r="I683" s="52" t="n"/>
      <c r="J683" s="59" t="n"/>
      <c r="K683" s="59" t="n"/>
      <c r="L683" s="59" t="n"/>
      <c r="M683" s="59" t="n"/>
      <c r="N683" s="59" t="n"/>
      <c r="O683" s="297" t="n"/>
      <c r="P683" s="297" t="n"/>
      <c r="Q683" s="297" t="n"/>
      <c r="R683" s="297" t="n"/>
      <c r="S683" s="297" t="n"/>
      <c r="T683" s="297" t="n"/>
      <c r="U683" s="297" t="n"/>
    </row>
    <row r="684">
      <c r="A684" s="174" t="n"/>
      <c r="B684" s="187" t="n"/>
      <c r="C684" s="107">
        <f>IF(B684="", "", VLOOKUP(B684, 'CLIENT DATA'!A:S, 19, FALSE))</f>
        <v/>
      </c>
      <c r="D684" s="107">
        <f t="array" ref="D684">IF(B684="", "", _xlfn.TEXTJOIN(", ", TRUE, IF('CLIENT DATA'!$A$2:$A$205=B684, 'CLIENT DATA'!$C$2:$F$205, "")))</f>
        <v/>
      </c>
      <c r="E684" s="52" t="n"/>
      <c r="F684" s="52" t="n"/>
      <c r="G684" s="52" t="n"/>
      <c r="H684" s="52" t="n"/>
      <c r="I684" s="52" t="n"/>
      <c r="J684" s="59" t="n"/>
      <c r="K684" s="59" t="n"/>
      <c r="L684" s="59" t="n"/>
      <c r="M684" s="59" t="n"/>
      <c r="N684" s="59" t="n"/>
      <c r="O684" s="297" t="n"/>
      <c r="P684" s="297" t="n"/>
      <c r="Q684" s="297" t="n"/>
      <c r="R684" s="297" t="n"/>
      <c r="S684" s="297" t="n"/>
      <c r="T684" s="297" t="n"/>
      <c r="U684" s="297" t="n"/>
    </row>
    <row r="685">
      <c r="A685" s="174" t="n"/>
      <c r="B685" s="187" t="n"/>
      <c r="C685" s="107">
        <f>IF(B685="", "", VLOOKUP(B685, 'CLIENT DATA'!A:S, 19, FALSE))</f>
        <v/>
      </c>
      <c r="D685" s="107">
        <f t="array" ref="D685">IF(B685="", "", _xlfn.TEXTJOIN(", ", TRUE, IF('CLIENT DATA'!$A$2:$A$205=B685, 'CLIENT DATA'!$C$2:$F$205, "")))</f>
        <v/>
      </c>
      <c r="E685" s="52" t="n"/>
      <c r="F685" s="52" t="n"/>
      <c r="G685" s="52" t="n"/>
      <c r="H685" s="52" t="n"/>
      <c r="I685" s="52" t="n"/>
      <c r="J685" s="59" t="n"/>
      <c r="K685" s="59" t="n"/>
      <c r="L685" s="59" t="n"/>
      <c r="M685" s="59" t="n"/>
      <c r="N685" s="59" t="n"/>
      <c r="O685" s="297" t="n"/>
      <c r="P685" s="297" t="n"/>
      <c r="Q685" s="297" t="n"/>
      <c r="R685" s="297" t="n"/>
      <c r="S685" s="297" t="n"/>
      <c r="T685" s="297" t="n"/>
      <c r="U685" s="297" t="n"/>
    </row>
    <row r="686">
      <c r="A686" s="174" t="n"/>
      <c r="B686" s="187" t="n"/>
      <c r="C686" s="107">
        <f>IF(B686="", "", VLOOKUP(B686, 'CLIENT DATA'!A:S, 19, FALSE))</f>
        <v/>
      </c>
      <c r="D686" s="107">
        <f t="array" ref="D686">IF(B686="", "", _xlfn.TEXTJOIN(", ", TRUE, IF('CLIENT DATA'!$A$2:$A$205=B686, 'CLIENT DATA'!$C$2:$F$205, "")))</f>
        <v/>
      </c>
      <c r="E686" s="52" t="n"/>
      <c r="F686" s="52" t="n"/>
      <c r="G686" s="52" t="n"/>
      <c r="H686" s="52" t="n"/>
      <c r="I686" s="52" t="n"/>
      <c r="J686" s="59" t="n"/>
      <c r="K686" s="59" t="n"/>
      <c r="L686" s="59" t="n"/>
      <c r="M686" s="59" t="n"/>
      <c r="N686" s="59" t="n"/>
      <c r="O686" s="297" t="n"/>
      <c r="P686" s="297" t="n"/>
      <c r="Q686" s="297" t="n"/>
      <c r="R686" s="297" t="n"/>
      <c r="S686" s="297" t="n"/>
      <c r="T686" s="297" t="n"/>
      <c r="U686" s="297" t="n"/>
    </row>
    <row r="687">
      <c r="A687" s="174" t="n"/>
      <c r="B687" s="299" t="n"/>
      <c r="C687" s="107">
        <f>IF(B687="", "", VLOOKUP(B687, 'CLIENT DATA'!A:S, 19, FALSE))</f>
        <v/>
      </c>
      <c r="D687" s="107">
        <f t="array" ref="D687">IF(B687="", "", _xlfn.TEXTJOIN(", ", TRUE, IF('CLIENT DATA'!$A$2:$A$205=B687, 'CLIENT DATA'!$C$2:$F$205, "")))</f>
        <v/>
      </c>
      <c r="E687" s="52" t="n"/>
      <c r="F687" s="52" t="n"/>
      <c r="G687" s="52" t="n"/>
      <c r="H687" s="52" t="n"/>
      <c r="I687" s="52" t="n"/>
      <c r="J687" s="59" t="n"/>
      <c r="K687" s="59" t="n"/>
      <c r="L687" s="59" t="n"/>
      <c r="M687" s="59" t="n"/>
      <c r="N687" s="59" t="n"/>
      <c r="O687" s="297" t="n"/>
      <c r="P687" s="297" t="n"/>
      <c r="Q687" s="297" t="n"/>
      <c r="R687" s="297" t="n"/>
      <c r="S687" s="297" t="n"/>
      <c r="T687" s="297" t="n"/>
      <c r="U687" s="297" t="n"/>
    </row>
    <row r="688">
      <c r="A688" s="174" t="n"/>
      <c r="B688" s="299" t="n"/>
      <c r="C688" s="107">
        <f>IF(B688="", "", VLOOKUP(B688, 'CLIENT DATA'!A:S, 19, FALSE))</f>
        <v/>
      </c>
      <c r="D688" s="107">
        <f t="array" ref="D688">IF(B688="", "", _xlfn.TEXTJOIN(", ", TRUE, IF('CLIENT DATA'!$A$2:$A$205=B688, 'CLIENT DATA'!$C$2:$F$205, "")))</f>
        <v/>
      </c>
      <c r="E688" s="52" t="n"/>
      <c r="F688" s="52" t="n"/>
      <c r="G688" s="52" t="n"/>
      <c r="H688" s="52" t="n"/>
      <c r="I688" s="52" t="n"/>
      <c r="J688" s="59" t="n"/>
      <c r="K688" s="59" t="n"/>
      <c r="L688" s="59" t="n"/>
      <c r="M688" s="59" t="n"/>
      <c r="N688" s="59" t="n"/>
      <c r="O688" s="297" t="n"/>
      <c r="P688" s="297" t="n"/>
      <c r="Q688" s="297" t="n"/>
      <c r="R688" s="297" t="n"/>
      <c r="S688" s="297" t="n"/>
      <c r="T688" s="297" t="n"/>
      <c r="U688" s="297" t="n"/>
    </row>
    <row r="689">
      <c r="A689" s="174" t="n"/>
      <c r="B689" s="299" t="n"/>
      <c r="C689" s="107">
        <f>IF(B689="", "", VLOOKUP(B689, 'CLIENT DATA'!A:S, 19, FALSE))</f>
        <v/>
      </c>
      <c r="D689" s="107">
        <f t="array" ref="D689">IF(B689="", "", _xlfn.TEXTJOIN(", ", TRUE, IF('CLIENT DATA'!$A$2:$A$205=B689, 'CLIENT DATA'!$C$2:$F$205, "")))</f>
        <v/>
      </c>
      <c r="E689" s="52" t="n"/>
      <c r="F689" s="52" t="n"/>
      <c r="G689" s="52" t="n"/>
      <c r="H689" s="52" t="n"/>
      <c r="I689" s="52" t="n"/>
      <c r="J689" s="59" t="n"/>
      <c r="K689" s="59" t="n"/>
      <c r="L689" s="59" t="n"/>
      <c r="M689" s="59" t="n"/>
      <c r="N689" s="59" t="n"/>
      <c r="O689" s="297" t="n"/>
      <c r="P689" s="297" t="n"/>
      <c r="Q689" s="297" t="n"/>
      <c r="R689" s="297" t="n"/>
      <c r="S689" s="297" t="n"/>
      <c r="T689" s="297" t="n"/>
      <c r="U689" s="297" t="n"/>
    </row>
    <row r="690">
      <c r="A690" s="174" t="n"/>
      <c r="B690" s="299" t="n"/>
      <c r="C690" s="107">
        <f>IF(B690="", "", VLOOKUP(B690, 'CLIENT DATA'!A:S, 19, FALSE))</f>
        <v/>
      </c>
      <c r="D690" s="107">
        <f t="array" ref="D690">IF(B690="", "", _xlfn.TEXTJOIN(", ", TRUE, IF('CLIENT DATA'!$A$2:$A$205=B690, 'CLIENT DATA'!$C$2:$F$205, "")))</f>
        <v/>
      </c>
      <c r="E690" s="52" t="n"/>
      <c r="F690" s="52" t="n"/>
      <c r="G690" s="52" t="n"/>
      <c r="H690" s="52" t="n"/>
      <c r="I690" s="52" t="n"/>
      <c r="J690" s="59" t="n"/>
      <c r="K690" s="59" t="n"/>
      <c r="L690" s="59" t="n"/>
      <c r="M690" s="59" t="n"/>
      <c r="N690" s="59" t="n"/>
      <c r="O690" s="297" t="n"/>
      <c r="P690" s="297" t="n"/>
      <c r="Q690" s="297" t="n"/>
      <c r="R690" s="297" t="n"/>
      <c r="S690" s="297" t="n"/>
      <c r="T690" s="297" t="n"/>
      <c r="U690" s="297" t="n"/>
    </row>
    <row r="691">
      <c r="A691" s="174" t="n"/>
      <c r="B691" s="299" t="n"/>
      <c r="C691" s="107">
        <f>IF(B691="", "", VLOOKUP(B691, 'CLIENT DATA'!A:S, 19, FALSE))</f>
        <v/>
      </c>
      <c r="D691" s="107">
        <f t="array" ref="D691">IF(B691="", "", _xlfn.TEXTJOIN(", ", TRUE, IF('CLIENT DATA'!$A$2:$A$205=B691, 'CLIENT DATA'!$C$2:$F$205, "")))</f>
        <v/>
      </c>
      <c r="E691" s="52" t="n"/>
      <c r="F691" s="52" t="n"/>
      <c r="G691" s="52" t="n"/>
      <c r="H691" s="52" t="n"/>
      <c r="I691" s="52" t="n"/>
      <c r="J691" s="59" t="n"/>
      <c r="K691" s="59" t="n"/>
      <c r="L691" s="59" t="n"/>
      <c r="M691" s="59" t="n"/>
      <c r="N691" s="59" t="n"/>
      <c r="O691" s="297" t="n"/>
      <c r="P691" s="297" t="n"/>
      <c r="Q691" s="297" t="n"/>
      <c r="R691" s="297" t="n"/>
      <c r="S691" s="297" t="n"/>
      <c r="T691" s="297" t="n"/>
      <c r="U691" s="297" t="n"/>
    </row>
    <row r="692">
      <c r="A692" s="174" t="n"/>
      <c r="B692" s="299" t="n"/>
      <c r="C692" s="107">
        <f>IF(B692="", "", VLOOKUP(B692, 'CLIENT DATA'!A:S, 19, FALSE))</f>
        <v/>
      </c>
      <c r="D692" s="107">
        <f t="array" ref="D692">IF(B692="", "", _xlfn.TEXTJOIN(", ", TRUE, IF('CLIENT DATA'!$A$2:$A$205=B692, 'CLIENT DATA'!$C$2:$F$205, "")))</f>
        <v/>
      </c>
      <c r="E692" s="52" t="n"/>
      <c r="F692" s="52" t="n"/>
      <c r="G692" s="52" t="n"/>
      <c r="H692" s="52" t="n"/>
      <c r="I692" s="52" t="n"/>
      <c r="J692" s="59" t="n"/>
      <c r="K692" s="59" t="n"/>
      <c r="L692" s="59" t="n"/>
      <c r="M692" s="59" t="n"/>
      <c r="N692" s="59" t="n"/>
      <c r="O692" s="297" t="n"/>
      <c r="P692" s="297" t="n"/>
      <c r="Q692" s="297" t="n"/>
      <c r="R692" s="297" t="n"/>
      <c r="S692" s="297" t="n"/>
      <c r="T692" s="297" t="n"/>
      <c r="U692" s="297" t="n"/>
    </row>
    <row r="693">
      <c r="A693" s="174" t="n"/>
      <c r="B693" s="299" t="n"/>
      <c r="C693" s="107">
        <f>IF(B693="", "", VLOOKUP(B693, 'CLIENT DATA'!A:S, 19, FALSE))</f>
        <v/>
      </c>
      <c r="D693" s="107">
        <f t="array" ref="D693">IF(B693="", "", _xlfn.TEXTJOIN(", ", TRUE, IF('CLIENT DATA'!$A$2:$A$205=B693, 'CLIENT DATA'!$C$2:$F$205, "")))</f>
        <v/>
      </c>
      <c r="E693" s="52" t="n"/>
      <c r="F693" s="52" t="n"/>
      <c r="G693" s="52" t="n"/>
      <c r="H693" s="52" t="n"/>
      <c r="I693" s="52" t="n"/>
      <c r="J693" s="59" t="n"/>
      <c r="K693" s="59" t="n"/>
      <c r="L693" s="59" t="n"/>
      <c r="M693" s="59" t="n"/>
      <c r="N693" s="59" t="n"/>
      <c r="O693" s="297" t="n"/>
      <c r="P693" s="297" t="n"/>
      <c r="Q693" s="297" t="n"/>
      <c r="R693" s="297" t="n"/>
      <c r="S693" s="297" t="n"/>
      <c r="T693" s="297" t="n"/>
      <c r="U693" s="297" t="n"/>
    </row>
    <row r="694">
      <c r="A694" s="174" t="n"/>
      <c r="B694" s="299" t="n"/>
      <c r="C694" s="107">
        <f>IF(B694="", "", VLOOKUP(B694, 'CLIENT DATA'!A:S, 19, FALSE))</f>
        <v/>
      </c>
      <c r="D694" s="107">
        <f t="array" ref="D694">IF(B694="", "", _xlfn.TEXTJOIN(", ", TRUE, IF('CLIENT DATA'!$A$2:$A$205=B694, 'CLIENT DATA'!$C$2:$F$205, "")))</f>
        <v/>
      </c>
      <c r="E694" s="52" t="n"/>
      <c r="F694" s="52" t="n"/>
      <c r="G694" s="52" t="n"/>
      <c r="H694" s="52" t="n"/>
      <c r="I694" s="52" t="n"/>
      <c r="J694" s="59" t="n"/>
      <c r="K694" s="59" t="n"/>
      <c r="L694" s="59" t="n"/>
      <c r="M694" s="59" t="n"/>
      <c r="N694" s="59" t="n"/>
      <c r="O694" s="297" t="n"/>
      <c r="P694" s="297" t="n"/>
      <c r="Q694" s="297" t="n"/>
      <c r="R694" s="297" t="n"/>
      <c r="S694" s="297" t="n"/>
      <c r="T694" s="297" t="n"/>
      <c r="U694" s="297" t="n"/>
    </row>
    <row r="695">
      <c r="A695" s="174" t="n"/>
      <c r="B695" s="299" t="n"/>
      <c r="C695" s="107">
        <f>IF(B695="", "", VLOOKUP(B695, 'CLIENT DATA'!A:S, 19, FALSE))</f>
        <v/>
      </c>
      <c r="D695" s="107">
        <f t="array" ref="D695">IF(B695="", "", _xlfn.TEXTJOIN(", ", TRUE, IF('CLIENT DATA'!$A$2:$A$205=B695, 'CLIENT DATA'!$C$2:$F$205, "")))</f>
        <v/>
      </c>
      <c r="E695" s="52" t="n"/>
      <c r="F695" s="52" t="n"/>
      <c r="G695" s="52" t="n"/>
      <c r="H695" s="52" t="n"/>
      <c r="I695" s="52" t="n"/>
      <c r="J695" s="59" t="n"/>
      <c r="K695" s="59" t="n"/>
      <c r="L695" s="59" t="n"/>
      <c r="M695" s="59" t="n"/>
      <c r="N695" s="59" t="n"/>
      <c r="O695" s="297" t="n"/>
      <c r="P695" s="297" t="n"/>
      <c r="Q695" s="297" t="n"/>
      <c r="R695" s="297" t="n"/>
      <c r="S695" s="297" t="n"/>
      <c r="T695" s="297" t="n"/>
      <c r="U695" s="297" t="n"/>
    </row>
    <row r="696">
      <c r="A696" s="174" t="n"/>
      <c r="B696" s="299" t="n"/>
      <c r="C696" s="107">
        <f>IF(B696="", "", VLOOKUP(B696, 'CLIENT DATA'!A:S, 19, FALSE))</f>
        <v/>
      </c>
      <c r="D696" s="107">
        <f t="array" ref="D696">IF(B696="", "", _xlfn.TEXTJOIN(", ", TRUE, IF('CLIENT DATA'!$A$2:$A$205=B696, 'CLIENT DATA'!$C$2:$F$205, "")))</f>
        <v/>
      </c>
      <c r="E696" s="52" t="n"/>
      <c r="F696" s="52" t="n"/>
      <c r="G696" s="52" t="n"/>
      <c r="H696" s="52" t="n"/>
      <c r="I696" s="52" t="n"/>
      <c r="J696" s="59" t="n"/>
      <c r="K696" s="59" t="n"/>
      <c r="L696" s="59" t="n"/>
      <c r="M696" s="59" t="n"/>
      <c r="N696" s="59" t="n"/>
      <c r="O696" s="297" t="n"/>
      <c r="P696" s="297" t="n"/>
      <c r="Q696" s="297" t="n"/>
      <c r="R696" s="297" t="n"/>
      <c r="S696" s="297" t="n"/>
      <c r="T696" s="297" t="n"/>
      <c r="U696" s="297" t="n"/>
    </row>
    <row r="697">
      <c r="A697" s="174" t="n"/>
      <c r="B697" s="299" t="n"/>
      <c r="C697" s="107">
        <f>IF(B697="", "", VLOOKUP(B697, 'CLIENT DATA'!A:S, 19, FALSE))</f>
        <v/>
      </c>
      <c r="D697" s="107">
        <f t="array" ref="D697">IF(B697="", "", _xlfn.TEXTJOIN(", ", TRUE, IF('CLIENT DATA'!$A$2:$A$205=B697, 'CLIENT DATA'!$C$2:$F$205, "")))</f>
        <v/>
      </c>
      <c r="E697" s="52" t="n"/>
      <c r="F697" s="52" t="n"/>
      <c r="G697" s="52" t="n"/>
      <c r="H697" s="52" t="n"/>
      <c r="I697" s="52" t="n"/>
      <c r="J697" s="59" t="n"/>
      <c r="K697" s="59" t="n"/>
      <c r="L697" s="59" t="n"/>
      <c r="M697" s="59" t="n"/>
      <c r="N697" s="59" t="n"/>
      <c r="O697" s="297" t="n"/>
      <c r="P697" s="297" t="n"/>
      <c r="Q697" s="297" t="n"/>
      <c r="R697" s="297" t="n"/>
      <c r="S697" s="297" t="n"/>
      <c r="T697" s="297" t="n"/>
      <c r="U697" s="297" t="n"/>
    </row>
    <row r="698">
      <c r="A698" s="174" t="n"/>
      <c r="B698" s="299" t="n"/>
      <c r="C698" s="107">
        <f>IF(B698="", "", VLOOKUP(B698, 'CLIENT DATA'!A:S, 19, FALSE))</f>
        <v/>
      </c>
      <c r="D698" s="107">
        <f t="array" ref="D698">IF(B698="", "", _xlfn.TEXTJOIN(", ", TRUE, IF('CLIENT DATA'!$A$2:$A$205=B698, 'CLIENT DATA'!$C$2:$F$205, "")))</f>
        <v/>
      </c>
      <c r="E698" s="52" t="n"/>
      <c r="F698" s="52" t="n"/>
      <c r="G698" s="52" t="n"/>
      <c r="H698" s="52" t="n"/>
      <c r="I698" s="52" t="n"/>
      <c r="J698" s="59" t="n"/>
      <c r="K698" s="59" t="n"/>
      <c r="L698" s="59" t="n"/>
      <c r="M698" s="59" t="n"/>
      <c r="N698" s="59" t="n"/>
      <c r="O698" s="297" t="n"/>
      <c r="P698" s="297" t="n"/>
      <c r="Q698" s="297" t="n"/>
      <c r="R698" s="297" t="n"/>
      <c r="S698" s="297" t="n"/>
      <c r="T698" s="297" t="n"/>
      <c r="U698" s="297" t="n"/>
    </row>
    <row r="699">
      <c r="A699" s="174" t="n"/>
      <c r="B699" s="300" t="n"/>
      <c r="C699" s="182">
        <f>IF(B699="", "", VLOOKUP(B699, 'CLIENT DATA'!A:S, 19, FALSE))</f>
        <v/>
      </c>
      <c r="D699" s="182">
        <f t="array" ref="D699">IF(B699="", "", _xlfn.TEXTJOIN(", ", TRUE, IF('CLIENT DATA'!$A$2:$A$205=B699, 'CLIENT DATA'!$C$2:$F$205, "")))</f>
        <v/>
      </c>
      <c r="E699" s="183" t="n"/>
      <c r="F699" s="183" t="n"/>
      <c r="G699" s="183" t="n"/>
      <c r="H699" s="183" t="n"/>
      <c r="I699" s="183" t="n"/>
      <c r="J699" s="184" t="n"/>
      <c r="K699" s="184" t="n"/>
      <c r="L699" s="184" t="n"/>
      <c r="M699" s="184" t="n"/>
      <c r="N699" s="184" t="n"/>
      <c r="O699" s="301" t="n"/>
      <c r="P699" s="301" t="n"/>
      <c r="Q699" s="301" t="n"/>
      <c r="R699" s="301" t="n"/>
      <c r="S699" s="301" t="n"/>
      <c r="T699" s="301" t="n"/>
      <c r="U699" s="301" t="n"/>
    </row>
    <row r="700">
      <c r="A700" s="174" t="n"/>
      <c r="B700" s="187" t="n"/>
      <c r="C700" s="107">
        <f>IF(B700="", "", VLOOKUP(B700, 'CLIENT DATA'!A:S, 19, FALSE))</f>
        <v/>
      </c>
      <c r="D700" s="107">
        <f t="array" ref="D700">IF(B700="", "", _xlfn.TEXTJOIN(", ", TRUE, IF('CLIENT DATA'!$A$2:$A$205=B700, 'CLIENT DATA'!$C$2:$F$205, "")))</f>
        <v/>
      </c>
      <c r="E700" s="52" t="n"/>
      <c r="F700" s="52" t="n"/>
      <c r="G700" s="52" t="n"/>
      <c r="H700" s="52" t="n"/>
      <c r="I700" s="52" t="n"/>
      <c r="J700" s="59" t="n"/>
      <c r="K700" s="59" t="n"/>
      <c r="L700" s="59" t="n"/>
      <c r="M700" s="59" t="n"/>
      <c r="N700" s="59" t="n"/>
      <c r="O700" s="297" t="n"/>
      <c r="P700" s="297" t="n"/>
      <c r="Q700" s="297" t="n"/>
      <c r="R700" s="297" t="n"/>
      <c r="S700" s="297" t="n"/>
      <c r="T700" s="297" t="n"/>
      <c r="U700" s="297" t="n"/>
    </row>
    <row r="701">
      <c r="A701" s="174" t="n"/>
      <c r="B701" s="187" t="n"/>
      <c r="C701" s="107">
        <f>IF(B701="", "", VLOOKUP(B701, 'CLIENT DATA'!A:S, 19, FALSE))</f>
        <v/>
      </c>
      <c r="D701" s="107">
        <f t="array" ref="D701">IF(B701="", "", _xlfn.TEXTJOIN(", ", TRUE, IF('CLIENT DATA'!$A$2:$A$205=B701, 'CLIENT DATA'!$C$2:$F$205, "")))</f>
        <v/>
      </c>
      <c r="E701" s="52" t="n"/>
      <c r="F701" s="52" t="n"/>
      <c r="G701" s="52" t="n"/>
      <c r="H701" s="52" t="n"/>
      <c r="I701" s="52" t="n"/>
      <c r="J701" s="59" t="n"/>
      <c r="K701" s="59" t="n"/>
      <c r="L701" s="59" t="n"/>
      <c r="M701" s="59" t="n"/>
      <c r="N701" s="59" t="n"/>
      <c r="O701" s="297" t="n"/>
      <c r="P701" s="297" t="n"/>
      <c r="Q701" s="297" t="n"/>
      <c r="R701" s="297" t="n"/>
      <c r="S701" s="297" t="n"/>
      <c r="T701" s="297" t="n"/>
      <c r="U701" s="297" t="n"/>
    </row>
    <row r="702">
      <c r="A702" s="174" t="n"/>
      <c r="B702" s="187" t="n"/>
      <c r="C702" s="107">
        <f>IF(B702="", "", VLOOKUP(B702, 'CLIENT DATA'!A:S, 19, FALSE))</f>
        <v/>
      </c>
      <c r="D702" s="107">
        <f t="array" ref="D702">IF(B702="", "", _xlfn.TEXTJOIN(", ", TRUE, IF('CLIENT DATA'!$A$2:$A$205=B702, 'CLIENT DATA'!$C$2:$F$205, "")))</f>
        <v/>
      </c>
      <c r="E702" s="52" t="n"/>
      <c r="F702" s="52" t="n"/>
      <c r="G702" s="52" t="n"/>
      <c r="H702" s="52" t="n"/>
      <c r="I702" s="52" t="n"/>
      <c r="J702" s="59" t="n"/>
      <c r="K702" s="59" t="n"/>
      <c r="L702" s="59" t="n"/>
      <c r="M702" s="59" t="n"/>
      <c r="N702" s="59" t="n"/>
      <c r="O702" s="297" t="n"/>
      <c r="P702" s="297" t="n"/>
      <c r="Q702" s="297" t="n"/>
      <c r="R702" s="297" t="n"/>
      <c r="S702" s="297" t="n"/>
      <c r="T702" s="297" t="n"/>
      <c r="U702" s="297" t="n"/>
    </row>
    <row r="703">
      <c r="A703" s="174" t="n"/>
      <c r="B703" s="187" t="n"/>
      <c r="C703" s="107">
        <f>IF(B703="", "", VLOOKUP(B703, 'CLIENT DATA'!A:S, 19, FALSE))</f>
        <v/>
      </c>
      <c r="D703" s="107">
        <f t="array" ref="D703">IF(B703="", "", _xlfn.TEXTJOIN(", ", TRUE, IF('CLIENT DATA'!$A$2:$A$205=B703, 'CLIENT DATA'!$C$2:$F$205, "")))</f>
        <v/>
      </c>
      <c r="E703" s="52" t="n"/>
      <c r="F703" s="52" t="n"/>
      <c r="G703" s="52" t="n"/>
      <c r="H703" s="52" t="n"/>
      <c r="I703" s="52" t="n"/>
      <c r="J703" s="59" t="n"/>
      <c r="K703" s="59" t="n"/>
      <c r="L703" s="59" t="n"/>
      <c r="M703" s="59" t="n"/>
      <c r="N703" s="59" t="n"/>
      <c r="O703" s="297" t="n"/>
      <c r="P703" s="297" t="n"/>
      <c r="Q703" s="297" t="n"/>
      <c r="R703" s="297" t="n"/>
      <c r="S703" s="297" t="n"/>
      <c r="T703" s="297" t="n"/>
      <c r="U703" s="297" t="n"/>
    </row>
    <row r="704">
      <c r="A704" s="174" t="n"/>
      <c r="B704" s="187" t="n"/>
      <c r="C704" s="107">
        <f>IF(B704="", "", VLOOKUP(B704, 'CLIENT DATA'!A:S, 19, FALSE))</f>
        <v/>
      </c>
      <c r="D704" s="107">
        <f t="array" ref="D704">IF(B704="", "", _xlfn.TEXTJOIN(", ", TRUE, IF('CLIENT DATA'!$A$2:$A$205=B704, 'CLIENT DATA'!$C$2:$F$205, "")))</f>
        <v/>
      </c>
      <c r="E704" s="52" t="n"/>
      <c r="F704" s="52" t="n"/>
      <c r="G704" s="52" t="n"/>
      <c r="H704" s="52" t="n"/>
      <c r="I704" s="52" t="n"/>
      <c r="J704" s="59" t="n"/>
      <c r="K704" s="59" t="n"/>
      <c r="L704" s="59" t="n"/>
      <c r="M704" s="59" t="n"/>
      <c r="N704" s="59" t="n"/>
      <c r="O704" s="297" t="n"/>
      <c r="P704" s="297" t="n"/>
      <c r="Q704" s="297" t="n"/>
      <c r="R704" s="297" t="n"/>
      <c r="S704" s="297" t="n"/>
      <c r="T704" s="297" t="n"/>
      <c r="U704" s="297" t="n"/>
    </row>
    <row r="705">
      <c r="A705" s="174" t="n"/>
      <c r="B705" s="187" t="n"/>
      <c r="C705" s="107">
        <f>IF(B705="", "", VLOOKUP(B705, 'CLIENT DATA'!A:S, 19, FALSE))</f>
        <v/>
      </c>
      <c r="D705" s="107">
        <f t="array" ref="D705">IF(B705="", "", _xlfn.TEXTJOIN(", ", TRUE, IF('CLIENT DATA'!$A$2:$A$205=B705, 'CLIENT DATA'!$C$2:$F$205, "")))</f>
        <v/>
      </c>
      <c r="E705" s="52" t="n"/>
      <c r="F705" s="52" t="n"/>
      <c r="G705" s="52" t="n"/>
      <c r="H705" s="52" t="n"/>
      <c r="I705" s="52" t="n"/>
      <c r="J705" s="59" t="n"/>
      <c r="K705" s="59" t="n"/>
      <c r="L705" s="59" t="n"/>
      <c r="M705" s="59" t="n"/>
      <c r="N705" s="59" t="n"/>
      <c r="O705" s="297" t="n"/>
      <c r="P705" s="297" t="n"/>
      <c r="Q705" s="297" t="n"/>
      <c r="R705" s="297" t="n"/>
      <c r="S705" s="297" t="n"/>
      <c r="T705" s="297" t="n"/>
      <c r="U705" s="297" t="n"/>
    </row>
    <row r="706">
      <c r="A706" s="174" t="n"/>
      <c r="B706" s="187" t="n"/>
      <c r="C706" s="107">
        <f>IF(B706="", "", VLOOKUP(B706, 'CLIENT DATA'!A:S, 19, FALSE))</f>
        <v/>
      </c>
      <c r="D706" s="107">
        <f t="array" ref="D706">IF(B706="", "", _xlfn.TEXTJOIN(", ", TRUE, IF('CLIENT DATA'!$A$2:$A$205=B706, 'CLIENT DATA'!$C$2:$F$205, "")))</f>
        <v/>
      </c>
      <c r="E706" s="52" t="n"/>
      <c r="F706" s="52" t="n"/>
      <c r="G706" s="52" t="n"/>
      <c r="H706" s="52" t="n"/>
      <c r="I706" s="52" t="n"/>
      <c r="J706" s="59" t="n"/>
      <c r="K706" s="59" t="n"/>
      <c r="L706" s="59" t="n"/>
      <c r="M706" s="59" t="n"/>
      <c r="N706" s="59" t="n"/>
      <c r="O706" s="297" t="n"/>
      <c r="P706" s="297" t="n"/>
      <c r="Q706" s="297" t="n"/>
      <c r="R706" s="297" t="n"/>
      <c r="S706" s="297" t="n"/>
      <c r="T706" s="297" t="n"/>
      <c r="U706" s="297" t="n"/>
    </row>
    <row r="707">
      <c r="A707" s="174" t="n"/>
      <c r="B707" s="187" t="n"/>
      <c r="C707" s="107">
        <f>IF(B707="", "", VLOOKUP(B707, 'CLIENT DATA'!A:S, 19, FALSE))</f>
        <v/>
      </c>
      <c r="D707" s="107">
        <f t="array" ref="D707">IF(B707="", "", _xlfn.TEXTJOIN(", ", TRUE, IF('CLIENT DATA'!$A$2:$A$205=B707, 'CLIENT DATA'!$C$2:$F$205, "")))</f>
        <v/>
      </c>
      <c r="E707" s="52" t="n"/>
      <c r="F707" s="52" t="n"/>
      <c r="G707" s="52" t="n"/>
      <c r="H707" s="52" t="n"/>
      <c r="I707" s="52" t="n"/>
      <c r="J707" s="59" t="n"/>
      <c r="K707" s="59" t="n"/>
      <c r="L707" s="59" t="n"/>
      <c r="M707" s="59" t="n"/>
      <c r="N707" s="59" t="n"/>
      <c r="O707" s="297" t="n"/>
      <c r="P707" s="297" t="n"/>
      <c r="Q707" s="297" t="n"/>
      <c r="R707" s="297" t="n"/>
      <c r="S707" s="297" t="n"/>
      <c r="T707" s="297" t="n"/>
      <c r="U707" s="297" t="n"/>
    </row>
    <row r="708">
      <c r="A708" s="174" t="n"/>
      <c r="B708" s="299" t="n"/>
      <c r="C708" s="107">
        <f>IF(B708="", "", VLOOKUP(B708, 'CLIENT DATA'!A:S, 19, FALSE))</f>
        <v/>
      </c>
      <c r="D708" s="107">
        <f t="array" ref="D708">IF(B708="", "", _xlfn.TEXTJOIN(", ", TRUE, IF('CLIENT DATA'!$A$2:$A$205=B708, 'CLIENT DATA'!$C$2:$F$205, "")))</f>
        <v/>
      </c>
      <c r="E708" s="52" t="n"/>
      <c r="F708" s="52" t="n"/>
      <c r="G708" s="52" t="n"/>
      <c r="H708" s="52" t="n"/>
      <c r="I708" s="52" t="n"/>
      <c r="J708" s="59" t="n"/>
      <c r="K708" s="59" t="n"/>
      <c r="L708" s="59" t="n"/>
      <c r="M708" s="59" t="n"/>
      <c r="N708" s="59" t="n"/>
      <c r="O708" s="297" t="n"/>
      <c r="P708" s="297" t="n"/>
      <c r="Q708" s="297" t="n"/>
      <c r="R708" s="297" t="n"/>
      <c r="S708" s="297" t="n"/>
      <c r="T708" s="297" t="n"/>
      <c r="U708" s="297" t="n"/>
    </row>
    <row r="709">
      <c r="A709" s="174" t="n"/>
      <c r="B709" s="299" t="n"/>
      <c r="C709" s="107">
        <f>IF(B709="", "", VLOOKUP(B709, 'CLIENT DATA'!A:S, 19, FALSE))</f>
        <v/>
      </c>
      <c r="D709" s="107">
        <f t="array" ref="D709">IF(B709="", "", _xlfn.TEXTJOIN(", ", TRUE, IF('CLIENT DATA'!$A$2:$A$205=B709, 'CLIENT DATA'!$C$2:$F$205, "")))</f>
        <v/>
      </c>
      <c r="E709" s="52" t="n"/>
      <c r="F709" s="52" t="n"/>
      <c r="G709" s="52" t="n"/>
      <c r="H709" s="52" t="n"/>
      <c r="I709" s="52" t="n"/>
      <c r="J709" s="59" t="n"/>
      <c r="K709" s="59" t="n"/>
      <c r="L709" s="59" t="n"/>
      <c r="M709" s="59" t="n"/>
      <c r="N709" s="59" t="n"/>
      <c r="O709" s="297" t="n"/>
      <c r="P709" s="297" t="n"/>
      <c r="Q709" s="297" t="n"/>
      <c r="R709" s="297" t="n"/>
      <c r="S709" s="297" t="n"/>
      <c r="T709" s="297" t="n"/>
      <c r="U709" s="297" t="n"/>
    </row>
    <row r="710">
      <c r="A710" s="174" t="n"/>
      <c r="B710" s="299" t="n"/>
      <c r="C710" s="107">
        <f>IF(B710="", "", VLOOKUP(B710, 'CLIENT DATA'!A:S, 19, FALSE))</f>
        <v/>
      </c>
      <c r="D710" s="107">
        <f t="array" ref="D710">IF(B710="", "", _xlfn.TEXTJOIN(", ", TRUE, IF('CLIENT DATA'!$A$2:$A$205=B710, 'CLIENT DATA'!$C$2:$F$205, "")))</f>
        <v/>
      </c>
      <c r="E710" s="52" t="n"/>
      <c r="F710" s="52" t="n"/>
      <c r="G710" s="52" t="n"/>
      <c r="H710" s="52" t="n"/>
      <c r="I710" s="52" t="n"/>
      <c r="J710" s="59" t="n"/>
      <c r="K710" s="59" t="n"/>
      <c r="L710" s="59" t="n"/>
      <c r="M710" s="59" t="n"/>
      <c r="N710" s="59" t="n"/>
      <c r="O710" s="297" t="n"/>
      <c r="P710" s="297" t="n"/>
      <c r="Q710" s="297" t="n"/>
      <c r="R710" s="297" t="n"/>
      <c r="S710" s="297" t="n"/>
      <c r="T710" s="297" t="n"/>
      <c r="U710" s="297" t="n"/>
    </row>
    <row r="711">
      <c r="A711" s="174" t="n"/>
      <c r="B711" s="299" t="n"/>
      <c r="C711" s="107">
        <f>IF(B711="", "", VLOOKUP(B711, 'CLIENT DATA'!A:S, 19, FALSE))</f>
        <v/>
      </c>
      <c r="D711" s="107">
        <f t="array" ref="D711">IF(B711="", "", _xlfn.TEXTJOIN(", ", TRUE, IF('CLIENT DATA'!$A$2:$A$205=B711, 'CLIENT DATA'!$C$2:$F$205, "")))</f>
        <v/>
      </c>
      <c r="E711" s="52" t="n"/>
      <c r="F711" s="52" t="n"/>
      <c r="G711" s="52" t="n"/>
      <c r="H711" s="52" t="n"/>
      <c r="I711" s="52" t="n"/>
      <c r="J711" s="59" t="n"/>
      <c r="K711" s="59" t="n"/>
      <c r="L711" s="59" t="n"/>
      <c r="M711" s="59" t="n"/>
      <c r="N711" s="59" t="n"/>
      <c r="O711" s="297" t="n"/>
      <c r="P711" s="297" t="n"/>
      <c r="Q711" s="297" t="n"/>
      <c r="R711" s="297" t="n"/>
      <c r="S711" s="297" t="n"/>
      <c r="T711" s="297" t="n"/>
      <c r="U711" s="297" t="n"/>
    </row>
    <row r="712">
      <c r="A712" s="174" t="n"/>
      <c r="B712" s="299" t="n"/>
      <c r="C712" s="107">
        <f>IF(B712="", "", VLOOKUP(B712, 'CLIENT DATA'!A:S, 19, FALSE))</f>
        <v/>
      </c>
      <c r="D712" s="107">
        <f t="array" ref="D712">IF(B712="", "", _xlfn.TEXTJOIN(", ", TRUE, IF('CLIENT DATA'!$A$2:$A$205=B712, 'CLIENT DATA'!$C$2:$F$205, "")))</f>
        <v/>
      </c>
      <c r="E712" s="52" t="n"/>
      <c r="F712" s="52" t="n"/>
      <c r="G712" s="52" t="n"/>
      <c r="H712" s="52" t="n"/>
      <c r="I712" s="52" t="n"/>
      <c r="J712" s="59" t="n"/>
      <c r="K712" s="59" t="n"/>
      <c r="L712" s="59" t="n"/>
      <c r="M712" s="59" t="n"/>
      <c r="N712" s="59" t="n"/>
      <c r="O712" s="297" t="n"/>
      <c r="P712" s="297" t="n"/>
      <c r="Q712" s="297" t="n"/>
      <c r="R712" s="297" t="n"/>
      <c r="S712" s="297" t="n"/>
      <c r="T712" s="297" t="n"/>
      <c r="U712" s="297" t="n"/>
    </row>
    <row r="713">
      <c r="A713" s="174" t="n"/>
      <c r="B713" s="299" t="n"/>
      <c r="C713" s="107">
        <f>IF(B713="", "", VLOOKUP(B713, 'CLIENT DATA'!A:S, 19, FALSE))</f>
        <v/>
      </c>
      <c r="D713" s="107">
        <f t="array" ref="D713">IF(B713="", "", _xlfn.TEXTJOIN(", ", TRUE, IF('CLIENT DATA'!$A$2:$A$205=B713, 'CLIENT DATA'!$C$2:$F$205, "")))</f>
        <v/>
      </c>
      <c r="E713" s="52" t="n"/>
      <c r="F713" s="52" t="n"/>
      <c r="G713" s="52" t="n"/>
      <c r="H713" s="52" t="n"/>
      <c r="I713" s="52" t="n"/>
      <c r="J713" s="59" t="n"/>
      <c r="K713" s="59" t="n"/>
      <c r="L713" s="59" t="n"/>
      <c r="M713" s="59" t="n"/>
      <c r="N713" s="59" t="n"/>
      <c r="O713" s="297" t="n"/>
      <c r="P713" s="297" t="n"/>
      <c r="Q713" s="297" t="n"/>
      <c r="R713" s="297" t="n"/>
      <c r="S713" s="297" t="n"/>
      <c r="T713" s="297" t="n"/>
      <c r="U713" s="297" t="n"/>
    </row>
    <row r="714">
      <c r="A714" s="174" t="n"/>
      <c r="B714" s="299" t="n"/>
      <c r="C714" s="107">
        <f>IF(B714="", "", VLOOKUP(B714, 'CLIENT DATA'!A:S, 19, FALSE))</f>
        <v/>
      </c>
      <c r="D714" s="107">
        <f t="array" ref="D714">IF(B714="", "", _xlfn.TEXTJOIN(", ", TRUE, IF('CLIENT DATA'!$A$2:$A$205=B714, 'CLIENT DATA'!$C$2:$F$205, "")))</f>
        <v/>
      </c>
      <c r="E714" s="52" t="n"/>
      <c r="F714" s="52" t="n"/>
      <c r="G714" s="52" t="n"/>
      <c r="H714" s="52" t="n"/>
      <c r="I714" s="52" t="n"/>
      <c r="J714" s="59" t="n"/>
      <c r="K714" s="59" t="n"/>
      <c r="L714" s="59" t="n"/>
      <c r="M714" s="59" t="n"/>
      <c r="N714" s="59" t="n"/>
      <c r="O714" s="297" t="n"/>
      <c r="P714" s="297" t="n"/>
      <c r="Q714" s="297" t="n"/>
      <c r="R714" s="297" t="n"/>
      <c r="S714" s="297" t="n"/>
      <c r="T714" s="297" t="n"/>
      <c r="U714" s="297" t="n"/>
    </row>
    <row r="715">
      <c r="A715" s="174" t="n"/>
      <c r="B715" s="299" t="n"/>
      <c r="C715" s="107">
        <f>IF(B715="", "", VLOOKUP(B715, 'CLIENT DATA'!A:S, 19, FALSE))</f>
        <v/>
      </c>
      <c r="D715" s="107">
        <f t="array" ref="D715">IF(B715="", "", _xlfn.TEXTJOIN(", ", TRUE, IF('CLIENT DATA'!$A$2:$A$205=B715, 'CLIENT DATA'!$C$2:$F$205, "")))</f>
        <v/>
      </c>
      <c r="E715" s="52" t="n"/>
      <c r="F715" s="52" t="n"/>
      <c r="G715" s="52" t="n"/>
      <c r="H715" s="52" t="n"/>
      <c r="I715" s="52" t="n"/>
      <c r="J715" s="59" t="n"/>
      <c r="K715" s="59" t="n"/>
      <c r="L715" s="59" t="n"/>
      <c r="M715" s="59" t="n"/>
      <c r="N715" s="59" t="n"/>
      <c r="O715" s="297" t="n"/>
      <c r="P715" s="297" t="n"/>
      <c r="Q715" s="297" t="n"/>
      <c r="R715" s="297" t="n"/>
      <c r="S715" s="297" t="n"/>
      <c r="T715" s="297" t="n"/>
      <c r="U715" s="297" t="n"/>
    </row>
    <row r="716">
      <c r="A716" s="174" t="n"/>
      <c r="B716" s="299" t="n"/>
      <c r="C716" s="107">
        <f>IF(B716="", "", VLOOKUP(B716, 'CLIENT DATA'!A:S, 19, FALSE))</f>
        <v/>
      </c>
      <c r="D716" s="107">
        <f t="array" ref="D716">IF(B716="", "", _xlfn.TEXTJOIN(", ", TRUE, IF('CLIENT DATA'!$A$2:$A$205=B716, 'CLIENT DATA'!$C$2:$F$205, "")))</f>
        <v/>
      </c>
      <c r="E716" s="52" t="n"/>
      <c r="F716" s="52" t="n"/>
      <c r="G716" s="52" t="n"/>
      <c r="H716" s="52" t="n"/>
      <c r="I716" s="52" t="n"/>
      <c r="J716" s="59" t="n"/>
      <c r="K716" s="59" t="n"/>
      <c r="L716" s="59" t="n"/>
      <c r="M716" s="59" t="n"/>
      <c r="N716" s="59" t="n"/>
      <c r="O716" s="297" t="n"/>
      <c r="P716" s="297" t="n"/>
      <c r="Q716" s="297" t="n"/>
      <c r="R716" s="297" t="n"/>
      <c r="S716" s="297" t="n"/>
      <c r="T716" s="297" t="n"/>
      <c r="U716" s="297" t="n"/>
    </row>
    <row r="717">
      <c r="A717" s="174" t="n"/>
      <c r="B717" s="299" t="n"/>
      <c r="C717" s="107">
        <f>IF(B717="", "", VLOOKUP(B717, 'CLIENT DATA'!A:S, 19, FALSE))</f>
        <v/>
      </c>
      <c r="D717" s="107">
        <f t="array" ref="D717">IF(B717="", "", _xlfn.TEXTJOIN(", ", TRUE, IF('CLIENT DATA'!$A$2:$A$205=B717, 'CLIENT DATA'!$C$2:$F$205, "")))</f>
        <v/>
      </c>
      <c r="E717" s="52" t="n"/>
      <c r="F717" s="52" t="n"/>
      <c r="G717" s="52" t="n"/>
      <c r="H717" s="52" t="n"/>
      <c r="I717" s="52" t="n"/>
      <c r="J717" s="59" t="n"/>
      <c r="K717" s="59" t="n"/>
      <c r="L717" s="59" t="n"/>
      <c r="M717" s="59" t="n"/>
      <c r="N717" s="59" t="n"/>
      <c r="O717" s="297" t="n"/>
      <c r="P717" s="297" t="n"/>
      <c r="Q717" s="297" t="n"/>
      <c r="R717" s="297" t="n"/>
      <c r="S717" s="297" t="n"/>
      <c r="T717" s="297" t="n"/>
      <c r="U717" s="297" t="n"/>
    </row>
    <row r="718">
      <c r="A718" s="174" t="n"/>
      <c r="B718" s="299" t="n"/>
      <c r="C718" s="107">
        <f>IF(B718="", "", VLOOKUP(B718, 'CLIENT DATA'!A:S, 19, FALSE))</f>
        <v/>
      </c>
      <c r="D718" s="107">
        <f t="array" ref="D718">IF(B718="", "", _xlfn.TEXTJOIN(", ", TRUE, IF('CLIENT DATA'!$A$2:$A$205=B718, 'CLIENT DATA'!$C$2:$F$205, "")))</f>
        <v/>
      </c>
      <c r="E718" s="52" t="n"/>
      <c r="F718" s="52" t="n"/>
      <c r="G718" s="52" t="n"/>
      <c r="H718" s="52" t="n"/>
      <c r="I718" s="52" t="n"/>
      <c r="J718" s="59" t="n"/>
      <c r="K718" s="59" t="n"/>
      <c r="L718" s="59" t="n"/>
      <c r="M718" s="59" t="n"/>
      <c r="N718" s="59" t="n"/>
      <c r="O718" s="297" t="n"/>
      <c r="P718" s="297" t="n"/>
      <c r="Q718" s="297" t="n"/>
      <c r="R718" s="297" t="n"/>
      <c r="S718" s="297" t="n"/>
      <c r="T718" s="297" t="n"/>
      <c r="U718" s="297" t="n"/>
    </row>
    <row r="719">
      <c r="A719" s="174" t="n"/>
      <c r="B719" s="299" t="n"/>
      <c r="C719" s="107">
        <f>IF(B719="", "", VLOOKUP(B719, 'CLIENT DATA'!A:S, 19, FALSE))</f>
        <v/>
      </c>
      <c r="D719" s="107">
        <f t="array" ref="D719">IF(B719="", "", _xlfn.TEXTJOIN(", ", TRUE, IF('CLIENT DATA'!$A$2:$A$205=B719, 'CLIENT DATA'!$C$2:$F$205, "")))</f>
        <v/>
      </c>
      <c r="E719" s="52" t="n"/>
      <c r="F719" s="52" t="n"/>
      <c r="G719" s="52" t="n"/>
      <c r="H719" s="52" t="n"/>
      <c r="I719" s="52" t="n"/>
      <c r="J719" s="59" t="n"/>
      <c r="K719" s="59" t="n"/>
      <c r="L719" s="59" t="n"/>
      <c r="M719" s="59" t="n"/>
      <c r="N719" s="59" t="n"/>
      <c r="O719" s="297" t="n"/>
      <c r="P719" s="297" t="n"/>
      <c r="Q719" s="297" t="n"/>
      <c r="R719" s="297" t="n"/>
      <c r="S719" s="297" t="n"/>
      <c r="T719" s="297" t="n"/>
      <c r="U719" s="297" t="n"/>
    </row>
    <row r="720">
      <c r="A720" s="174" t="n"/>
      <c r="B720" s="299" t="n"/>
      <c r="C720" s="107">
        <f>IF(B720="", "", VLOOKUP(B720, 'CLIENT DATA'!A:S, 19, FALSE))</f>
        <v/>
      </c>
      <c r="D720" s="107">
        <f t="array" ref="D720">IF(B720="", "", _xlfn.TEXTJOIN(", ", TRUE, IF('CLIENT DATA'!$A$2:$A$205=B720, 'CLIENT DATA'!$C$2:$F$205, "")))</f>
        <v/>
      </c>
      <c r="E720" s="52" t="n"/>
      <c r="F720" s="52" t="n"/>
      <c r="G720" s="52" t="n"/>
      <c r="H720" s="52" t="n"/>
      <c r="I720" s="52" t="n"/>
      <c r="J720" s="59" t="n"/>
      <c r="K720" s="59" t="n"/>
      <c r="L720" s="59" t="n"/>
      <c r="M720" s="59" t="n"/>
      <c r="N720" s="59" t="n"/>
      <c r="O720" s="297" t="n"/>
      <c r="P720" s="297" t="n"/>
      <c r="Q720" s="297" t="n"/>
      <c r="R720" s="297" t="n"/>
      <c r="S720" s="297" t="n"/>
      <c r="T720" s="297" t="n"/>
      <c r="U720" s="297" t="n"/>
    </row>
    <row r="721">
      <c r="A721" s="174" t="n"/>
      <c r="B721" s="187" t="n"/>
      <c r="C721" s="107">
        <f>IF(B721="", "", VLOOKUP(B721, 'CLIENT DATA'!A:S, 19, FALSE))</f>
        <v/>
      </c>
      <c r="D721" s="107">
        <f t="array" ref="D721">IF(B721="", "", _xlfn.TEXTJOIN(", ", TRUE, IF('CLIENT DATA'!$A$2:$A$205=B721, 'CLIENT DATA'!$C$2:$F$205, "")))</f>
        <v/>
      </c>
      <c r="E721" s="52" t="n"/>
      <c r="F721" s="52" t="n"/>
      <c r="G721" s="52" t="n"/>
      <c r="H721" s="52" t="n"/>
      <c r="I721" s="52" t="n"/>
      <c r="J721" s="59" t="n"/>
      <c r="K721" s="59" t="n"/>
      <c r="L721" s="59" t="n"/>
      <c r="M721" s="59" t="n"/>
      <c r="N721" s="59" t="n"/>
      <c r="O721" s="297" t="n"/>
      <c r="P721" s="297" t="n"/>
      <c r="Q721" s="297" t="n"/>
      <c r="R721" s="297" t="n"/>
      <c r="S721" s="297" t="n"/>
      <c r="T721" s="297" t="n"/>
      <c r="U721" s="297" t="n"/>
    </row>
    <row r="722">
      <c r="A722" s="174" t="n"/>
      <c r="B722" s="187" t="n"/>
      <c r="C722" s="107">
        <f>IF(B722="", "", VLOOKUP(B722, 'CLIENT DATA'!A:S, 19, FALSE))</f>
        <v/>
      </c>
      <c r="D722" s="107">
        <f t="array" ref="D722">IF(B722="", "", _xlfn.TEXTJOIN(", ", TRUE, IF('CLIENT DATA'!$A$2:$A$205=B722, 'CLIENT DATA'!$C$2:$F$205, "")))</f>
        <v/>
      </c>
      <c r="E722" s="52" t="n"/>
      <c r="F722" s="52" t="n"/>
      <c r="G722" s="52" t="n"/>
      <c r="H722" s="52" t="n"/>
      <c r="I722" s="52" t="n"/>
      <c r="J722" s="59" t="n"/>
      <c r="K722" s="59" t="n"/>
      <c r="L722" s="59" t="n"/>
      <c r="M722" s="59" t="n"/>
      <c r="N722" s="59" t="n"/>
      <c r="O722" s="297" t="n"/>
      <c r="P722" s="297" t="n"/>
      <c r="Q722" s="297" t="n"/>
      <c r="R722" s="297" t="n"/>
      <c r="S722" s="297" t="n"/>
      <c r="T722" s="297" t="n"/>
      <c r="U722" s="297" t="n"/>
    </row>
    <row r="723">
      <c r="A723" s="174" t="n"/>
      <c r="B723" s="187" t="n"/>
      <c r="C723" s="107">
        <f>IF(B723="", "", VLOOKUP(B723, 'CLIENT DATA'!A:S, 19, FALSE))</f>
        <v/>
      </c>
      <c r="D723" s="107">
        <f t="array" ref="D723">IF(B723="", "", _xlfn.TEXTJOIN(", ", TRUE, IF('CLIENT DATA'!$A$2:$A$205=B723, 'CLIENT DATA'!$C$2:$F$205, "")))</f>
        <v/>
      </c>
      <c r="E723" s="52" t="n"/>
      <c r="F723" s="52" t="n"/>
      <c r="G723" s="52" t="n"/>
      <c r="H723" s="52" t="n"/>
      <c r="I723" s="52" t="n"/>
      <c r="J723" s="59" t="n"/>
      <c r="K723" s="59" t="n"/>
      <c r="L723" s="59" t="n"/>
      <c r="M723" s="59" t="n"/>
      <c r="N723" s="59" t="n"/>
      <c r="O723" s="297" t="n"/>
      <c r="P723" s="297" t="n"/>
      <c r="Q723" s="297" t="n"/>
      <c r="R723" s="297" t="n"/>
      <c r="S723" s="297" t="n"/>
      <c r="T723" s="297" t="n"/>
      <c r="U723" s="297" t="n"/>
    </row>
    <row r="724">
      <c r="A724" s="174" t="n"/>
      <c r="B724" s="187" t="n"/>
      <c r="C724" s="107">
        <f>IF(B724="", "", VLOOKUP(B724, 'CLIENT DATA'!A:S, 19, FALSE))</f>
        <v/>
      </c>
      <c r="D724" s="107">
        <f t="array" ref="D724">IF(B724="", "", _xlfn.TEXTJOIN(", ", TRUE, IF('CLIENT DATA'!$A$2:$A$205=B724, 'CLIENT DATA'!$C$2:$F$205, "")))</f>
        <v/>
      </c>
      <c r="E724" s="52" t="n"/>
      <c r="F724" s="52" t="n"/>
      <c r="G724" s="52" t="n"/>
      <c r="H724" s="52" t="n"/>
      <c r="I724" s="52" t="n"/>
      <c r="J724" s="59" t="n"/>
      <c r="K724" s="59" t="n"/>
      <c r="L724" s="59" t="n"/>
      <c r="M724" s="59" t="n"/>
      <c r="N724" s="59" t="n"/>
      <c r="O724" s="297" t="n"/>
      <c r="P724" s="297" t="n"/>
      <c r="Q724" s="297" t="n"/>
      <c r="R724" s="297" t="n"/>
      <c r="S724" s="297" t="n"/>
      <c r="T724" s="297" t="n"/>
      <c r="U724" s="297" t="n"/>
    </row>
    <row r="725">
      <c r="A725" s="174" t="n"/>
      <c r="B725" s="187" t="n"/>
      <c r="C725" s="107">
        <f>IF(B725="", "", VLOOKUP(B725, 'CLIENT DATA'!A:S, 19, FALSE))</f>
        <v/>
      </c>
      <c r="D725" s="107">
        <f t="array" ref="D725">IF(B725="", "", _xlfn.TEXTJOIN(", ", TRUE, IF('CLIENT DATA'!$A$2:$A$205=B725, 'CLIENT DATA'!$C$2:$F$205, "")))</f>
        <v/>
      </c>
      <c r="E725" s="52" t="n"/>
      <c r="F725" s="52" t="n"/>
      <c r="G725" s="52" t="n"/>
      <c r="H725" s="52" t="n"/>
      <c r="I725" s="52" t="n"/>
      <c r="J725" s="59" t="n"/>
      <c r="K725" s="59" t="n"/>
      <c r="L725" s="59" t="n"/>
      <c r="M725" s="59" t="n"/>
      <c r="N725" s="59" t="n"/>
      <c r="O725" s="297" t="n"/>
      <c r="P725" s="297" t="n"/>
      <c r="Q725" s="297" t="n"/>
      <c r="R725" s="297" t="n"/>
      <c r="S725" s="297" t="n"/>
      <c r="T725" s="297" t="n"/>
      <c r="U725" s="297" t="n"/>
    </row>
    <row r="726">
      <c r="A726" s="174" t="n"/>
      <c r="B726" s="187" t="n"/>
      <c r="C726" s="107">
        <f>IF(B726="", "", VLOOKUP(B726, 'CLIENT DATA'!A:S, 19, FALSE))</f>
        <v/>
      </c>
      <c r="D726" s="107">
        <f t="array" ref="D726">IF(B726="", "", _xlfn.TEXTJOIN(", ", TRUE, IF('CLIENT DATA'!$A$2:$A$205=B726, 'CLIENT DATA'!$C$2:$F$205, "")))</f>
        <v/>
      </c>
      <c r="E726" s="52" t="n"/>
      <c r="F726" s="52" t="n"/>
      <c r="G726" s="52" t="n"/>
      <c r="H726" s="52" t="n"/>
      <c r="I726" s="52" t="n"/>
      <c r="J726" s="59" t="n"/>
      <c r="K726" s="59" t="n"/>
      <c r="L726" s="59" t="n"/>
      <c r="M726" s="59" t="n"/>
      <c r="N726" s="59" t="n"/>
      <c r="O726" s="297" t="n"/>
      <c r="P726" s="297" t="n"/>
      <c r="Q726" s="297" t="n"/>
      <c r="R726" s="297" t="n"/>
      <c r="S726" s="297" t="n"/>
      <c r="T726" s="297" t="n"/>
      <c r="U726" s="297" t="n"/>
    </row>
    <row r="727">
      <c r="A727" s="174" t="n"/>
      <c r="B727" s="187" t="n"/>
      <c r="C727" s="107">
        <f>IF(B727="", "", VLOOKUP(B727, 'CLIENT DATA'!A:S, 19, FALSE))</f>
        <v/>
      </c>
      <c r="D727" s="107">
        <f t="array" ref="D727">IF(B727="", "", _xlfn.TEXTJOIN(", ", TRUE, IF('CLIENT DATA'!$A$2:$A$205=B727, 'CLIENT DATA'!$C$2:$F$205, "")))</f>
        <v/>
      </c>
      <c r="E727" s="52" t="n"/>
      <c r="F727" s="52" t="n"/>
      <c r="G727" s="52" t="n"/>
      <c r="H727" s="52" t="n"/>
      <c r="I727" s="52" t="n"/>
      <c r="J727" s="59" t="n"/>
      <c r="K727" s="59" t="n"/>
      <c r="L727" s="59" t="n"/>
      <c r="M727" s="59" t="n"/>
      <c r="N727" s="59" t="n"/>
      <c r="O727" s="297" t="n"/>
      <c r="P727" s="297" t="n"/>
      <c r="Q727" s="297" t="n"/>
      <c r="R727" s="297" t="n"/>
      <c r="S727" s="297" t="n"/>
      <c r="T727" s="297" t="n"/>
      <c r="U727" s="297" t="n"/>
    </row>
    <row r="728">
      <c r="A728" s="174" t="n"/>
      <c r="B728" s="187" t="n"/>
      <c r="C728" s="107">
        <f>IF(B728="", "", VLOOKUP(B728, 'CLIENT DATA'!A:S, 19, FALSE))</f>
        <v/>
      </c>
      <c r="D728" s="107">
        <f t="array" ref="D728">IF(B728="", "", _xlfn.TEXTJOIN(", ", TRUE, IF('CLIENT DATA'!$A$2:$A$205=B728, 'CLIENT DATA'!$C$2:$F$205, "")))</f>
        <v/>
      </c>
      <c r="E728" s="52" t="n"/>
      <c r="F728" s="52" t="n"/>
      <c r="G728" s="52" t="n"/>
      <c r="H728" s="52" t="n"/>
      <c r="I728" s="52" t="n"/>
      <c r="J728" s="59" t="n"/>
      <c r="K728" s="59" t="n"/>
      <c r="L728" s="59" t="n"/>
      <c r="M728" s="59" t="n"/>
      <c r="N728" s="59" t="n"/>
      <c r="O728" s="297" t="n"/>
      <c r="P728" s="297" t="n"/>
      <c r="Q728" s="297" t="n"/>
      <c r="R728" s="297" t="n"/>
      <c r="S728" s="297" t="n"/>
      <c r="T728" s="297" t="n"/>
      <c r="U728" s="297" t="n"/>
    </row>
    <row r="729">
      <c r="A729" s="174" t="n"/>
      <c r="B729" s="299" t="n"/>
      <c r="C729" s="107">
        <f>IF(B729="", "", VLOOKUP(B729, 'CLIENT DATA'!A:S, 19, FALSE))</f>
        <v/>
      </c>
      <c r="D729" s="107">
        <f t="array" ref="D729">IF(B729="", "", _xlfn.TEXTJOIN(", ", TRUE, IF('CLIENT DATA'!$A$2:$A$205=B729, 'CLIENT DATA'!$C$2:$F$205, "")))</f>
        <v/>
      </c>
      <c r="E729" s="52" t="n"/>
      <c r="F729" s="52" t="n"/>
      <c r="G729" s="52" t="n"/>
      <c r="H729" s="52" t="n"/>
      <c r="I729" s="52" t="n"/>
      <c r="J729" s="59" t="n"/>
      <c r="K729" s="59" t="n"/>
      <c r="L729" s="59" t="n"/>
      <c r="M729" s="59" t="n"/>
      <c r="N729" s="59" t="n"/>
      <c r="O729" s="297" t="n"/>
      <c r="P729" s="297" t="n"/>
      <c r="Q729" s="297" t="n"/>
      <c r="R729" s="297" t="n"/>
      <c r="S729" s="297" t="n"/>
      <c r="T729" s="297" t="n"/>
      <c r="U729" s="297" t="n"/>
    </row>
    <row r="730">
      <c r="A730" s="174" t="n"/>
      <c r="B730" s="299" t="n"/>
      <c r="C730" s="107">
        <f>IF(B730="", "", VLOOKUP(B730, 'CLIENT DATA'!A:S, 19, FALSE))</f>
        <v/>
      </c>
      <c r="D730" s="107">
        <f t="array" ref="D730">IF(B730="", "", _xlfn.TEXTJOIN(", ", TRUE, IF('CLIENT DATA'!$A$2:$A$205=B730, 'CLIENT DATA'!$C$2:$F$205, "")))</f>
        <v/>
      </c>
      <c r="E730" s="52" t="n"/>
      <c r="F730" s="52" t="n"/>
      <c r="G730" s="52" t="n"/>
      <c r="H730" s="52" t="n"/>
      <c r="I730" s="52" t="n"/>
      <c r="J730" s="59" t="n"/>
      <c r="K730" s="59" t="n"/>
      <c r="L730" s="59" t="n"/>
      <c r="M730" s="59" t="n"/>
      <c r="N730" s="59" t="n"/>
      <c r="O730" s="297" t="n"/>
      <c r="P730" s="297" t="n"/>
      <c r="Q730" s="297" t="n"/>
      <c r="R730" s="297" t="n"/>
      <c r="S730" s="297" t="n"/>
      <c r="T730" s="297" t="n"/>
      <c r="U730" s="297" t="n"/>
    </row>
    <row r="731">
      <c r="A731" s="174" t="n"/>
      <c r="B731" s="299" t="n"/>
      <c r="C731" s="107">
        <f>IF(B731="", "", VLOOKUP(B731, 'CLIENT DATA'!A:S, 19, FALSE))</f>
        <v/>
      </c>
      <c r="D731" s="107">
        <f t="array" ref="D731">IF(B731="", "", _xlfn.TEXTJOIN(", ", TRUE, IF('CLIENT DATA'!$A$2:$A$205=B731, 'CLIENT DATA'!$C$2:$F$205, "")))</f>
        <v/>
      </c>
      <c r="E731" s="52" t="n"/>
      <c r="F731" s="52" t="n"/>
      <c r="G731" s="52" t="n"/>
      <c r="H731" s="52" t="n"/>
      <c r="I731" s="52" t="n"/>
      <c r="J731" s="59" t="n"/>
      <c r="K731" s="59" t="n"/>
      <c r="L731" s="59" t="n"/>
      <c r="M731" s="59" t="n"/>
      <c r="N731" s="59" t="n"/>
      <c r="O731" s="297" t="n"/>
      <c r="P731" s="297" t="n"/>
      <c r="Q731" s="297" t="n"/>
      <c r="R731" s="297" t="n"/>
      <c r="S731" s="297" t="n"/>
      <c r="T731" s="297" t="n"/>
      <c r="U731" s="297" t="n"/>
    </row>
    <row r="732">
      <c r="A732" s="174" t="n"/>
      <c r="B732" s="299" t="n"/>
      <c r="C732" s="107">
        <f>IF(B732="", "", VLOOKUP(B732, 'CLIENT DATA'!A:S, 19, FALSE))</f>
        <v/>
      </c>
      <c r="D732" s="107">
        <f t="array" ref="D732">IF(B732="", "", _xlfn.TEXTJOIN(", ", TRUE, IF('CLIENT DATA'!$A$2:$A$205=B732, 'CLIENT DATA'!$C$2:$F$205, "")))</f>
        <v/>
      </c>
      <c r="E732" s="52" t="n"/>
      <c r="F732" s="52" t="n"/>
      <c r="G732" s="52" t="n"/>
      <c r="H732" s="52" t="n"/>
      <c r="I732" s="52" t="n"/>
      <c r="J732" s="59" t="n"/>
      <c r="K732" s="59" t="n"/>
      <c r="L732" s="59" t="n"/>
      <c r="M732" s="59" t="n"/>
      <c r="N732" s="59" t="n"/>
      <c r="O732" s="297" t="n"/>
      <c r="P732" s="297" t="n"/>
      <c r="Q732" s="297" t="n"/>
      <c r="R732" s="297" t="n"/>
      <c r="S732" s="297" t="n"/>
      <c r="T732" s="297" t="n"/>
      <c r="U732" s="297" t="n"/>
    </row>
    <row r="733">
      <c r="A733" s="174" t="n"/>
      <c r="B733" s="299" t="n"/>
      <c r="C733" s="107">
        <f>IF(B733="", "", VLOOKUP(B733, 'CLIENT DATA'!A:S, 19, FALSE))</f>
        <v/>
      </c>
      <c r="D733" s="107">
        <f t="array" ref="D733">IF(B733="", "", _xlfn.TEXTJOIN(", ", TRUE, IF('CLIENT DATA'!$A$2:$A$205=B733, 'CLIENT DATA'!$C$2:$F$205, "")))</f>
        <v/>
      </c>
      <c r="E733" s="52" t="n"/>
      <c r="F733" s="52" t="n"/>
      <c r="G733" s="52" t="n"/>
      <c r="H733" s="52" t="n"/>
      <c r="I733" s="52" t="n"/>
      <c r="J733" s="59" t="n"/>
      <c r="K733" s="59" t="n"/>
      <c r="L733" s="59" t="n"/>
      <c r="M733" s="59" t="n"/>
      <c r="N733" s="59" t="n"/>
      <c r="O733" s="297" t="n"/>
      <c r="P733" s="297" t="n"/>
      <c r="Q733" s="297" t="n"/>
      <c r="R733" s="297" t="n"/>
      <c r="S733" s="297" t="n"/>
      <c r="T733" s="297" t="n"/>
      <c r="U733" s="297" t="n"/>
    </row>
    <row r="734">
      <c r="A734" s="174" t="n"/>
      <c r="B734" s="299" t="n"/>
      <c r="C734" s="107">
        <f>IF(B734="", "", VLOOKUP(B734, 'CLIENT DATA'!A:S, 19, FALSE))</f>
        <v/>
      </c>
      <c r="D734" s="107">
        <f t="array" ref="D734">IF(B734="", "", _xlfn.TEXTJOIN(", ", TRUE, IF('CLIENT DATA'!$A$2:$A$205=B734, 'CLIENT DATA'!$C$2:$F$205, "")))</f>
        <v/>
      </c>
      <c r="E734" s="52" t="n"/>
      <c r="F734" s="52" t="n"/>
      <c r="G734" s="52" t="n"/>
      <c r="H734" s="52" t="n"/>
      <c r="I734" s="52" t="n"/>
      <c r="J734" s="59" t="n"/>
      <c r="K734" s="59" t="n"/>
      <c r="L734" s="59" t="n"/>
      <c r="M734" s="59" t="n"/>
      <c r="N734" s="59" t="n"/>
      <c r="O734" s="297" t="n"/>
      <c r="P734" s="297" t="n"/>
      <c r="Q734" s="297" t="n"/>
      <c r="R734" s="297" t="n"/>
      <c r="S734" s="297" t="n"/>
      <c r="T734" s="297" t="n"/>
      <c r="U734" s="297" t="n"/>
    </row>
    <row r="735">
      <c r="A735" s="174" t="n"/>
      <c r="B735" s="299" t="n"/>
      <c r="C735" s="107">
        <f>IF(B735="", "", VLOOKUP(B735, 'CLIENT DATA'!A:S, 19, FALSE))</f>
        <v/>
      </c>
      <c r="D735" s="107">
        <f t="array" ref="D735">IF(B735="", "", _xlfn.TEXTJOIN(", ", TRUE, IF('CLIENT DATA'!$A$2:$A$205=B735, 'CLIENT DATA'!$C$2:$F$205, "")))</f>
        <v/>
      </c>
      <c r="E735" s="52" t="n"/>
      <c r="F735" s="52" t="n"/>
      <c r="G735" s="52" t="n"/>
      <c r="H735" s="52" t="n"/>
      <c r="I735" s="52" t="n"/>
      <c r="J735" s="59" t="n"/>
      <c r="K735" s="59" t="n"/>
      <c r="L735" s="59" t="n"/>
      <c r="M735" s="59" t="n"/>
      <c r="N735" s="59" t="n"/>
      <c r="O735" s="297" t="n"/>
      <c r="P735" s="297" t="n"/>
      <c r="Q735" s="297" t="n"/>
      <c r="R735" s="297" t="n"/>
      <c r="S735" s="297" t="n"/>
      <c r="T735" s="297" t="n"/>
      <c r="U735" s="297" t="n"/>
    </row>
    <row r="736">
      <c r="A736" s="174" t="n"/>
      <c r="B736" s="299" t="n"/>
      <c r="C736" s="107">
        <f>IF(B736="", "", VLOOKUP(B736, 'CLIENT DATA'!A:S, 19, FALSE))</f>
        <v/>
      </c>
      <c r="D736" s="107">
        <f t="array" ref="D736">IF(B736="", "", _xlfn.TEXTJOIN(", ", TRUE, IF('CLIENT DATA'!$A$2:$A$205=B736, 'CLIENT DATA'!$C$2:$F$205, "")))</f>
        <v/>
      </c>
      <c r="E736" s="52" t="n"/>
      <c r="F736" s="52" t="n"/>
      <c r="G736" s="52" t="n"/>
      <c r="H736" s="52" t="n"/>
      <c r="I736" s="52" t="n"/>
      <c r="J736" s="59" t="n"/>
      <c r="K736" s="59" t="n"/>
      <c r="L736" s="59" t="n"/>
      <c r="M736" s="59" t="n"/>
      <c r="N736" s="59" t="n"/>
      <c r="O736" s="297" t="n"/>
      <c r="P736" s="297" t="n"/>
      <c r="Q736" s="297" t="n"/>
      <c r="R736" s="297" t="n"/>
      <c r="S736" s="297" t="n"/>
      <c r="T736" s="297" t="n"/>
      <c r="U736" s="297" t="n"/>
    </row>
    <row r="737">
      <c r="A737" s="174" t="n"/>
      <c r="B737" s="299" t="n"/>
      <c r="C737" s="107">
        <f>IF(B737="", "", VLOOKUP(B737, 'CLIENT DATA'!A:S, 19, FALSE))</f>
        <v/>
      </c>
      <c r="D737" s="107">
        <f t="array" ref="D737">IF(B737="", "", _xlfn.TEXTJOIN(", ", TRUE, IF('CLIENT DATA'!$A$2:$A$205=B737, 'CLIENT DATA'!$C$2:$F$205, "")))</f>
        <v/>
      </c>
      <c r="E737" s="52" t="n"/>
      <c r="F737" s="52" t="n"/>
      <c r="G737" s="52" t="n"/>
      <c r="H737" s="52" t="n"/>
      <c r="I737" s="52" t="n"/>
      <c r="J737" s="59" t="n"/>
      <c r="K737" s="59" t="n"/>
      <c r="L737" s="59" t="n"/>
      <c r="M737" s="59" t="n"/>
      <c r="N737" s="59" t="n"/>
      <c r="O737" s="297" t="n"/>
      <c r="P737" s="297" t="n"/>
      <c r="Q737" s="297" t="n"/>
      <c r="R737" s="297" t="n"/>
      <c r="S737" s="297" t="n"/>
      <c r="T737" s="297" t="n"/>
      <c r="U737" s="297" t="n"/>
    </row>
    <row r="738">
      <c r="A738" s="174" t="n"/>
      <c r="B738" s="299" t="n"/>
      <c r="C738" s="107">
        <f>IF(B738="", "", VLOOKUP(B738, 'CLIENT DATA'!A:S, 19, FALSE))</f>
        <v/>
      </c>
      <c r="D738" s="107">
        <f t="array" ref="D738">IF(B738="", "", _xlfn.TEXTJOIN(", ", TRUE, IF('CLIENT DATA'!$A$2:$A$205=B738, 'CLIENT DATA'!$C$2:$F$205, "")))</f>
        <v/>
      </c>
      <c r="E738" s="52" t="n"/>
      <c r="F738" s="52" t="n"/>
      <c r="G738" s="52" t="n"/>
      <c r="H738" s="52" t="n"/>
      <c r="I738" s="52" t="n"/>
      <c r="J738" s="59" t="n"/>
      <c r="K738" s="59" t="n"/>
      <c r="L738" s="59" t="n"/>
      <c r="M738" s="59" t="n"/>
      <c r="N738" s="59" t="n"/>
      <c r="O738" s="297" t="n"/>
      <c r="P738" s="297" t="n"/>
      <c r="Q738" s="297" t="n"/>
      <c r="R738" s="297" t="n"/>
      <c r="S738" s="297" t="n"/>
      <c r="T738" s="297" t="n"/>
      <c r="U738" s="297" t="n"/>
    </row>
    <row r="739">
      <c r="A739" s="174" t="n"/>
      <c r="B739" s="299" t="n"/>
      <c r="C739" s="107">
        <f>IF(B739="", "", VLOOKUP(B739, 'CLIENT DATA'!A:S, 19, FALSE))</f>
        <v/>
      </c>
      <c r="D739" s="107">
        <f t="array" ref="D739">IF(B739="", "", _xlfn.TEXTJOIN(", ", TRUE, IF('CLIENT DATA'!$A$2:$A$205=B739, 'CLIENT DATA'!$C$2:$F$205, "")))</f>
        <v/>
      </c>
      <c r="E739" s="52" t="n"/>
      <c r="F739" s="52" t="n"/>
      <c r="G739" s="52" t="n"/>
      <c r="H739" s="52" t="n"/>
      <c r="I739" s="52" t="n"/>
      <c r="J739" s="59" t="n"/>
      <c r="K739" s="59" t="n"/>
      <c r="L739" s="59" t="n"/>
      <c r="M739" s="59" t="n"/>
      <c r="N739" s="59" t="n"/>
      <c r="O739" s="297" t="n"/>
      <c r="P739" s="297" t="n"/>
      <c r="Q739" s="297" t="n"/>
      <c r="R739" s="297" t="n"/>
      <c r="S739" s="297" t="n"/>
      <c r="T739" s="297" t="n"/>
      <c r="U739" s="297" t="n"/>
    </row>
    <row r="740">
      <c r="A740" s="174" t="n"/>
      <c r="B740" s="299" t="n"/>
      <c r="C740" s="107">
        <f>IF(B740="", "", VLOOKUP(B740, 'CLIENT DATA'!A:S, 19, FALSE))</f>
        <v/>
      </c>
      <c r="D740" s="107">
        <f t="array" ref="D740">IF(B740="", "", _xlfn.TEXTJOIN(", ", TRUE, IF('CLIENT DATA'!$A$2:$A$205=B740, 'CLIENT DATA'!$C$2:$F$205, "")))</f>
        <v/>
      </c>
      <c r="E740" s="52" t="n"/>
      <c r="F740" s="52" t="n"/>
      <c r="G740" s="52" t="n"/>
      <c r="H740" s="52" t="n"/>
      <c r="I740" s="52" t="n"/>
      <c r="J740" s="59" t="n"/>
      <c r="K740" s="59" t="n"/>
      <c r="L740" s="59" t="n"/>
      <c r="M740" s="59" t="n"/>
      <c r="N740" s="59" t="n"/>
      <c r="O740" s="297" t="n"/>
      <c r="P740" s="297" t="n"/>
      <c r="Q740" s="297" t="n"/>
      <c r="R740" s="297" t="n"/>
      <c r="S740" s="297" t="n"/>
      <c r="T740" s="297" t="n"/>
      <c r="U740" s="297" t="n"/>
    </row>
    <row r="741">
      <c r="A741" s="174" t="n"/>
      <c r="B741" s="300" t="n"/>
      <c r="C741" s="182">
        <f>IF(B741="", "", VLOOKUP(B741, 'CLIENT DATA'!A:S, 19, FALSE))</f>
        <v/>
      </c>
      <c r="D741" s="182">
        <f t="array" ref="D741">IF(B741="", "", _xlfn.TEXTJOIN(", ", TRUE, IF('CLIENT DATA'!$A$2:$A$205=B741, 'CLIENT DATA'!$C$2:$F$205, "")))</f>
        <v/>
      </c>
      <c r="E741" s="183" t="n"/>
      <c r="F741" s="183" t="n"/>
      <c r="G741" s="183" t="n"/>
      <c r="H741" s="183" t="n"/>
      <c r="I741" s="183" t="n"/>
      <c r="J741" s="184" t="n"/>
      <c r="K741" s="184" t="n"/>
      <c r="L741" s="184" t="n"/>
      <c r="M741" s="184" t="n"/>
      <c r="N741" s="184" t="n"/>
      <c r="O741" s="301" t="n"/>
      <c r="P741" s="301" t="n"/>
      <c r="Q741" s="301" t="n"/>
      <c r="R741" s="301" t="n"/>
      <c r="S741" s="301" t="n"/>
      <c r="T741" s="301" t="n"/>
      <c r="U741" s="301" t="n"/>
    </row>
    <row r="742">
      <c r="A742" s="174" t="n"/>
      <c r="B742" s="187" t="n"/>
      <c r="C742" s="107">
        <f>IF(B742="", "", VLOOKUP(B742, 'CLIENT DATA'!A:S, 19, FALSE))</f>
        <v/>
      </c>
      <c r="D742" s="107">
        <f t="array" ref="D742">IF(B742="", "", _xlfn.TEXTJOIN(", ", TRUE, IF('CLIENT DATA'!$A$2:$A$205=B742, 'CLIENT DATA'!$C$2:$F$205, "")))</f>
        <v/>
      </c>
      <c r="E742" s="52" t="n"/>
      <c r="F742" s="52" t="n"/>
      <c r="G742" s="52" t="n"/>
      <c r="H742" s="52" t="n"/>
      <c r="I742" s="52" t="n"/>
      <c r="J742" s="59" t="n"/>
      <c r="K742" s="59" t="n"/>
      <c r="L742" s="59" t="n"/>
      <c r="M742" s="59" t="n"/>
      <c r="N742" s="59" t="n"/>
      <c r="O742" s="297" t="n"/>
      <c r="P742" s="297" t="n"/>
      <c r="Q742" s="297" t="n"/>
      <c r="R742" s="297" t="n"/>
      <c r="S742" s="297" t="n"/>
      <c r="T742" s="297" t="n"/>
      <c r="U742" s="297" t="n"/>
    </row>
    <row r="743">
      <c r="A743" s="174" t="n"/>
      <c r="B743" s="187" t="n"/>
      <c r="C743" s="107">
        <f>IF(B743="", "", VLOOKUP(B743, 'CLIENT DATA'!A:S, 19, FALSE))</f>
        <v/>
      </c>
      <c r="D743" s="107">
        <f t="array" ref="D743">IF(B743="", "", _xlfn.TEXTJOIN(", ", TRUE, IF('CLIENT DATA'!$A$2:$A$205=B743, 'CLIENT DATA'!$C$2:$F$205, "")))</f>
        <v/>
      </c>
      <c r="E743" s="52" t="n"/>
      <c r="F743" s="52" t="n"/>
      <c r="G743" s="52" t="n"/>
      <c r="H743" s="52" t="n"/>
      <c r="I743" s="52" t="n"/>
      <c r="J743" s="59" t="n"/>
      <c r="K743" s="59" t="n"/>
      <c r="L743" s="59" t="n"/>
      <c r="M743" s="59" t="n"/>
      <c r="N743" s="59" t="n"/>
      <c r="O743" s="297" t="n"/>
      <c r="P743" s="297" t="n"/>
      <c r="Q743" s="297" t="n"/>
      <c r="R743" s="297" t="n"/>
      <c r="S743" s="297" t="n"/>
      <c r="T743" s="297" t="n"/>
      <c r="U743" s="297" t="n"/>
    </row>
    <row r="744">
      <c r="A744" s="174" t="n"/>
      <c r="B744" s="187" t="n"/>
      <c r="C744" s="107">
        <f>IF(B744="", "", VLOOKUP(B744, 'CLIENT DATA'!A:S, 19, FALSE))</f>
        <v/>
      </c>
      <c r="D744" s="107">
        <f t="array" ref="D744">IF(B744="", "", _xlfn.TEXTJOIN(", ", TRUE, IF('CLIENT DATA'!$A$2:$A$205=B744, 'CLIENT DATA'!$C$2:$F$205, "")))</f>
        <v/>
      </c>
      <c r="E744" s="52" t="n"/>
      <c r="F744" s="52" t="n"/>
      <c r="G744" s="52" t="n"/>
      <c r="H744" s="52" t="n"/>
      <c r="I744" s="52" t="n"/>
      <c r="J744" s="59" t="n"/>
      <c r="K744" s="59" t="n"/>
      <c r="L744" s="59" t="n"/>
      <c r="M744" s="59" t="n"/>
      <c r="N744" s="59" t="n"/>
      <c r="O744" s="297" t="n"/>
      <c r="P744" s="297" t="n"/>
      <c r="Q744" s="297" t="n"/>
      <c r="R744" s="297" t="n"/>
      <c r="S744" s="297" t="n"/>
      <c r="T744" s="297" t="n"/>
      <c r="U744" s="297" t="n"/>
    </row>
    <row r="745">
      <c r="A745" s="174" t="n"/>
      <c r="B745" s="187" t="n"/>
      <c r="C745" s="107">
        <f>IF(B745="", "", VLOOKUP(B745, 'CLIENT DATA'!A:S, 19, FALSE))</f>
        <v/>
      </c>
      <c r="D745" s="107">
        <f t="array" ref="D745">IF(B745="", "", _xlfn.TEXTJOIN(", ", TRUE, IF('CLIENT DATA'!$A$2:$A$205=B745, 'CLIENT DATA'!$C$2:$F$205, "")))</f>
        <v/>
      </c>
      <c r="E745" s="52" t="n"/>
      <c r="F745" s="52" t="n"/>
      <c r="G745" s="52" t="n"/>
      <c r="H745" s="52" t="n"/>
      <c r="I745" s="52" t="n"/>
      <c r="J745" s="59" t="n"/>
      <c r="K745" s="59" t="n"/>
      <c r="L745" s="59" t="n"/>
      <c r="M745" s="59" t="n"/>
      <c r="N745" s="59" t="n"/>
      <c r="O745" s="297" t="n"/>
      <c r="P745" s="297" t="n"/>
      <c r="Q745" s="297" t="n"/>
      <c r="R745" s="297" t="n"/>
      <c r="S745" s="297" t="n"/>
      <c r="T745" s="297" t="n"/>
      <c r="U745" s="297" t="n"/>
    </row>
    <row r="746">
      <c r="A746" s="174" t="n"/>
      <c r="B746" s="187" t="n"/>
      <c r="C746" s="107">
        <f>IF(B746="", "", VLOOKUP(B746, 'CLIENT DATA'!A:S, 19, FALSE))</f>
        <v/>
      </c>
      <c r="D746" s="107">
        <f t="array" ref="D746">IF(B746="", "", _xlfn.TEXTJOIN(", ", TRUE, IF('CLIENT DATA'!$A$2:$A$205=B746, 'CLIENT DATA'!$C$2:$F$205, "")))</f>
        <v/>
      </c>
      <c r="E746" s="52" t="n"/>
      <c r="F746" s="52" t="n"/>
      <c r="G746" s="52" t="n"/>
      <c r="H746" s="52" t="n"/>
      <c r="I746" s="52" t="n"/>
      <c r="J746" s="59" t="n"/>
      <c r="K746" s="59" t="n"/>
      <c r="L746" s="59" t="n"/>
      <c r="M746" s="59" t="n"/>
      <c r="N746" s="59" t="n"/>
      <c r="O746" s="297" t="n"/>
      <c r="P746" s="297" t="n"/>
      <c r="Q746" s="297" t="n"/>
      <c r="R746" s="297" t="n"/>
      <c r="S746" s="297" t="n"/>
      <c r="T746" s="297" t="n"/>
      <c r="U746" s="297" t="n"/>
    </row>
    <row r="747">
      <c r="A747" s="174" t="n"/>
      <c r="B747" s="187" t="n"/>
      <c r="C747" s="107">
        <f>IF(B747="", "", VLOOKUP(B747, 'CLIENT DATA'!A:S, 19, FALSE))</f>
        <v/>
      </c>
      <c r="D747" s="107">
        <f t="array" ref="D747">IF(B747="", "", _xlfn.TEXTJOIN(", ", TRUE, IF('CLIENT DATA'!$A$2:$A$205=B747, 'CLIENT DATA'!$C$2:$F$205, "")))</f>
        <v/>
      </c>
      <c r="E747" s="52" t="n"/>
      <c r="F747" s="52" t="n"/>
      <c r="G747" s="52" t="n"/>
      <c r="H747" s="52" t="n"/>
      <c r="I747" s="52" t="n"/>
      <c r="J747" s="59" t="n"/>
      <c r="K747" s="59" t="n"/>
      <c r="L747" s="59" t="n"/>
      <c r="M747" s="59" t="n"/>
      <c r="N747" s="59" t="n"/>
      <c r="O747" s="297" t="n"/>
      <c r="P747" s="297" t="n"/>
      <c r="Q747" s="297" t="n"/>
      <c r="R747" s="297" t="n"/>
      <c r="S747" s="297" t="n"/>
      <c r="T747" s="297" t="n"/>
      <c r="U747" s="297" t="n"/>
    </row>
    <row r="748">
      <c r="A748" s="174" t="n"/>
      <c r="B748" s="187" t="n"/>
      <c r="C748" s="107">
        <f>IF(B748="", "", VLOOKUP(B748, 'CLIENT DATA'!A:S, 19, FALSE))</f>
        <v/>
      </c>
      <c r="D748" s="107">
        <f t="array" ref="D748">IF(B748="", "", _xlfn.TEXTJOIN(", ", TRUE, IF('CLIENT DATA'!$A$2:$A$205=B748, 'CLIENT DATA'!$C$2:$F$205, "")))</f>
        <v/>
      </c>
      <c r="E748" s="52" t="n"/>
      <c r="F748" s="52" t="n"/>
      <c r="G748" s="52" t="n"/>
      <c r="H748" s="52" t="n"/>
      <c r="I748" s="52" t="n"/>
      <c r="J748" s="59" t="n"/>
      <c r="K748" s="59" t="n"/>
      <c r="L748" s="59" t="n"/>
      <c r="M748" s="59" t="n"/>
      <c r="N748" s="59" t="n"/>
      <c r="O748" s="297" t="n"/>
      <c r="P748" s="297" t="n"/>
      <c r="Q748" s="297" t="n"/>
      <c r="R748" s="297" t="n"/>
      <c r="S748" s="297" t="n"/>
      <c r="T748" s="297" t="n"/>
      <c r="U748" s="297" t="n"/>
    </row>
    <row r="749">
      <c r="A749" s="174" t="n"/>
      <c r="B749" s="187" t="n"/>
      <c r="C749" s="107">
        <f>IF(B749="", "", VLOOKUP(B749, 'CLIENT DATA'!A:S, 19, FALSE))</f>
        <v/>
      </c>
      <c r="D749" s="107">
        <f t="array" ref="D749">IF(B749="", "", _xlfn.TEXTJOIN(", ", TRUE, IF('CLIENT DATA'!$A$2:$A$205=B749, 'CLIENT DATA'!$C$2:$F$205, "")))</f>
        <v/>
      </c>
      <c r="E749" s="52" t="n"/>
      <c r="F749" s="52" t="n"/>
      <c r="G749" s="52" t="n"/>
      <c r="H749" s="52" t="n"/>
      <c r="I749" s="52" t="n"/>
      <c r="J749" s="59" t="n"/>
      <c r="K749" s="59" t="n"/>
      <c r="L749" s="59" t="n"/>
      <c r="M749" s="59" t="n"/>
      <c r="N749" s="59" t="n"/>
      <c r="O749" s="297" t="n"/>
      <c r="P749" s="297" t="n"/>
      <c r="Q749" s="297" t="n"/>
      <c r="R749" s="297" t="n"/>
      <c r="S749" s="297" t="n"/>
      <c r="T749" s="297" t="n"/>
      <c r="U749" s="297" t="n"/>
    </row>
    <row r="750">
      <c r="A750" s="174" t="n"/>
      <c r="B750" s="299" t="n"/>
      <c r="C750" s="107">
        <f>IF(B750="", "", VLOOKUP(B750, 'CLIENT DATA'!A:S, 19, FALSE))</f>
        <v/>
      </c>
      <c r="D750" s="107">
        <f t="array" ref="D750">IF(B750="", "", _xlfn.TEXTJOIN(", ", TRUE, IF('CLIENT DATA'!$A$2:$A$205=B750, 'CLIENT DATA'!$C$2:$F$205, "")))</f>
        <v/>
      </c>
      <c r="E750" s="52" t="n"/>
      <c r="F750" s="52" t="n"/>
      <c r="G750" s="52" t="n"/>
      <c r="H750" s="52" t="n"/>
      <c r="I750" s="52" t="n"/>
      <c r="J750" s="59" t="n"/>
      <c r="K750" s="59" t="n"/>
      <c r="L750" s="59" t="n"/>
      <c r="M750" s="59" t="n"/>
      <c r="N750" s="59" t="n"/>
      <c r="O750" s="297" t="n"/>
      <c r="P750" s="297" t="n"/>
      <c r="Q750" s="297" t="n"/>
      <c r="R750" s="297" t="n"/>
      <c r="S750" s="297" t="n"/>
      <c r="T750" s="297" t="n"/>
      <c r="U750" s="297" t="n"/>
    </row>
    <row r="751">
      <c r="A751" s="174" t="n"/>
      <c r="B751" s="299" t="n"/>
      <c r="C751" s="107">
        <f>IF(B751="", "", VLOOKUP(B751, 'CLIENT DATA'!A:S, 19, FALSE))</f>
        <v/>
      </c>
      <c r="D751" s="107">
        <f t="array" ref="D751">IF(B751="", "", _xlfn.TEXTJOIN(", ", TRUE, IF('CLIENT DATA'!$A$2:$A$205=B751, 'CLIENT DATA'!$C$2:$F$205, "")))</f>
        <v/>
      </c>
      <c r="E751" s="52" t="n"/>
      <c r="F751" s="52" t="n"/>
      <c r="G751" s="52" t="n"/>
      <c r="H751" s="52" t="n"/>
      <c r="I751" s="52" t="n"/>
      <c r="J751" s="59" t="n"/>
      <c r="K751" s="59" t="n"/>
      <c r="L751" s="59" t="n"/>
      <c r="M751" s="59" t="n"/>
      <c r="N751" s="59" t="n"/>
      <c r="O751" s="297" t="n"/>
      <c r="P751" s="297" t="n"/>
      <c r="Q751" s="297" t="n"/>
      <c r="R751" s="297" t="n"/>
      <c r="S751" s="297" t="n"/>
      <c r="T751" s="297" t="n"/>
      <c r="U751" s="297" t="n"/>
    </row>
    <row r="752">
      <c r="A752" s="174" t="n"/>
      <c r="B752" s="299" t="n"/>
      <c r="C752" s="107">
        <f>IF(B752="", "", VLOOKUP(B752, 'CLIENT DATA'!A:S, 19, FALSE))</f>
        <v/>
      </c>
      <c r="D752" s="107">
        <f t="array" ref="D752">IF(B752="", "", _xlfn.TEXTJOIN(", ", TRUE, IF('CLIENT DATA'!$A$2:$A$205=B752, 'CLIENT DATA'!$C$2:$F$205, "")))</f>
        <v/>
      </c>
      <c r="E752" s="52" t="n"/>
      <c r="F752" s="52" t="n"/>
      <c r="G752" s="52" t="n"/>
      <c r="H752" s="52" t="n"/>
      <c r="I752" s="52" t="n"/>
      <c r="J752" s="59" t="n"/>
      <c r="K752" s="59" t="n"/>
      <c r="L752" s="59" t="n"/>
      <c r="M752" s="59" t="n"/>
      <c r="N752" s="59" t="n"/>
      <c r="O752" s="297" t="n"/>
      <c r="P752" s="297" t="n"/>
      <c r="Q752" s="297" t="n"/>
      <c r="R752" s="297" t="n"/>
      <c r="S752" s="297" t="n"/>
      <c r="T752" s="297" t="n"/>
      <c r="U752" s="297" t="n"/>
    </row>
    <row r="753">
      <c r="A753" s="174" t="n"/>
      <c r="B753" s="299" t="n"/>
      <c r="C753" s="107">
        <f>IF(B753="", "", VLOOKUP(B753, 'CLIENT DATA'!A:S, 19, FALSE))</f>
        <v/>
      </c>
      <c r="D753" s="107">
        <f t="array" ref="D753">IF(B753="", "", _xlfn.TEXTJOIN(", ", TRUE, IF('CLIENT DATA'!$A$2:$A$205=B753, 'CLIENT DATA'!$C$2:$F$205, "")))</f>
        <v/>
      </c>
      <c r="E753" s="52" t="n"/>
      <c r="F753" s="52" t="n"/>
      <c r="G753" s="52" t="n"/>
      <c r="H753" s="52" t="n"/>
      <c r="I753" s="52" t="n"/>
      <c r="J753" s="59" t="n"/>
      <c r="K753" s="59" t="n"/>
      <c r="L753" s="59" t="n"/>
      <c r="M753" s="59" t="n"/>
      <c r="N753" s="59" t="n"/>
      <c r="O753" s="297" t="n"/>
      <c r="P753" s="297" t="n"/>
      <c r="Q753" s="297" t="n"/>
      <c r="R753" s="297" t="n"/>
      <c r="S753" s="297" t="n"/>
      <c r="T753" s="297" t="n"/>
      <c r="U753" s="297" t="n"/>
    </row>
    <row r="754">
      <c r="A754" s="174" t="n"/>
      <c r="B754" s="299" t="n"/>
      <c r="C754" s="107">
        <f>IF(B754="", "", VLOOKUP(B754, 'CLIENT DATA'!A:S, 19, FALSE))</f>
        <v/>
      </c>
      <c r="D754" s="107">
        <f t="array" ref="D754">IF(B754="", "", _xlfn.TEXTJOIN(", ", TRUE, IF('CLIENT DATA'!$A$2:$A$205=B754, 'CLIENT DATA'!$C$2:$F$205, "")))</f>
        <v/>
      </c>
      <c r="E754" s="52" t="n"/>
      <c r="F754" s="52" t="n"/>
      <c r="G754" s="52" t="n"/>
      <c r="H754" s="52" t="n"/>
      <c r="I754" s="52" t="n"/>
      <c r="J754" s="59" t="n"/>
      <c r="K754" s="59" t="n"/>
      <c r="L754" s="59" t="n"/>
      <c r="M754" s="59" t="n"/>
      <c r="N754" s="59" t="n"/>
      <c r="O754" s="297" t="n"/>
      <c r="P754" s="297" t="n"/>
      <c r="Q754" s="297" t="n"/>
      <c r="R754" s="297" t="n"/>
      <c r="S754" s="297" t="n"/>
      <c r="T754" s="297" t="n"/>
      <c r="U754" s="297" t="n"/>
    </row>
    <row r="755">
      <c r="A755" s="174" t="n"/>
      <c r="B755" s="299" t="n"/>
      <c r="C755" s="107">
        <f>IF(B755="", "", VLOOKUP(B755, 'CLIENT DATA'!A:S, 19, FALSE))</f>
        <v/>
      </c>
      <c r="D755" s="107">
        <f t="array" ref="D755">IF(B755="", "", _xlfn.TEXTJOIN(", ", TRUE, IF('CLIENT DATA'!$A$2:$A$205=B755, 'CLIENT DATA'!$C$2:$F$205, "")))</f>
        <v/>
      </c>
      <c r="E755" s="52" t="n"/>
      <c r="F755" s="52" t="n"/>
      <c r="G755" s="52" t="n"/>
      <c r="H755" s="52" t="n"/>
      <c r="I755" s="52" t="n"/>
      <c r="J755" s="59" t="n"/>
      <c r="K755" s="59" t="n"/>
      <c r="L755" s="59" t="n"/>
      <c r="M755" s="59" t="n"/>
      <c r="N755" s="59" t="n"/>
      <c r="O755" s="297" t="n"/>
      <c r="P755" s="297" t="n"/>
      <c r="Q755" s="297" t="n"/>
      <c r="R755" s="297" t="n"/>
      <c r="S755" s="297" t="n"/>
      <c r="T755" s="297" t="n"/>
      <c r="U755" s="297" t="n"/>
    </row>
    <row r="756">
      <c r="A756" s="174" t="n"/>
      <c r="B756" s="299" t="n"/>
      <c r="C756" s="107">
        <f>IF(B756="", "", VLOOKUP(B756, 'CLIENT DATA'!A:S, 19, FALSE))</f>
        <v/>
      </c>
      <c r="D756" s="107">
        <f t="array" ref="D756">IF(B756="", "", _xlfn.TEXTJOIN(", ", TRUE, IF('CLIENT DATA'!$A$2:$A$205=B756, 'CLIENT DATA'!$C$2:$F$205, "")))</f>
        <v/>
      </c>
      <c r="E756" s="52" t="n"/>
      <c r="F756" s="52" t="n"/>
      <c r="G756" s="52" t="n"/>
      <c r="H756" s="52" t="n"/>
      <c r="I756" s="52" t="n"/>
      <c r="J756" s="59" t="n"/>
      <c r="K756" s="59" t="n"/>
      <c r="L756" s="59" t="n"/>
      <c r="M756" s="59" t="n"/>
      <c r="N756" s="59" t="n"/>
      <c r="O756" s="297" t="n"/>
      <c r="P756" s="297" t="n"/>
      <c r="Q756" s="297" t="n"/>
      <c r="R756" s="297" t="n"/>
      <c r="S756" s="297" t="n"/>
      <c r="T756" s="297" t="n"/>
      <c r="U756" s="297" t="n"/>
    </row>
    <row r="757">
      <c r="A757" s="174" t="n"/>
      <c r="B757" s="299" t="n"/>
      <c r="C757" s="107">
        <f>IF(B757="", "", VLOOKUP(B757, 'CLIENT DATA'!A:S, 19, FALSE))</f>
        <v/>
      </c>
      <c r="D757" s="107">
        <f t="array" ref="D757">IF(B757="", "", _xlfn.TEXTJOIN(", ", TRUE, IF('CLIENT DATA'!$A$2:$A$205=B757, 'CLIENT DATA'!$C$2:$F$205, "")))</f>
        <v/>
      </c>
      <c r="E757" s="52" t="n"/>
      <c r="F757" s="52" t="n"/>
      <c r="G757" s="52" t="n"/>
      <c r="H757" s="52" t="n"/>
      <c r="I757" s="52" t="n"/>
      <c r="J757" s="59" t="n"/>
      <c r="K757" s="59" t="n"/>
      <c r="L757" s="59" t="n"/>
      <c r="M757" s="59" t="n"/>
      <c r="N757" s="59" t="n"/>
      <c r="O757" s="297" t="n"/>
      <c r="P757" s="297" t="n"/>
      <c r="Q757" s="297" t="n"/>
      <c r="R757" s="297" t="n"/>
      <c r="S757" s="297" t="n"/>
      <c r="T757" s="297" t="n"/>
      <c r="U757" s="297" t="n"/>
    </row>
    <row r="758">
      <c r="A758" s="174" t="n"/>
      <c r="B758" s="299" t="n"/>
      <c r="C758" s="107">
        <f>IF(B758="", "", VLOOKUP(B758, 'CLIENT DATA'!A:S, 19, FALSE))</f>
        <v/>
      </c>
      <c r="D758" s="107">
        <f t="array" ref="D758">IF(B758="", "", _xlfn.TEXTJOIN(", ", TRUE, IF('CLIENT DATA'!$A$2:$A$205=B758, 'CLIENT DATA'!$C$2:$F$205, "")))</f>
        <v/>
      </c>
      <c r="E758" s="52" t="n"/>
      <c r="F758" s="52" t="n"/>
      <c r="G758" s="52" t="n"/>
      <c r="H758" s="52" t="n"/>
      <c r="I758" s="52" t="n"/>
      <c r="J758" s="59" t="n"/>
      <c r="K758" s="59" t="n"/>
      <c r="L758" s="59" t="n"/>
      <c r="M758" s="59" t="n"/>
      <c r="N758" s="59" t="n"/>
      <c r="O758" s="297" t="n"/>
      <c r="P758" s="297" t="n"/>
      <c r="Q758" s="297" t="n"/>
      <c r="R758" s="297" t="n"/>
      <c r="S758" s="297" t="n"/>
      <c r="T758" s="297" t="n"/>
      <c r="U758" s="297" t="n"/>
    </row>
    <row r="759">
      <c r="A759" s="174" t="n"/>
      <c r="B759" s="299" t="n"/>
      <c r="C759" s="107">
        <f>IF(B759="", "", VLOOKUP(B759, 'CLIENT DATA'!A:S, 19, FALSE))</f>
        <v/>
      </c>
      <c r="D759" s="107">
        <f t="array" ref="D759">IF(B759="", "", _xlfn.TEXTJOIN(", ", TRUE, IF('CLIENT DATA'!$A$2:$A$205=B759, 'CLIENT DATA'!$C$2:$F$205, "")))</f>
        <v/>
      </c>
      <c r="E759" s="52" t="n"/>
      <c r="F759" s="52" t="n"/>
      <c r="G759" s="52" t="n"/>
      <c r="H759" s="52" t="n"/>
      <c r="I759" s="52" t="n"/>
      <c r="J759" s="59" t="n"/>
      <c r="K759" s="59" t="n"/>
      <c r="L759" s="59" t="n"/>
      <c r="M759" s="59" t="n"/>
      <c r="N759" s="59" t="n"/>
      <c r="O759" s="297" t="n"/>
      <c r="P759" s="297" t="n"/>
      <c r="Q759" s="297" t="n"/>
      <c r="R759" s="297" t="n"/>
      <c r="S759" s="297" t="n"/>
      <c r="T759" s="297" t="n"/>
      <c r="U759" s="297" t="n"/>
    </row>
    <row r="760">
      <c r="A760" s="174" t="n"/>
      <c r="B760" s="299" t="n"/>
      <c r="C760" s="107">
        <f>IF(B760="", "", VLOOKUP(B760, 'CLIENT DATA'!A:S, 19, FALSE))</f>
        <v/>
      </c>
      <c r="D760" s="107">
        <f t="array" ref="D760">IF(B760="", "", _xlfn.TEXTJOIN(", ", TRUE, IF('CLIENT DATA'!$A$2:$A$205=B760, 'CLIENT DATA'!$C$2:$F$205, "")))</f>
        <v/>
      </c>
      <c r="E760" s="52" t="n"/>
      <c r="F760" s="52" t="n"/>
      <c r="G760" s="52" t="n"/>
      <c r="H760" s="52" t="n"/>
      <c r="I760" s="52" t="n"/>
      <c r="J760" s="59" t="n"/>
      <c r="K760" s="59" t="n"/>
      <c r="L760" s="59" t="n"/>
      <c r="M760" s="59" t="n"/>
      <c r="N760" s="59" t="n"/>
      <c r="O760" s="297" t="n"/>
      <c r="P760" s="297" t="n"/>
      <c r="Q760" s="297" t="n"/>
      <c r="R760" s="297" t="n"/>
      <c r="S760" s="297" t="n"/>
      <c r="T760" s="297" t="n"/>
      <c r="U760" s="297" t="n"/>
    </row>
    <row r="761">
      <c r="A761" s="174" t="n"/>
      <c r="B761" s="299" t="n"/>
      <c r="C761" s="107">
        <f>IF(B761="", "", VLOOKUP(B761, 'CLIENT DATA'!A:S, 19, FALSE))</f>
        <v/>
      </c>
      <c r="D761" s="107">
        <f t="array" ref="D761">IF(B761="", "", _xlfn.TEXTJOIN(", ", TRUE, IF('CLIENT DATA'!$A$2:$A$205=B761, 'CLIENT DATA'!$C$2:$F$205, "")))</f>
        <v/>
      </c>
      <c r="E761" s="52" t="n"/>
      <c r="F761" s="52" t="n"/>
      <c r="G761" s="52" t="n"/>
      <c r="H761" s="52" t="n"/>
      <c r="I761" s="52" t="n"/>
      <c r="J761" s="59" t="n"/>
      <c r="K761" s="59" t="n"/>
      <c r="L761" s="59" t="n"/>
      <c r="M761" s="59" t="n"/>
      <c r="N761" s="59" t="n"/>
      <c r="O761" s="297" t="n"/>
      <c r="P761" s="297" t="n"/>
      <c r="Q761" s="297" t="n"/>
      <c r="R761" s="297" t="n"/>
      <c r="S761" s="297" t="n"/>
      <c r="T761" s="297" t="n"/>
      <c r="U761" s="297" t="n"/>
    </row>
    <row r="762">
      <c r="A762" s="174" t="n"/>
      <c r="B762" s="299" t="n"/>
      <c r="C762" s="107">
        <f>IF(B762="", "", VLOOKUP(B762, 'CLIENT DATA'!A:S, 19, FALSE))</f>
        <v/>
      </c>
      <c r="D762" s="107">
        <f t="array" ref="D762">IF(B762="", "", _xlfn.TEXTJOIN(", ", TRUE, IF('CLIENT DATA'!$A$2:$A$205=B762, 'CLIENT DATA'!$C$2:$F$205, "")))</f>
        <v/>
      </c>
      <c r="E762" s="52" t="n"/>
      <c r="F762" s="52" t="n"/>
      <c r="G762" s="52" t="n"/>
      <c r="H762" s="52" t="n"/>
      <c r="I762" s="52" t="n"/>
      <c r="J762" s="59" t="n"/>
      <c r="K762" s="59" t="n"/>
      <c r="L762" s="59" t="n"/>
      <c r="M762" s="59" t="n"/>
      <c r="N762" s="59" t="n"/>
      <c r="O762" s="297" t="n"/>
      <c r="P762" s="297" t="n"/>
      <c r="Q762" s="297" t="n"/>
      <c r="R762" s="297" t="n"/>
      <c r="S762" s="297" t="n"/>
      <c r="T762" s="297" t="n"/>
      <c r="U762" s="297" t="n"/>
    </row>
    <row r="763">
      <c r="A763" s="174" t="n"/>
      <c r="B763" s="187" t="n"/>
      <c r="C763" s="107">
        <f>IF(B763="", "", VLOOKUP(B763, 'CLIENT DATA'!A:S, 19, FALSE))</f>
        <v/>
      </c>
      <c r="D763" s="107">
        <f t="array" ref="D763">IF(B763="", "", _xlfn.TEXTJOIN(", ", TRUE, IF('CLIENT DATA'!$A$2:$A$205=B763, 'CLIENT DATA'!$C$2:$F$205, "")))</f>
        <v/>
      </c>
      <c r="E763" s="52" t="n"/>
      <c r="F763" s="52" t="n"/>
      <c r="G763" s="52" t="n"/>
      <c r="H763" s="52" t="n"/>
      <c r="I763" s="52" t="n"/>
      <c r="J763" s="59" t="n"/>
      <c r="K763" s="59" t="n"/>
      <c r="L763" s="59" t="n"/>
      <c r="M763" s="59" t="n"/>
      <c r="N763" s="59" t="n"/>
      <c r="O763" s="297" t="n"/>
      <c r="P763" s="297" t="n"/>
      <c r="Q763" s="297" t="n"/>
      <c r="R763" s="297" t="n"/>
      <c r="S763" s="297" t="n"/>
      <c r="T763" s="297" t="n"/>
      <c r="U763" s="297" t="n"/>
    </row>
    <row r="764">
      <c r="A764" s="174" t="n"/>
      <c r="B764" s="187" t="n"/>
      <c r="C764" s="107">
        <f>IF(B764="", "", VLOOKUP(B764, 'CLIENT DATA'!A:S, 19, FALSE))</f>
        <v/>
      </c>
      <c r="D764" s="107">
        <f t="array" ref="D764">IF(B764="", "", _xlfn.TEXTJOIN(", ", TRUE, IF('CLIENT DATA'!$A$2:$A$205=B764, 'CLIENT DATA'!$C$2:$F$205, "")))</f>
        <v/>
      </c>
      <c r="E764" s="52" t="n"/>
      <c r="F764" s="52" t="n"/>
      <c r="G764" s="52" t="n"/>
      <c r="H764" s="52" t="n"/>
      <c r="I764" s="52" t="n"/>
      <c r="J764" s="59" t="n"/>
      <c r="K764" s="59" t="n"/>
      <c r="L764" s="59" t="n"/>
      <c r="M764" s="59" t="n"/>
      <c r="N764" s="59" t="n"/>
      <c r="O764" s="297" t="n"/>
      <c r="P764" s="297" t="n"/>
      <c r="Q764" s="297" t="n"/>
      <c r="R764" s="297" t="n"/>
      <c r="S764" s="297" t="n"/>
      <c r="T764" s="297" t="n"/>
      <c r="U764" s="297" t="n"/>
    </row>
    <row r="765">
      <c r="A765" s="174" t="n"/>
      <c r="B765" s="187" t="n"/>
      <c r="C765" s="107">
        <f>IF(B765="", "", VLOOKUP(B765, 'CLIENT DATA'!A:S, 19, FALSE))</f>
        <v/>
      </c>
      <c r="D765" s="107">
        <f t="array" ref="D765">IF(B765="", "", _xlfn.TEXTJOIN(", ", TRUE, IF('CLIENT DATA'!$A$2:$A$205=B765, 'CLIENT DATA'!$C$2:$F$205, "")))</f>
        <v/>
      </c>
      <c r="E765" s="52" t="n"/>
      <c r="F765" s="52" t="n"/>
      <c r="G765" s="52" t="n"/>
      <c r="H765" s="52" t="n"/>
      <c r="I765" s="52" t="n"/>
      <c r="J765" s="59" t="n"/>
      <c r="K765" s="59" t="n"/>
      <c r="L765" s="59" t="n"/>
      <c r="M765" s="59" t="n"/>
      <c r="N765" s="59" t="n"/>
      <c r="O765" s="297" t="n"/>
      <c r="P765" s="297" t="n"/>
      <c r="Q765" s="297" t="n"/>
      <c r="R765" s="297" t="n"/>
      <c r="S765" s="297" t="n"/>
      <c r="T765" s="297" t="n"/>
      <c r="U765" s="297" t="n"/>
    </row>
    <row r="766">
      <c r="A766" s="174" t="n"/>
      <c r="B766" s="187" t="n"/>
      <c r="C766" s="107">
        <f>IF(B766="", "", VLOOKUP(B766, 'CLIENT DATA'!A:S, 19, FALSE))</f>
        <v/>
      </c>
      <c r="D766" s="107">
        <f t="array" ref="D766">IF(B766="", "", _xlfn.TEXTJOIN(", ", TRUE, IF('CLIENT DATA'!$A$2:$A$205=B766, 'CLIENT DATA'!$C$2:$F$205, "")))</f>
        <v/>
      </c>
      <c r="E766" s="52" t="n"/>
      <c r="F766" s="52" t="n"/>
      <c r="G766" s="52" t="n"/>
      <c r="H766" s="52" t="n"/>
      <c r="I766" s="52" t="n"/>
      <c r="J766" s="59" t="n"/>
      <c r="K766" s="59" t="n"/>
      <c r="L766" s="59" t="n"/>
      <c r="M766" s="59" t="n"/>
      <c r="N766" s="59" t="n"/>
      <c r="O766" s="297" t="n"/>
      <c r="P766" s="297" t="n"/>
      <c r="Q766" s="297" t="n"/>
      <c r="R766" s="297" t="n"/>
      <c r="S766" s="297" t="n"/>
      <c r="T766" s="297" t="n"/>
      <c r="U766" s="297" t="n"/>
    </row>
    <row r="767">
      <c r="A767" s="174" t="n"/>
      <c r="B767" s="187" t="n"/>
      <c r="C767" s="107">
        <f>IF(B767="", "", VLOOKUP(B767, 'CLIENT DATA'!A:S, 19, FALSE))</f>
        <v/>
      </c>
      <c r="D767" s="107">
        <f t="array" ref="D767">IF(B767="", "", _xlfn.TEXTJOIN(", ", TRUE, IF('CLIENT DATA'!$A$2:$A$205=B767, 'CLIENT DATA'!$C$2:$F$205, "")))</f>
        <v/>
      </c>
      <c r="E767" s="52" t="n"/>
      <c r="F767" s="52" t="n"/>
      <c r="G767" s="52" t="n"/>
      <c r="H767" s="52" t="n"/>
      <c r="I767" s="52" t="n"/>
      <c r="J767" s="59" t="n"/>
      <c r="K767" s="59" t="n"/>
      <c r="L767" s="59" t="n"/>
      <c r="M767" s="59" t="n"/>
      <c r="N767" s="59" t="n"/>
      <c r="O767" s="297" t="n"/>
      <c r="P767" s="297" t="n"/>
      <c r="Q767" s="297" t="n"/>
      <c r="R767" s="297" t="n"/>
      <c r="S767" s="297" t="n"/>
      <c r="T767" s="297" t="n"/>
      <c r="U767" s="297" t="n"/>
    </row>
    <row r="768">
      <c r="A768" s="174" t="n"/>
      <c r="B768" s="187" t="n"/>
      <c r="C768" s="107">
        <f>IF(B768="", "", VLOOKUP(B768, 'CLIENT DATA'!A:S, 19, FALSE))</f>
        <v/>
      </c>
      <c r="D768" s="107">
        <f t="array" ref="D768">IF(B768="", "", _xlfn.TEXTJOIN(", ", TRUE, IF('CLIENT DATA'!$A$2:$A$205=B768, 'CLIENT DATA'!$C$2:$F$205, "")))</f>
        <v/>
      </c>
      <c r="E768" s="52" t="n"/>
      <c r="F768" s="52" t="n"/>
      <c r="G768" s="52" t="n"/>
      <c r="H768" s="52" t="n"/>
      <c r="I768" s="52" t="n"/>
      <c r="J768" s="59" t="n"/>
      <c r="K768" s="59" t="n"/>
      <c r="L768" s="59" t="n"/>
      <c r="M768" s="59" t="n"/>
      <c r="N768" s="59" t="n"/>
      <c r="O768" s="297" t="n"/>
      <c r="P768" s="297" t="n"/>
      <c r="Q768" s="297" t="n"/>
      <c r="R768" s="297" t="n"/>
      <c r="S768" s="297" t="n"/>
      <c r="T768" s="297" t="n"/>
      <c r="U768" s="297" t="n"/>
    </row>
    <row r="769">
      <c r="A769" s="174" t="n"/>
      <c r="B769" s="187" t="n"/>
      <c r="C769" s="107">
        <f>IF(B769="", "", VLOOKUP(B769, 'CLIENT DATA'!A:S, 19, FALSE))</f>
        <v/>
      </c>
      <c r="D769" s="107">
        <f t="array" ref="D769">IF(B769="", "", _xlfn.TEXTJOIN(", ", TRUE, IF('CLIENT DATA'!$A$2:$A$205=B769, 'CLIENT DATA'!$C$2:$F$205, "")))</f>
        <v/>
      </c>
      <c r="E769" s="52" t="n"/>
      <c r="F769" s="52" t="n"/>
      <c r="G769" s="52" t="n"/>
      <c r="H769" s="52" t="n"/>
      <c r="I769" s="52" t="n"/>
      <c r="J769" s="59" t="n"/>
      <c r="K769" s="59" t="n"/>
      <c r="L769" s="59" t="n"/>
      <c r="M769" s="59" t="n"/>
      <c r="N769" s="59" t="n"/>
      <c r="O769" s="297" t="n"/>
      <c r="P769" s="297" t="n"/>
      <c r="Q769" s="297" t="n"/>
      <c r="R769" s="297" t="n"/>
      <c r="S769" s="297" t="n"/>
      <c r="T769" s="297" t="n"/>
      <c r="U769" s="297" t="n"/>
    </row>
    <row r="770">
      <c r="A770" s="174" t="n"/>
      <c r="B770" s="187" t="n"/>
      <c r="C770" s="107">
        <f>IF(B770="", "", VLOOKUP(B770, 'CLIENT DATA'!A:S, 19, FALSE))</f>
        <v/>
      </c>
      <c r="D770" s="107">
        <f t="array" ref="D770">IF(B770="", "", _xlfn.TEXTJOIN(", ", TRUE, IF('CLIENT DATA'!$A$2:$A$205=B770, 'CLIENT DATA'!$C$2:$F$205, "")))</f>
        <v/>
      </c>
      <c r="E770" s="52" t="n"/>
      <c r="F770" s="52" t="n"/>
      <c r="G770" s="52" t="n"/>
      <c r="H770" s="52" t="n"/>
      <c r="I770" s="52" t="n"/>
      <c r="J770" s="59" t="n"/>
      <c r="K770" s="59" t="n"/>
      <c r="L770" s="59" t="n"/>
      <c r="M770" s="59" t="n"/>
      <c r="N770" s="59" t="n"/>
      <c r="O770" s="297" t="n"/>
      <c r="P770" s="297" t="n"/>
      <c r="Q770" s="297" t="n"/>
      <c r="R770" s="297" t="n"/>
      <c r="S770" s="297" t="n"/>
      <c r="T770" s="297" t="n"/>
      <c r="U770" s="297" t="n"/>
    </row>
    <row r="771">
      <c r="A771" s="174" t="n"/>
      <c r="B771" s="299" t="n"/>
      <c r="C771" s="107">
        <f>IF(B771="", "", VLOOKUP(B771, 'CLIENT DATA'!A:S, 19, FALSE))</f>
        <v/>
      </c>
      <c r="D771" s="107">
        <f t="array" ref="D771">IF(B771="", "", _xlfn.TEXTJOIN(", ", TRUE, IF('CLIENT DATA'!$A$2:$A$205=B771, 'CLIENT DATA'!$C$2:$F$205, "")))</f>
        <v/>
      </c>
      <c r="E771" s="52" t="n"/>
      <c r="F771" s="52" t="n"/>
      <c r="G771" s="52" t="n"/>
      <c r="H771" s="52" t="n"/>
      <c r="I771" s="52" t="n"/>
      <c r="J771" s="59" t="n"/>
      <c r="K771" s="59" t="n"/>
      <c r="L771" s="59" t="n"/>
      <c r="M771" s="59" t="n"/>
      <c r="N771" s="59" t="n"/>
      <c r="O771" s="297" t="n"/>
      <c r="P771" s="297" t="n"/>
      <c r="Q771" s="297" t="n"/>
      <c r="R771" s="297" t="n"/>
      <c r="S771" s="297" t="n"/>
      <c r="T771" s="297" t="n"/>
      <c r="U771" s="297" t="n"/>
    </row>
    <row r="772">
      <c r="A772" s="174" t="n"/>
      <c r="B772" s="299" t="n"/>
      <c r="C772" s="107">
        <f>IF(B772="", "", VLOOKUP(B772, 'CLIENT DATA'!A:S, 19, FALSE))</f>
        <v/>
      </c>
      <c r="D772" s="107">
        <f t="array" ref="D772">IF(B772="", "", _xlfn.TEXTJOIN(", ", TRUE, IF('CLIENT DATA'!$A$2:$A$205=B772, 'CLIENT DATA'!$C$2:$F$205, "")))</f>
        <v/>
      </c>
      <c r="E772" s="52" t="n"/>
      <c r="F772" s="52" t="n"/>
      <c r="G772" s="52" t="n"/>
      <c r="H772" s="52" t="n"/>
      <c r="I772" s="52" t="n"/>
      <c r="J772" s="59" t="n"/>
      <c r="K772" s="59" t="n"/>
      <c r="L772" s="59" t="n"/>
      <c r="M772" s="59" t="n"/>
      <c r="N772" s="59" t="n"/>
      <c r="O772" s="297" t="n"/>
      <c r="P772" s="297" t="n"/>
      <c r="Q772" s="297" t="n"/>
      <c r="R772" s="297" t="n"/>
      <c r="S772" s="297" t="n"/>
      <c r="T772" s="297" t="n"/>
      <c r="U772" s="297" t="n"/>
    </row>
    <row r="773">
      <c r="A773" s="174" t="n"/>
      <c r="B773" s="299" t="n"/>
      <c r="C773" s="107">
        <f>IF(B773="", "", VLOOKUP(B773, 'CLIENT DATA'!A:S, 19, FALSE))</f>
        <v/>
      </c>
      <c r="D773" s="107">
        <f t="array" ref="D773">IF(B773="", "", _xlfn.TEXTJOIN(", ", TRUE, IF('CLIENT DATA'!$A$2:$A$205=B773, 'CLIENT DATA'!$C$2:$F$205, "")))</f>
        <v/>
      </c>
      <c r="E773" s="52" t="n"/>
      <c r="F773" s="52" t="n"/>
      <c r="G773" s="52" t="n"/>
      <c r="H773" s="52" t="n"/>
      <c r="I773" s="52" t="n"/>
      <c r="J773" s="59" t="n"/>
      <c r="K773" s="59" t="n"/>
      <c r="L773" s="59" t="n"/>
      <c r="M773" s="59" t="n"/>
      <c r="N773" s="59" t="n"/>
      <c r="O773" s="297" t="n"/>
      <c r="P773" s="297" t="n"/>
      <c r="Q773" s="297" t="n"/>
      <c r="R773" s="297" t="n"/>
      <c r="S773" s="297" t="n"/>
      <c r="T773" s="297" t="n"/>
      <c r="U773" s="297" t="n"/>
    </row>
    <row r="774">
      <c r="A774" s="174" t="n"/>
      <c r="B774" s="299" t="n"/>
      <c r="C774" s="107">
        <f>IF(B774="", "", VLOOKUP(B774, 'CLIENT DATA'!A:S, 19, FALSE))</f>
        <v/>
      </c>
      <c r="D774" s="107">
        <f t="array" ref="D774">IF(B774="", "", _xlfn.TEXTJOIN(", ", TRUE, IF('CLIENT DATA'!$A$2:$A$205=B774, 'CLIENT DATA'!$C$2:$F$205, "")))</f>
        <v/>
      </c>
      <c r="E774" s="52" t="n"/>
      <c r="F774" s="52" t="n"/>
      <c r="G774" s="52" t="n"/>
      <c r="H774" s="52" t="n"/>
      <c r="I774" s="52" t="n"/>
      <c r="J774" s="59" t="n"/>
      <c r="K774" s="59" t="n"/>
      <c r="L774" s="59" t="n"/>
      <c r="M774" s="59" t="n"/>
      <c r="N774" s="59" t="n"/>
      <c r="O774" s="297" t="n"/>
      <c r="P774" s="297" t="n"/>
      <c r="Q774" s="297" t="n"/>
      <c r="R774" s="297" t="n"/>
      <c r="S774" s="297" t="n"/>
      <c r="T774" s="297" t="n"/>
      <c r="U774" s="297" t="n"/>
    </row>
    <row r="775">
      <c r="A775" s="174" t="n"/>
      <c r="B775" s="299" t="n"/>
      <c r="C775" s="107">
        <f>IF(B775="", "", VLOOKUP(B775, 'CLIENT DATA'!A:S, 19, FALSE))</f>
        <v/>
      </c>
      <c r="D775" s="107">
        <f t="array" ref="D775">IF(B775="", "", _xlfn.TEXTJOIN(", ", TRUE, IF('CLIENT DATA'!$A$2:$A$205=B775, 'CLIENT DATA'!$C$2:$F$205, "")))</f>
        <v/>
      </c>
      <c r="E775" s="52" t="n"/>
      <c r="F775" s="52" t="n"/>
      <c r="G775" s="52" t="n"/>
      <c r="H775" s="52" t="n"/>
      <c r="I775" s="52" t="n"/>
      <c r="J775" s="59" t="n"/>
      <c r="K775" s="59" t="n"/>
      <c r="L775" s="59" t="n"/>
      <c r="M775" s="59" t="n"/>
      <c r="N775" s="59" t="n"/>
      <c r="O775" s="297" t="n"/>
      <c r="P775" s="297" t="n"/>
      <c r="Q775" s="297" t="n"/>
      <c r="R775" s="297" t="n"/>
      <c r="S775" s="297" t="n"/>
      <c r="T775" s="297" t="n"/>
      <c r="U775" s="297" t="n"/>
    </row>
    <row r="776">
      <c r="A776" s="174" t="n"/>
      <c r="B776" s="299" t="n"/>
      <c r="C776" s="107">
        <f>IF(B776="", "", VLOOKUP(B776, 'CLIENT DATA'!A:S, 19, FALSE))</f>
        <v/>
      </c>
      <c r="D776" s="107">
        <f t="array" ref="D776">IF(B776="", "", _xlfn.TEXTJOIN(", ", TRUE, IF('CLIENT DATA'!$A$2:$A$205=B776, 'CLIENT DATA'!$C$2:$F$205, "")))</f>
        <v/>
      </c>
      <c r="E776" s="52" t="n"/>
      <c r="F776" s="52" t="n"/>
      <c r="G776" s="52" t="n"/>
      <c r="H776" s="52" t="n"/>
      <c r="I776" s="52" t="n"/>
      <c r="J776" s="59" t="n"/>
      <c r="K776" s="59" t="n"/>
      <c r="L776" s="59" t="n"/>
      <c r="M776" s="59" t="n"/>
      <c r="N776" s="59" t="n"/>
      <c r="O776" s="297" t="n"/>
      <c r="P776" s="297" t="n"/>
      <c r="Q776" s="297" t="n"/>
      <c r="R776" s="297" t="n"/>
      <c r="S776" s="297" t="n"/>
      <c r="T776" s="297" t="n"/>
      <c r="U776" s="297" t="n"/>
    </row>
    <row r="777">
      <c r="A777" s="174" t="n"/>
      <c r="B777" s="299" t="n"/>
      <c r="C777" s="107">
        <f>IF(B777="", "", VLOOKUP(B777, 'CLIENT DATA'!A:S, 19, FALSE))</f>
        <v/>
      </c>
      <c r="D777" s="107">
        <f t="array" ref="D777">IF(B777="", "", _xlfn.TEXTJOIN(", ", TRUE, IF('CLIENT DATA'!$A$2:$A$205=B777, 'CLIENT DATA'!$C$2:$F$205, "")))</f>
        <v/>
      </c>
      <c r="E777" s="52" t="n"/>
      <c r="F777" s="52" t="n"/>
      <c r="G777" s="52" t="n"/>
      <c r="H777" s="52" t="n"/>
      <c r="I777" s="52" t="n"/>
      <c r="J777" s="59" t="n"/>
      <c r="K777" s="59" t="n"/>
      <c r="L777" s="59" t="n"/>
      <c r="M777" s="59" t="n"/>
      <c r="N777" s="59" t="n"/>
      <c r="O777" s="297" t="n"/>
      <c r="P777" s="297" t="n"/>
      <c r="Q777" s="297" t="n"/>
      <c r="R777" s="297" t="n"/>
      <c r="S777" s="297" t="n"/>
      <c r="T777" s="297" t="n"/>
      <c r="U777" s="297" t="n"/>
    </row>
    <row r="778">
      <c r="A778" s="174" t="n"/>
      <c r="B778" s="299" t="n"/>
      <c r="C778" s="107">
        <f>IF(B778="", "", VLOOKUP(B778, 'CLIENT DATA'!A:S, 19, FALSE))</f>
        <v/>
      </c>
      <c r="D778" s="107">
        <f t="array" ref="D778">IF(B778="", "", _xlfn.TEXTJOIN(", ", TRUE, IF('CLIENT DATA'!$A$2:$A$205=B778, 'CLIENT DATA'!$C$2:$F$205, "")))</f>
        <v/>
      </c>
      <c r="E778" s="52" t="n"/>
      <c r="F778" s="52" t="n"/>
      <c r="G778" s="52" t="n"/>
      <c r="H778" s="52" t="n"/>
      <c r="I778" s="52" t="n"/>
      <c r="J778" s="59" t="n"/>
      <c r="K778" s="59" t="n"/>
      <c r="L778" s="59" t="n"/>
      <c r="M778" s="59" t="n"/>
      <c r="N778" s="59" t="n"/>
      <c r="O778" s="297" t="n"/>
      <c r="P778" s="297" t="n"/>
      <c r="Q778" s="297" t="n"/>
      <c r="R778" s="297" t="n"/>
      <c r="S778" s="297" t="n"/>
      <c r="T778" s="297" t="n"/>
      <c r="U778" s="297" t="n"/>
    </row>
    <row r="779">
      <c r="A779" s="174" t="n"/>
      <c r="B779" s="299" t="n"/>
      <c r="C779" s="107">
        <f>IF(B779="", "", VLOOKUP(B779, 'CLIENT DATA'!A:S, 19, FALSE))</f>
        <v/>
      </c>
      <c r="D779" s="107">
        <f t="array" ref="D779">IF(B779="", "", _xlfn.TEXTJOIN(", ", TRUE, IF('CLIENT DATA'!$A$2:$A$205=B779, 'CLIENT DATA'!$C$2:$F$205, "")))</f>
        <v/>
      </c>
      <c r="E779" s="52" t="n"/>
      <c r="F779" s="52" t="n"/>
      <c r="G779" s="52" t="n"/>
      <c r="H779" s="52" t="n"/>
      <c r="I779" s="52" t="n"/>
      <c r="J779" s="59" t="n"/>
      <c r="K779" s="59" t="n"/>
      <c r="L779" s="59" t="n"/>
      <c r="M779" s="59" t="n"/>
      <c r="N779" s="59" t="n"/>
      <c r="O779" s="297" t="n"/>
      <c r="P779" s="297" t="n"/>
      <c r="Q779" s="297" t="n"/>
      <c r="R779" s="297" t="n"/>
      <c r="S779" s="297" t="n"/>
      <c r="T779" s="297" t="n"/>
      <c r="U779" s="297" t="n"/>
    </row>
    <row r="780">
      <c r="A780" s="174" t="n"/>
      <c r="B780" s="299" t="n"/>
      <c r="C780" s="107">
        <f>IF(B780="", "", VLOOKUP(B780, 'CLIENT DATA'!A:S, 19, FALSE))</f>
        <v/>
      </c>
      <c r="D780" s="107">
        <f t="array" ref="D780">IF(B780="", "", _xlfn.TEXTJOIN(", ", TRUE, IF('CLIENT DATA'!$A$2:$A$205=B780, 'CLIENT DATA'!$C$2:$F$205, "")))</f>
        <v/>
      </c>
      <c r="E780" s="52" t="n"/>
      <c r="F780" s="52" t="n"/>
      <c r="G780" s="52" t="n"/>
      <c r="H780" s="52" t="n"/>
      <c r="I780" s="52" t="n"/>
      <c r="J780" s="59" t="n"/>
      <c r="K780" s="59" t="n"/>
      <c r="L780" s="59" t="n"/>
      <c r="M780" s="59" t="n"/>
      <c r="N780" s="59" t="n"/>
      <c r="O780" s="297" t="n"/>
      <c r="P780" s="297" t="n"/>
      <c r="Q780" s="297" t="n"/>
      <c r="R780" s="297" t="n"/>
      <c r="S780" s="297" t="n"/>
      <c r="T780" s="297" t="n"/>
      <c r="U780" s="297" t="n"/>
    </row>
    <row r="781">
      <c r="A781" s="174" t="n"/>
      <c r="B781" s="299" t="n"/>
      <c r="C781" s="107">
        <f>IF(B781="", "", VLOOKUP(B781, 'CLIENT DATA'!A:S, 19, FALSE))</f>
        <v/>
      </c>
      <c r="D781" s="107">
        <f t="array" ref="D781">IF(B781="", "", _xlfn.TEXTJOIN(", ", TRUE, IF('CLIENT DATA'!$A$2:$A$205=B781, 'CLIENT DATA'!$C$2:$F$205, "")))</f>
        <v/>
      </c>
      <c r="E781" s="52" t="n"/>
      <c r="F781" s="52" t="n"/>
      <c r="G781" s="52" t="n"/>
      <c r="H781" s="52" t="n"/>
      <c r="I781" s="52" t="n"/>
      <c r="J781" s="59" t="n"/>
      <c r="K781" s="59" t="n"/>
      <c r="L781" s="59" t="n"/>
      <c r="M781" s="59" t="n"/>
      <c r="N781" s="59" t="n"/>
      <c r="O781" s="297" t="n"/>
      <c r="P781" s="297" t="n"/>
      <c r="Q781" s="297" t="n"/>
      <c r="R781" s="297" t="n"/>
      <c r="S781" s="297" t="n"/>
      <c r="T781" s="297" t="n"/>
      <c r="U781" s="297" t="n"/>
    </row>
    <row r="782">
      <c r="A782" s="174" t="n"/>
      <c r="B782" s="299" t="n"/>
      <c r="C782" s="107">
        <f>IF(B782="", "", VLOOKUP(B782, 'CLIENT DATA'!A:S, 19, FALSE))</f>
        <v/>
      </c>
      <c r="D782" s="107">
        <f t="array" ref="D782">IF(B782="", "", _xlfn.TEXTJOIN(", ", TRUE, IF('CLIENT DATA'!$A$2:$A$205=B782, 'CLIENT DATA'!$C$2:$F$205, "")))</f>
        <v/>
      </c>
      <c r="E782" s="52" t="n"/>
      <c r="F782" s="52" t="n"/>
      <c r="G782" s="52" t="n"/>
      <c r="H782" s="52" t="n"/>
      <c r="I782" s="52" t="n"/>
      <c r="J782" s="59" t="n"/>
      <c r="K782" s="59" t="n"/>
      <c r="L782" s="59" t="n"/>
      <c r="M782" s="59" t="n"/>
      <c r="N782" s="59" t="n"/>
      <c r="O782" s="297" t="n"/>
      <c r="P782" s="297" t="n"/>
      <c r="Q782" s="297" t="n"/>
      <c r="R782" s="297" t="n"/>
      <c r="S782" s="297" t="n"/>
      <c r="T782" s="297" t="n"/>
      <c r="U782" s="297" t="n"/>
    </row>
    <row r="783">
      <c r="A783" s="174" t="n"/>
      <c r="B783" s="300" t="n"/>
      <c r="C783" s="182">
        <f>IF(B783="", "", VLOOKUP(B783, 'CLIENT DATA'!A:S, 19, FALSE))</f>
        <v/>
      </c>
      <c r="D783" s="182">
        <f t="array" ref="D783">IF(B783="", "", _xlfn.TEXTJOIN(", ", TRUE, IF('CLIENT DATA'!$A$2:$A$205=B783, 'CLIENT DATA'!$C$2:$F$205, "")))</f>
        <v/>
      </c>
      <c r="E783" s="183" t="n"/>
      <c r="F783" s="183" t="n"/>
      <c r="G783" s="183" t="n"/>
      <c r="H783" s="183" t="n"/>
      <c r="I783" s="183" t="n"/>
      <c r="J783" s="184" t="n"/>
      <c r="K783" s="184" t="n"/>
      <c r="L783" s="184" t="n"/>
      <c r="M783" s="184" t="n"/>
      <c r="N783" s="184" t="n"/>
      <c r="O783" s="301" t="n"/>
      <c r="P783" s="301" t="n"/>
      <c r="Q783" s="301" t="n"/>
      <c r="R783" s="301" t="n"/>
      <c r="S783" s="301" t="n"/>
      <c r="T783" s="301" t="n"/>
      <c r="U783" s="301" t="n"/>
    </row>
    <row r="784">
      <c r="A784" s="174" t="n"/>
      <c r="B784" s="187" t="n"/>
      <c r="C784" s="107">
        <f>IF(B784="", "", VLOOKUP(B784, 'CLIENT DATA'!A:S, 19, FALSE))</f>
        <v/>
      </c>
      <c r="D784" s="107">
        <f t="array" ref="D784">IF(B784="", "", _xlfn.TEXTJOIN(", ", TRUE, IF('CLIENT DATA'!$A$2:$A$205=B784, 'CLIENT DATA'!$C$2:$F$205, "")))</f>
        <v/>
      </c>
      <c r="E784" s="52" t="n"/>
      <c r="F784" s="52" t="n"/>
      <c r="G784" s="52" t="n"/>
      <c r="H784" s="52" t="n"/>
      <c r="I784" s="52" t="n"/>
      <c r="J784" s="59" t="n"/>
      <c r="K784" s="59" t="n"/>
      <c r="L784" s="59" t="n"/>
      <c r="M784" s="59" t="n"/>
      <c r="N784" s="59" t="n"/>
      <c r="O784" s="297" t="n"/>
      <c r="P784" s="297" t="n"/>
      <c r="Q784" s="297" t="n"/>
      <c r="R784" s="297" t="n"/>
      <c r="S784" s="297" t="n"/>
      <c r="T784" s="297" t="n"/>
      <c r="U784" s="297" t="n"/>
    </row>
    <row r="785">
      <c r="A785" s="174" t="n"/>
      <c r="B785" s="187" t="n"/>
      <c r="C785" s="107">
        <f>IF(B785="", "", VLOOKUP(B785, 'CLIENT DATA'!A:S, 19, FALSE))</f>
        <v/>
      </c>
      <c r="D785" s="107">
        <f t="array" ref="D785">IF(B785="", "", _xlfn.TEXTJOIN(", ", TRUE, IF('CLIENT DATA'!$A$2:$A$205=B785, 'CLIENT DATA'!$C$2:$F$205, "")))</f>
        <v/>
      </c>
      <c r="E785" s="52" t="n"/>
      <c r="F785" s="52" t="n"/>
      <c r="G785" s="52" t="n"/>
      <c r="H785" s="52" t="n"/>
      <c r="I785" s="52" t="n"/>
      <c r="J785" s="59" t="n"/>
      <c r="K785" s="59" t="n"/>
      <c r="L785" s="59" t="n"/>
      <c r="M785" s="59" t="n"/>
      <c r="N785" s="59" t="n"/>
      <c r="O785" s="297" t="n"/>
      <c r="P785" s="297" t="n"/>
      <c r="Q785" s="297" t="n"/>
      <c r="R785" s="297" t="n"/>
      <c r="S785" s="297" t="n"/>
      <c r="T785" s="297" t="n"/>
      <c r="U785" s="297" t="n"/>
    </row>
    <row r="786">
      <c r="A786" s="174" t="n"/>
      <c r="B786" s="187" t="n"/>
      <c r="C786" s="107">
        <f>IF(B786="", "", VLOOKUP(B786, 'CLIENT DATA'!A:S, 19, FALSE))</f>
        <v/>
      </c>
      <c r="D786" s="107">
        <f t="array" ref="D786">IF(B786="", "", _xlfn.TEXTJOIN(", ", TRUE, IF('CLIENT DATA'!$A$2:$A$205=B786, 'CLIENT DATA'!$C$2:$F$205, "")))</f>
        <v/>
      </c>
      <c r="E786" s="52" t="n"/>
      <c r="F786" s="52" t="n"/>
      <c r="G786" s="52" t="n"/>
      <c r="H786" s="52" t="n"/>
      <c r="I786" s="52" t="n"/>
      <c r="J786" s="59" t="n"/>
      <c r="K786" s="59" t="n"/>
      <c r="L786" s="59" t="n"/>
      <c r="M786" s="59" t="n"/>
      <c r="N786" s="59" t="n"/>
      <c r="O786" s="297" t="n"/>
      <c r="P786" s="297" t="n"/>
      <c r="Q786" s="297" t="n"/>
      <c r="R786" s="297" t="n"/>
      <c r="S786" s="297" t="n"/>
      <c r="T786" s="297" t="n"/>
      <c r="U786" s="297" t="n"/>
    </row>
    <row r="787">
      <c r="A787" s="174" t="n"/>
      <c r="B787" s="187" t="n"/>
      <c r="C787" s="107">
        <f>IF(B787="", "", VLOOKUP(B787, 'CLIENT DATA'!A:S, 19, FALSE))</f>
        <v/>
      </c>
      <c r="D787" s="107">
        <f t="array" ref="D787">IF(B787="", "", _xlfn.TEXTJOIN(", ", TRUE, IF('CLIENT DATA'!$A$2:$A$205=B787, 'CLIENT DATA'!$C$2:$F$205, "")))</f>
        <v/>
      </c>
      <c r="E787" s="52" t="n"/>
      <c r="F787" s="52" t="n"/>
      <c r="G787" s="52" t="n"/>
      <c r="H787" s="52" t="n"/>
      <c r="I787" s="52" t="n"/>
      <c r="J787" s="59" t="n"/>
      <c r="K787" s="59" t="n"/>
      <c r="L787" s="59" t="n"/>
      <c r="M787" s="59" t="n"/>
      <c r="N787" s="59" t="n"/>
      <c r="O787" s="297" t="n"/>
      <c r="P787" s="297" t="n"/>
      <c r="Q787" s="297" t="n"/>
      <c r="R787" s="297" t="n"/>
      <c r="S787" s="297" t="n"/>
      <c r="T787" s="297" t="n"/>
      <c r="U787" s="297" t="n"/>
    </row>
    <row r="788">
      <c r="A788" s="174" t="n"/>
      <c r="B788" s="187" t="n"/>
      <c r="C788" s="107">
        <f>IF(B788="", "", VLOOKUP(B788, 'CLIENT DATA'!A:S, 19, FALSE))</f>
        <v/>
      </c>
      <c r="D788" s="107">
        <f t="array" ref="D788">IF(B788="", "", _xlfn.TEXTJOIN(", ", TRUE, IF('CLIENT DATA'!$A$2:$A$205=B788, 'CLIENT DATA'!$C$2:$F$205, "")))</f>
        <v/>
      </c>
      <c r="E788" s="52" t="n"/>
      <c r="F788" s="52" t="n"/>
      <c r="G788" s="52" t="n"/>
      <c r="H788" s="52" t="n"/>
      <c r="I788" s="52" t="n"/>
      <c r="J788" s="59" t="n"/>
      <c r="K788" s="59" t="n"/>
      <c r="L788" s="59" t="n"/>
      <c r="M788" s="59" t="n"/>
      <c r="N788" s="59" t="n"/>
      <c r="O788" s="297" t="n"/>
      <c r="P788" s="297" t="n"/>
      <c r="Q788" s="297" t="n"/>
      <c r="R788" s="297" t="n"/>
      <c r="S788" s="297" t="n"/>
      <c r="T788" s="297" t="n"/>
      <c r="U788" s="297" t="n"/>
    </row>
    <row r="789">
      <c r="A789" s="174" t="n"/>
      <c r="B789" s="187" t="n"/>
      <c r="C789" s="107">
        <f>IF(B789="", "", VLOOKUP(B789, 'CLIENT DATA'!A:S, 19, FALSE))</f>
        <v/>
      </c>
      <c r="D789" s="107">
        <f t="array" ref="D789">IF(B789="", "", _xlfn.TEXTJOIN(", ", TRUE, IF('CLIENT DATA'!$A$2:$A$205=B789, 'CLIENT DATA'!$C$2:$F$205, "")))</f>
        <v/>
      </c>
      <c r="E789" s="52" t="n"/>
      <c r="F789" s="52" t="n"/>
      <c r="G789" s="52" t="n"/>
      <c r="H789" s="52" t="n"/>
      <c r="I789" s="52" t="n"/>
      <c r="J789" s="59" t="n"/>
      <c r="K789" s="59" t="n"/>
      <c r="L789" s="59" t="n"/>
      <c r="M789" s="59" t="n"/>
      <c r="N789" s="59" t="n"/>
      <c r="O789" s="297" t="n"/>
      <c r="P789" s="297" t="n"/>
      <c r="Q789" s="297" t="n"/>
      <c r="R789" s="297" t="n"/>
      <c r="S789" s="297" t="n"/>
      <c r="T789" s="297" t="n"/>
      <c r="U789" s="297" t="n"/>
    </row>
    <row r="790">
      <c r="A790" s="174" t="n"/>
      <c r="B790" s="187" t="n"/>
      <c r="C790" s="107">
        <f>IF(B790="", "", VLOOKUP(B790, 'CLIENT DATA'!A:S, 19, FALSE))</f>
        <v/>
      </c>
      <c r="D790" s="107">
        <f t="array" ref="D790">IF(B790="", "", _xlfn.TEXTJOIN(", ", TRUE, IF('CLIENT DATA'!$A$2:$A$205=B790, 'CLIENT DATA'!$C$2:$F$205, "")))</f>
        <v/>
      </c>
      <c r="E790" s="52" t="n"/>
      <c r="F790" s="52" t="n"/>
      <c r="G790" s="52" t="n"/>
      <c r="H790" s="52" t="n"/>
      <c r="I790" s="52" t="n"/>
      <c r="J790" s="59" t="n"/>
      <c r="K790" s="59" t="n"/>
      <c r="L790" s="59" t="n"/>
      <c r="M790" s="59" t="n"/>
      <c r="N790" s="59" t="n"/>
      <c r="O790" s="297" t="n"/>
      <c r="P790" s="297" t="n"/>
      <c r="Q790" s="297" t="n"/>
      <c r="R790" s="297" t="n"/>
      <c r="S790" s="297" t="n"/>
      <c r="T790" s="297" t="n"/>
      <c r="U790" s="297" t="n"/>
    </row>
    <row r="791">
      <c r="A791" s="174" t="n"/>
      <c r="B791" s="187" t="n"/>
      <c r="C791" s="107">
        <f>IF(B791="", "", VLOOKUP(B791, 'CLIENT DATA'!A:S, 19, FALSE))</f>
        <v/>
      </c>
      <c r="D791" s="107">
        <f t="array" ref="D791">IF(B791="", "", _xlfn.TEXTJOIN(", ", TRUE, IF('CLIENT DATA'!$A$2:$A$205=B791, 'CLIENT DATA'!$C$2:$F$205, "")))</f>
        <v/>
      </c>
      <c r="E791" s="52" t="n"/>
      <c r="F791" s="52" t="n"/>
      <c r="G791" s="52" t="n"/>
      <c r="H791" s="52" t="n"/>
      <c r="I791" s="52" t="n"/>
      <c r="J791" s="59" t="n"/>
      <c r="K791" s="59" t="n"/>
      <c r="L791" s="59" t="n"/>
      <c r="M791" s="59" t="n"/>
      <c r="N791" s="59" t="n"/>
      <c r="O791" s="297" t="n"/>
      <c r="P791" s="297" t="n"/>
      <c r="Q791" s="297" t="n"/>
      <c r="R791" s="297" t="n"/>
      <c r="S791" s="297" t="n"/>
      <c r="T791" s="297" t="n"/>
      <c r="U791" s="297" t="n"/>
    </row>
    <row r="792">
      <c r="A792" s="174" t="n"/>
      <c r="B792" s="299" t="n"/>
      <c r="C792" s="107">
        <f>IF(B792="", "", VLOOKUP(B792, 'CLIENT DATA'!A:S, 19, FALSE))</f>
        <v/>
      </c>
      <c r="D792" s="107">
        <f t="array" ref="D792">IF(B792="", "", _xlfn.TEXTJOIN(", ", TRUE, IF('CLIENT DATA'!$A$2:$A$205=B792, 'CLIENT DATA'!$C$2:$F$205, "")))</f>
        <v/>
      </c>
      <c r="E792" s="52" t="n"/>
      <c r="F792" s="52" t="n"/>
      <c r="G792" s="52" t="n"/>
      <c r="H792" s="52" t="n"/>
      <c r="I792" s="52" t="n"/>
      <c r="J792" s="59" t="n"/>
      <c r="K792" s="59" t="n"/>
      <c r="L792" s="59" t="n"/>
      <c r="M792" s="59" t="n"/>
      <c r="N792" s="59" t="n"/>
      <c r="O792" s="297" t="n"/>
      <c r="P792" s="297" t="n"/>
      <c r="Q792" s="297" t="n"/>
      <c r="R792" s="297" t="n"/>
      <c r="S792" s="297" t="n"/>
      <c r="T792" s="297" t="n"/>
      <c r="U792" s="297" t="n"/>
    </row>
    <row r="793">
      <c r="A793" s="174" t="n"/>
      <c r="B793" s="299" t="n"/>
      <c r="C793" s="107">
        <f>IF(B793="", "", VLOOKUP(B793, 'CLIENT DATA'!A:S, 19, FALSE))</f>
        <v/>
      </c>
      <c r="D793" s="107">
        <f t="array" ref="D793">IF(B793="", "", _xlfn.TEXTJOIN(", ", TRUE, IF('CLIENT DATA'!$A$2:$A$205=B793, 'CLIENT DATA'!$C$2:$F$205, "")))</f>
        <v/>
      </c>
      <c r="E793" s="52" t="n"/>
      <c r="F793" s="52" t="n"/>
      <c r="G793" s="52" t="n"/>
      <c r="H793" s="52" t="n"/>
      <c r="I793" s="52" t="n"/>
      <c r="J793" s="59" t="n"/>
      <c r="K793" s="59" t="n"/>
      <c r="L793" s="59" t="n"/>
      <c r="M793" s="59" t="n"/>
      <c r="N793" s="59" t="n"/>
      <c r="O793" s="297" t="n"/>
      <c r="P793" s="297" t="n"/>
      <c r="Q793" s="297" t="n"/>
      <c r="R793" s="297" t="n"/>
      <c r="S793" s="297" t="n"/>
      <c r="T793" s="297" t="n"/>
      <c r="U793" s="297" t="n"/>
    </row>
    <row r="794">
      <c r="A794" s="174" t="n"/>
      <c r="B794" s="299" t="n"/>
      <c r="C794" s="107">
        <f>IF(B794="", "", VLOOKUP(B794, 'CLIENT DATA'!A:S, 19, FALSE))</f>
        <v/>
      </c>
      <c r="D794" s="107">
        <f t="array" ref="D794">IF(B794="", "", _xlfn.TEXTJOIN(", ", TRUE, IF('CLIENT DATA'!$A$2:$A$205=B794, 'CLIENT DATA'!$C$2:$F$205, "")))</f>
        <v/>
      </c>
      <c r="E794" s="52" t="n"/>
      <c r="F794" s="52" t="n"/>
      <c r="G794" s="52" t="n"/>
      <c r="H794" s="52" t="n"/>
      <c r="I794" s="52" t="n"/>
      <c r="J794" s="59" t="n"/>
      <c r="K794" s="59" t="n"/>
      <c r="L794" s="59" t="n"/>
      <c r="M794" s="59" t="n"/>
      <c r="N794" s="59" t="n"/>
      <c r="O794" s="297" t="n"/>
      <c r="P794" s="297" t="n"/>
      <c r="Q794" s="297" t="n"/>
      <c r="R794" s="297" t="n"/>
      <c r="S794" s="297" t="n"/>
      <c r="T794" s="297" t="n"/>
      <c r="U794" s="297" t="n"/>
    </row>
    <row r="795">
      <c r="A795" s="174" t="n"/>
      <c r="B795" s="299" t="n"/>
      <c r="C795" s="107">
        <f>IF(B795="", "", VLOOKUP(B795, 'CLIENT DATA'!A:S, 19, FALSE))</f>
        <v/>
      </c>
      <c r="D795" s="107">
        <f t="array" ref="D795">IF(B795="", "", _xlfn.TEXTJOIN(", ", TRUE, IF('CLIENT DATA'!$A$2:$A$205=B795, 'CLIENT DATA'!$C$2:$F$205, "")))</f>
        <v/>
      </c>
      <c r="E795" s="52" t="n"/>
      <c r="F795" s="52" t="n"/>
      <c r="G795" s="52" t="n"/>
      <c r="H795" s="52" t="n"/>
      <c r="I795" s="52" t="n"/>
      <c r="J795" s="59" t="n"/>
      <c r="K795" s="59" t="n"/>
      <c r="L795" s="59" t="n"/>
      <c r="M795" s="59" t="n"/>
      <c r="N795" s="59" t="n"/>
      <c r="O795" s="297" t="n"/>
      <c r="P795" s="297" t="n"/>
      <c r="Q795" s="297" t="n"/>
      <c r="R795" s="297" t="n"/>
      <c r="S795" s="297" t="n"/>
      <c r="T795" s="297" t="n"/>
      <c r="U795" s="297" t="n"/>
    </row>
    <row r="796">
      <c r="A796" s="174" t="n"/>
      <c r="B796" s="299" t="n"/>
      <c r="C796" s="107">
        <f>IF(B796="", "", VLOOKUP(B796, 'CLIENT DATA'!A:S, 19, FALSE))</f>
        <v/>
      </c>
      <c r="D796" s="107">
        <f t="array" ref="D796">IF(B796="", "", _xlfn.TEXTJOIN(", ", TRUE, IF('CLIENT DATA'!$A$2:$A$205=B796, 'CLIENT DATA'!$C$2:$F$205, "")))</f>
        <v/>
      </c>
      <c r="E796" s="52" t="n"/>
      <c r="F796" s="52" t="n"/>
      <c r="G796" s="52" t="n"/>
      <c r="H796" s="52" t="n"/>
      <c r="I796" s="52" t="n"/>
      <c r="J796" s="59" t="n"/>
      <c r="K796" s="59" t="n"/>
      <c r="L796" s="59" t="n"/>
      <c r="M796" s="59" t="n"/>
      <c r="N796" s="59" t="n"/>
      <c r="O796" s="297" t="n"/>
      <c r="P796" s="297" t="n"/>
      <c r="Q796" s="297" t="n"/>
      <c r="R796" s="297" t="n"/>
      <c r="S796" s="297" t="n"/>
      <c r="T796" s="297" t="n"/>
      <c r="U796" s="297" t="n"/>
    </row>
    <row r="797">
      <c r="A797" s="174" t="n"/>
      <c r="B797" s="299" t="n"/>
      <c r="C797" s="107">
        <f>IF(B797="", "", VLOOKUP(B797, 'CLIENT DATA'!A:S, 19, FALSE))</f>
        <v/>
      </c>
      <c r="D797" s="107">
        <f t="array" ref="D797">IF(B797="", "", _xlfn.TEXTJOIN(", ", TRUE, IF('CLIENT DATA'!$A$2:$A$205=B797, 'CLIENT DATA'!$C$2:$F$205, "")))</f>
        <v/>
      </c>
      <c r="E797" s="52" t="n"/>
      <c r="F797" s="52" t="n"/>
      <c r="G797" s="52" t="n"/>
      <c r="H797" s="52" t="n"/>
      <c r="I797" s="52" t="n"/>
      <c r="J797" s="59" t="n"/>
      <c r="K797" s="59" t="n"/>
      <c r="L797" s="59" t="n"/>
      <c r="M797" s="59" t="n"/>
      <c r="N797" s="59" t="n"/>
      <c r="O797" s="297" t="n"/>
      <c r="P797" s="297" t="n"/>
      <c r="Q797" s="297" t="n"/>
      <c r="R797" s="297" t="n"/>
      <c r="S797" s="297" t="n"/>
      <c r="T797" s="297" t="n"/>
      <c r="U797" s="297" t="n"/>
    </row>
    <row r="798">
      <c r="A798" s="174" t="n"/>
      <c r="B798" s="299" t="n"/>
      <c r="C798" s="107">
        <f>IF(B798="", "", VLOOKUP(B798, 'CLIENT DATA'!A:S, 19, FALSE))</f>
        <v/>
      </c>
      <c r="D798" s="107">
        <f t="array" ref="D798">IF(B798="", "", _xlfn.TEXTJOIN(", ", TRUE, IF('CLIENT DATA'!$A$2:$A$205=B798, 'CLIENT DATA'!$C$2:$F$205, "")))</f>
        <v/>
      </c>
      <c r="E798" s="52" t="n"/>
      <c r="F798" s="52" t="n"/>
      <c r="G798" s="52" t="n"/>
      <c r="H798" s="52" t="n"/>
      <c r="I798" s="52" t="n"/>
      <c r="J798" s="59" t="n"/>
      <c r="K798" s="59" t="n"/>
      <c r="L798" s="59" t="n"/>
      <c r="M798" s="59" t="n"/>
      <c r="N798" s="59" t="n"/>
      <c r="O798" s="297" t="n"/>
      <c r="P798" s="297" t="n"/>
      <c r="Q798" s="297" t="n"/>
      <c r="R798" s="297" t="n"/>
      <c r="S798" s="297" t="n"/>
      <c r="T798" s="297" t="n"/>
      <c r="U798" s="297" t="n"/>
    </row>
    <row r="799">
      <c r="A799" s="174" t="n"/>
      <c r="B799" s="299" t="n"/>
      <c r="C799" s="107">
        <f>IF(B799="", "", VLOOKUP(B799, 'CLIENT DATA'!A:S, 19, FALSE))</f>
        <v/>
      </c>
      <c r="D799" s="107">
        <f t="array" ref="D799">IF(B799="", "", _xlfn.TEXTJOIN(", ", TRUE, IF('CLIENT DATA'!$A$2:$A$205=B799, 'CLIENT DATA'!$C$2:$F$205, "")))</f>
        <v/>
      </c>
      <c r="E799" s="52" t="n"/>
      <c r="F799" s="52" t="n"/>
      <c r="G799" s="52" t="n"/>
      <c r="H799" s="52" t="n"/>
      <c r="I799" s="52" t="n"/>
      <c r="J799" s="59" t="n"/>
      <c r="K799" s="59" t="n"/>
      <c r="L799" s="59" t="n"/>
      <c r="M799" s="59" t="n"/>
      <c r="N799" s="59" t="n"/>
      <c r="O799" s="297" t="n"/>
      <c r="P799" s="297" t="n"/>
      <c r="Q799" s="297" t="n"/>
      <c r="R799" s="297" t="n"/>
      <c r="S799" s="297" t="n"/>
      <c r="T799" s="297" t="n"/>
      <c r="U799" s="297" t="n"/>
    </row>
    <row r="800">
      <c r="A800" s="174" t="n"/>
      <c r="B800" s="299" t="n"/>
      <c r="C800" s="107">
        <f>IF(B800="", "", VLOOKUP(B800, 'CLIENT DATA'!A:S, 19, FALSE))</f>
        <v/>
      </c>
      <c r="D800" s="107">
        <f t="array" ref="D800">IF(B800="", "", _xlfn.TEXTJOIN(", ", TRUE, IF('CLIENT DATA'!$A$2:$A$205=B800, 'CLIENT DATA'!$C$2:$F$205, "")))</f>
        <v/>
      </c>
      <c r="E800" s="52" t="n"/>
      <c r="F800" s="52" t="n"/>
      <c r="G800" s="52" t="n"/>
      <c r="H800" s="52" t="n"/>
      <c r="I800" s="52" t="n"/>
      <c r="J800" s="59" t="n"/>
      <c r="K800" s="59" t="n"/>
      <c r="L800" s="59" t="n"/>
      <c r="M800" s="59" t="n"/>
      <c r="N800" s="59" t="n"/>
      <c r="O800" s="297" t="n"/>
      <c r="P800" s="297" t="n"/>
      <c r="Q800" s="297" t="n"/>
      <c r="R800" s="297" t="n"/>
      <c r="S800" s="297" t="n"/>
      <c r="T800" s="297" t="n"/>
      <c r="U800" s="297" t="n"/>
    </row>
    <row r="801">
      <c r="A801" s="174" t="n"/>
      <c r="B801" s="299" t="n"/>
      <c r="C801" s="107">
        <f>IF(B801="", "", VLOOKUP(B801, 'CLIENT DATA'!A:S, 19, FALSE))</f>
        <v/>
      </c>
      <c r="D801" s="107">
        <f t="array" ref="D801">IF(B801="", "", _xlfn.TEXTJOIN(", ", TRUE, IF('CLIENT DATA'!$A$2:$A$205=B801, 'CLIENT DATA'!$C$2:$F$205, "")))</f>
        <v/>
      </c>
      <c r="E801" s="52" t="n"/>
      <c r="F801" s="52" t="n"/>
      <c r="G801" s="52" t="n"/>
      <c r="H801" s="52" t="n"/>
      <c r="I801" s="52" t="n"/>
      <c r="J801" s="59" t="n"/>
      <c r="K801" s="59" t="n"/>
      <c r="L801" s="59" t="n"/>
      <c r="M801" s="59" t="n"/>
      <c r="N801" s="59" t="n"/>
      <c r="O801" s="297" t="n"/>
      <c r="P801" s="297" t="n"/>
      <c r="Q801" s="297" t="n"/>
      <c r="R801" s="297" t="n"/>
      <c r="S801" s="297" t="n"/>
      <c r="T801" s="297" t="n"/>
      <c r="U801" s="297" t="n"/>
    </row>
    <row r="802">
      <c r="A802" s="174" t="n"/>
      <c r="B802" s="299" t="n"/>
      <c r="C802" s="107">
        <f>IF(B802="", "", VLOOKUP(B802, 'CLIENT DATA'!A:S, 19, FALSE))</f>
        <v/>
      </c>
      <c r="D802" s="107">
        <f t="array" ref="D802">IF(B802="", "", _xlfn.TEXTJOIN(", ", TRUE, IF('CLIENT DATA'!$A$2:$A$205=B802, 'CLIENT DATA'!$C$2:$F$205, "")))</f>
        <v/>
      </c>
      <c r="E802" s="52" t="n"/>
      <c r="F802" s="52" t="n"/>
      <c r="G802" s="52" t="n"/>
      <c r="H802" s="52" t="n"/>
      <c r="I802" s="52" t="n"/>
      <c r="J802" s="59" t="n"/>
      <c r="K802" s="59" t="n"/>
      <c r="L802" s="59" t="n"/>
      <c r="M802" s="59" t="n"/>
      <c r="N802" s="59" t="n"/>
      <c r="O802" s="297" t="n"/>
      <c r="P802" s="297" t="n"/>
      <c r="Q802" s="297" t="n"/>
      <c r="R802" s="297" t="n"/>
      <c r="S802" s="297" t="n"/>
      <c r="T802" s="297" t="n"/>
      <c r="U802" s="297" t="n"/>
    </row>
    <row r="803">
      <c r="A803" s="174" t="n"/>
      <c r="B803" s="299" t="n"/>
      <c r="C803" s="107">
        <f>IF(B803="", "", VLOOKUP(B803, 'CLIENT DATA'!A:S, 19, FALSE))</f>
        <v/>
      </c>
      <c r="D803" s="107">
        <f t="array" ref="D803">IF(B803="", "", _xlfn.TEXTJOIN(", ", TRUE, IF('CLIENT DATA'!$A$2:$A$205=B803, 'CLIENT DATA'!$C$2:$F$205, "")))</f>
        <v/>
      </c>
      <c r="E803" s="52" t="n"/>
      <c r="F803" s="52" t="n"/>
      <c r="G803" s="52" t="n"/>
      <c r="H803" s="52" t="n"/>
      <c r="I803" s="52" t="n"/>
      <c r="J803" s="59" t="n"/>
      <c r="K803" s="59" t="n"/>
      <c r="L803" s="59" t="n"/>
      <c r="M803" s="59" t="n"/>
      <c r="N803" s="59" t="n"/>
      <c r="O803" s="297" t="n"/>
      <c r="P803" s="297" t="n"/>
      <c r="Q803" s="297" t="n"/>
      <c r="R803" s="297" t="n"/>
      <c r="S803" s="297" t="n"/>
      <c r="T803" s="297" t="n"/>
      <c r="U803" s="297" t="n"/>
    </row>
    <row r="804">
      <c r="A804" s="174" t="n"/>
      <c r="B804" s="299" t="n"/>
      <c r="C804" s="107">
        <f>IF(B804="", "", VLOOKUP(B804, 'CLIENT DATA'!A:S, 19, FALSE))</f>
        <v/>
      </c>
      <c r="D804" s="107">
        <f t="array" ref="D804">IF(B804="", "", _xlfn.TEXTJOIN(", ", TRUE, IF('CLIENT DATA'!$A$2:$A$205=B804, 'CLIENT DATA'!$C$2:$F$205, "")))</f>
        <v/>
      </c>
      <c r="E804" s="52" t="n"/>
      <c r="F804" s="52" t="n"/>
      <c r="G804" s="52" t="n"/>
      <c r="H804" s="52" t="n"/>
      <c r="I804" s="52" t="n"/>
      <c r="J804" s="59" t="n"/>
      <c r="K804" s="59" t="n"/>
      <c r="L804" s="59" t="n"/>
      <c r="M804" s="59" t="n"/>
      <c r="N804" s="59" t="n"/>
      <c r="O804" s="297" t="n"/>
      <c r="P804" s="297" t="n"/>
      <c r="Q804" s="297" t="n"/>
      <c r="R804" s="297" t="n"/>
      <c r="S804" s="297" t="n"/>
      <c r="T804" s="297" t="n"/>
      <c r="U804" s="297" t="n"/>
    </row>
    <row r="805">
      <c r="A805" s="174" t="n"/>
      <c r="B805" s="187" t="n"/>
      <c r="C805" s="107">
        <f>IF(B805="", "", VLOOKUP(B805, 'CLIENT DATA'!A:S, 19, FALSE))</f>
        <v/>
      </c>
      <c r="D805" s="107">
        <f t="array" ref="D805">IF(B805="", "", _xlfn.TEXTJOIN(", ", TRUE, IF('CLIENT DATA'!$A$2:$A$205=B805, 'CLIENT DATA'!$C$2:$F$205, "")))</f>
        <v/>
      </c>
      <c r="E805" s="52" t="n"/>
      <c r="F805" s="52" t="n"/>
      <c r="G805" s="52" t="n"/>
      <c r="H805" s="52" t="n"/>
      <c r="I805" s="52" t="n"/>
      <c r="J805" s="59" t="n"/>
      <c r="K805" s="59" t="n"/>
      <c r="L805" s="59" t="n"/>
      <c r="M805" s="59" t="n"/>
      <c r="N805" s="59" t="n"/>
      <c r="O805" s="297" t="n"/>
      <c r="P805" s="297" t="n"/>
      <c r="Q805" s="297" t="n"/>
      <c r="R805" s="297" t="n"/>
      <c r="S805" s="297" t="n"/>
      <c r="T805" s="297" t="n"/>
      <c r="U805" s="297" t="n"/>
    </row>
    <row r="806">
      <c r="A806" s="174" t="n"/>
      <c r="B806" s="187" t="n"/>
      <c r="C806" s="107">
        <f>IF(B806="", "", VLOOKUP(B806, 'CLIENT DATA'!A:S, 19, FALSE))</f>
        <v/>
      </c>
      <c r="D806" s="107">
        <f t="array" ref="D806">IF(B806="", "", _xlfn.TEXTJOIN(", ", TRUE, IF('CLIENT DATA'!$A$2:$A$205=B806, 'CLIENT DATA'!$C$2:$F$205, "")))</f>
        <v/>
      </c>
      <c r="E806" s="52" t="n"/>
      <c r="F806" s="52" t="n"/>
      <c r="G806" s="52" t="n"/>
      <c r="H806" s="52" t="n"/>
      <c r="I806" s="52" t="n"/>
      <c r="J806" s="59" t="n"/>
      <c r="K806" s="59" t="n"/>
      <c r="L806" s="59" t="n"/>
      <c r="M806" s="59" t="n"/>
      <c r="N806" s="59" t="n"/>
      <c r="O806" s="297" t="n"/>
      <c r="P806" s="297" t="n"/>
      <c r="Q806" s="297" t="n"/>
      <c r="R806" s="297" t="n"/>
      <c r="S806" s="297" t="n"/>
      <c r="T806" s="297" t="n"/>
      <c r="U806" s="297" t="n"/>
    </row>
    <row r="807">
      <c r="A807" s="174" t="n"/>
      <c r="B807" s="187" t="n"/>
      <c r="C807" s="107">
        <f>IF(B807="", "", VLOOKUP(B807, 'CLIENT DATA'!A:S, 19, FALSE))</f>
        <v/>
      </c>
      <c r="D807" s="107">
        <f t="array" ref="D807">IF(B807="", "", _xlfn.TEXTJOIN(", ", TRUE, IF('CLIENT DATA'!$A$2:$A$205=B807, 'CLIENT DATA'!$C$2:$F$205, "")))</f>
        <v/>
      </c>
      <c r="E807" s="52" t="n"/>
      <c r="F807" s="52" t="n"/>
      <c r="G807" s="52" t="n"/>
      <c r="H807" s="52" t="n"/>
      <c r="I807" s="52" t="n"/>
      <c r="J807" s="59" t="n"/>
      <c r="K807" s="59" t="n"/>
      <c r="L807" s="59" t="n"/>
      <c r="M807" s="59" t="n"/>
      <c r="N807" s="59" t="n"/>
      <c r="O807" s="297" t="n"/>
      <c r="P807" s="297" t="n"/>
      <c r="Q807" s="297" t="n"/>
      <c r="R807" s="297" t="n"/>
      <c r="S807" s="297" t="n"/>
      <c r="T807" s="297" t="n"/>
      <c r="U807" s="297" t="n"/>
    </row>
    <row r="808">
      <c r="A808" s="174" t="n"/>
      <c r="B808" s="187" t="n"/>
      <c r="C808" s="107">
        <f>IF(B808="", "", VLOOKUP(B808, 'CLIENT DATA'!A:S, 19, FALSE))</f>
        <v/>
      </c>
      <c r="D808" s="107">
        <f t="array" ref="D808">IF(B808="", "", _xlfn.TEXTJOIN(", ", TRUE, IF('CLIENT DATA'!$A$2:$A$205=B808, 'CLIENT DATA'!$C$2:$F$205, "")))</f>
        <v/>
      </c>
      <c r="E808" s="52" t="n"/>
      <c r="F808" s="52" t="n"/>
      <c r="G808" s="52" t="n"/>
      <c r="H808" s="52" t="n"/>
      <c r="I808" s="52" t="n"/>
      <c r="J808" s="59" t="n"/>
      <c r="K808" s="59" t="n"/>
      <c r="L808" s="59" t="n"/>
      <c r="M808" s="59" t="n"/>
      <c r="N808" s="59" t="n"/>
      <c r="O808" s="297" t="n"/>
      <c r="P808" s="297" t="n"/>
      <c r="Q808" s="297" t="n"/>
      <c r="R808" s="297" t="n"/>
      <c r="S808" s="297" t="n"/>
      <c r="T808" s="297" t="n"/>
      <c r="U808" s="297" t="n"/>
    </row>
    <row r="809">
      <c r="A809" s="174" t="n"/>
      <c r="B809" s="187" t="n"/>
      <c r="C809" s="107">
        <f>IF(B809="", "", VLOOKUP(B809, 'CLIENT DATA'!A:S, 19, FALSE))</f>
        <v/>
      </c>
      <c r="D809" s="107">
        <f t="array" ref="D809">IF(B809="", "", _xlfn.TEXTJOIN(", ", TRUE, IF('CLIENT DATA'!$A$2:$A$205=B809, 'CLIENT DATA'!$C$2:$F$205, "")))</f>
        <v/>
      </c>
      <c r="E809" s="52" t="n"/>
      <c r="F809" s="52" t="n"/>
      <c r="G809" s="52" t="n"/>
      <c r="H809" s="52" t="n"/>
      <c r="I809" s="52" t="n"/>
      <c r="J809" s="59" t="n"/>
      <c r="K809" s="59" t="n"/>
      <c r="L809" s="59" t="n"/>
      <c r="M809" s="59" t="n"/>
      <c r="N809" s="59" t="n"/>
      <c r="O809" s="297" t="n"/>
      <c r="P809" s="297" t="n"/>
      <c r="Q809" s="297" t="n"/>
      <c r="R809" s="297" t="n"/>
      <c r="S809" s="297" t="n"/>
      <c r="T809" s="297" t="n"/>
      <c r="U809" s="297" t="n"/>
    </row>
    <row r="810">
      <c r="A810" s="174" t="n"/>
      <c r="B810" s="187" t="n"/>
      <c r="C810" s="107">
        <f>IF(B810="", "", VLOOKUP(B810, 'CLIENT DATA'!A:S, 19, FALSE))</f>
        <v/>
      </c>
      <c r="D810" s="107">
        <f t="array" ref="D810">IF(B810="", "", _xlfn.TEXTJOIN(", ", TRUE, IF('CLIENT DATA'!$A$2:$A$205=B810, 'CLIENT DATA'!$C$2:$F$205, "")))</f>
        <v/>
      </c>
      <c r="E810" s="52" t="n"/>
      <c r="F810" s="52" t="n"/>
      <c r="G810" s="52" t="n"/>
      <c r="H810" s="52" t="n"/>
      <c r="I810" s="52" t="n"/>
      <c r="J810" s="59" t="n"/>
      <c r="K810" s="59" t="n"/>
      <c r="L810" s="59" t="n"/>
      <c r="M810" s="59" t="n"/>
      <c r="N810" s="59" t="n"/>
      <c r="O810" s="297" t="n"/>
      <c r="P810" s="297" t="n"/>
      <c r="Q810" s="297" t="n"/>
      <c r="R810" s="297" t="n"/>
      <c r="S810" s="297" t="n"/>
      <c r="T810" s="297" t="n"/>
      <c r="U810" s="297" t="n"/>
    </row>
    <row r="811">
      <c r="A811" s="174" t="n"/>
      <c r="B811" s="187" t="n"/>
      <c r="C811" s="107">
        <f>IF(B811="", "", VLOOKUP(B811, 'CLIENT DATA'!A:S, 19, FALSE))</f>
        <v/>
      </c>
      <c r="D811" s="107">
        <f t="array" ref="D811">IF(B811="", "", _xlfn.TEXTJOIN(", ", TRUE, IF('CLIENT DATA'!$A$2:$A$205=B811, 'CLIENT DATA'!$C$2:$F$205, "")))</f>
        <v/>
      </c>
      <c r="E811" s="52" t="n"/>
      <c r="F811" s="52" t="n"/>
      <c r="G811" s="52" t="n"/>
      <c r="H811" s="52" t="n"/>
      <c r="I811" s="52" t="n"/>
      <c r="J811" s="59" t="n"/>
      <c r="K811" s="59" t="n"/>
      <c r="L811" s="59" t="n"/>
      <c r="M811" s="59" t="n"/>
      <c r="N811" s="59" t="n"/>
      <c r="O811" s="297" t="n"/>
      <c r="P811" s="297" t="n"/>
      <c r="Q811" s="297" t="n"/>
      <c r="R811" s="297" t="n"/>
      <c r="S811" s="297" t="n"/>
      <c r="T811" s="297" t="n"/>
      <c r="U811" s="297" t="n"/>
    </row>
    <row r="812">
      <c r="A812" s="174" t="n"/>
      <c r="B812" s="187" t="n"/>
      <c r="C812" s="107">
        <f>IF(B812="", "", VLOOKUP(B812, 'CLIENT DATA'!A:S, 19, FALSE))</f>
        <v/>
      </c>
      <c r="D812" s="107">
        <f t="array" ref="D812">IF(B812="", "", _xlfn.TEXTJOIN(", ", TRUE, IF('CLIENT DATA'!$A$2:$A$205=B812, 'CLIENT DATA'!$C$2:$F$205, "")))</f>
        <v/>
      </c>
      <c r="E812" s="52" t="n"/>
      <c r="F812" s="52" t="n"/>
      <c r="G812" s="52" t="n"/>
      <c r="H812" s="52" t="n"/>
      <c r="I812" s="52" t="n"/>
      <c r="J812" s="59" t="n"/>
      <c r="K812" s="59" t="n"/>
      <c r="L812" s="59" t="n"/>
      <c r="M812" s="59" t="n"/>
      <c r="N812" s="59" t="n"/>
      <c r="O812" s="297" t="n"/>
      <c r="P812" s="297" t="n"/>
      <c r="Q812" s="297" t="n"/>
      <c r="R812" s="297" t="n"/>
      <c r="S812" s="297" t="n"/>
      <c r="T812" s="297" t="n"/>
      <c r="U812" s="297" t="n"/>
    </row>
    <row r="813">
      <c r="A813" s="174" t="n"/>
      <c r="B813" s="299" t="n"/>
      <c r="C813" s="107">
        <f>IF(B813="", "", VLOOKUP(B813, 'CLIENT DATA'!A:S, 19, FALSE))</f>
        <v/>
      </c>
      <c r="D813" s="107">
        <f t="array" ref="D813">IF(B813="", "", _xlfn.TEXTJOIN(", ", TRUE, IF('CLIENT DATA'!$A$2:$A$205=B813, 'CLIENT DATA'!$C$2:$F$205, "")))</f>
        <v/>
      </c>
      <c r="E813" s="52" t="n"/>
      <c r="F813" s="52" t="n"/>
      <c r="G813" s="52" t="n"/>
      <c r="H813" s="52" t="n"/>
      <c r="I813" s="52" t="n"/>
      <c r="J813" s="59" t="n"/>
      <c r="K813" s="59" t="n"/>
      <c r="L813" s="59" t="n"/>
      <c r="M813" s="59" t="n"/>
      <c r="N813" s="59" t="n"/>
      <c r="O813" s="297" t="n"/>
      <c r="P813" s="297" t="n"/>
      <c r="Q813" s="297" t="n"/>
      <c r="R813" s="297" t="n"/>
      <c r="S813" s="297" t="n"/>
      <c r="T813" s="297" t="n"/>
      <c r="U813" s="297" t="n"/>
    </row>
    <row r="814">
      <c r="A814" s="174" t="n"/>
      <c r="B814" s="299" t="n"/>
      <c r="C814" s="107">
        <f>IF(B814="", "", VLOOKUP(B814, 'CLIENT DATA'!A:S, 19, FALSE))</f>
        <v/>
      </c>
      <c r="D814" s="107">
        <f t="array" ref="D814">IF(B814="", "", _xlfn.TEXTJOIN(", ", TRUE, IF('CLIENT DATA'!$A$2:$A$205=B814, 'CLIENT DATA'!$C$2:$F$205, "")))</f>
        <v/>
      </c>
      <c r="E814" s="52" t="n"/>
      <c r="F814" s="52" t="n"/>
      <c r="G814" s="52" t="n"/>
      <c r="H814" s="52" t="n"/>
      <c r="I814" s="52" t="n"/>
      <c r="J814" s="59" t="n"/>
      <c r="K814" s="59" t="n"/>
      <c r="L814" s="59" t="n"/>
      <c r="M814" s="59" t="n"/>
      <c r="N814" s="59" t="n"/>
      <c r="O814" s="297" t="n"/>
      <c r="P814" s="297" t="n"/>
      <c r="Q814" s="297" t="n"/>
      <c r="R814" s="297" t="n"/>
      <c r="S814" s="297" t="n"/>
      <c r="T814" s="297" t="n"/>
      <c r="U814" s="297" t="n"/>
    </row>
    <row r="815">
      <c r="A815" s="174" t="n"/>
      <c r="B815" s="299" t="n"/>
      <c r="C815" s="107">
        <f>IF(B815="", "", VLOOKUP(B815, 'CLIENT DATA'!A:S, 19, FALSE))</f>
        <v/>
      </c>
      <c r="D815" s="107">
        <f t="array" ref="D815">IF(B815="", "", _xlfn.TEXTJOIN(", ", TRUE, IF('CLIENT DATA'!$A$2:$A$205=B815, 'CLIENT DATA'!$C$2:$F$205, "")))</f>
        <v/>
      </c>
      <c r="E815" s="52" t="n"/>
      <c r="F815" s="52" t="n"/>
      <c r="G815" s="52" t="n"/>
      <c r="H815" s="52" t="n"/>
      <c r="I815" s="52" t="n"/>
      <c r="J815" s="59" t="n"/>
      <c r="K815" s="59" t="n"/>
      <c r="L815" s="59" t="n"/>
      <c r="M815" s="59" t="n"/>
      <c r="N815" s="59" t="n"/>
      <c r="O815" s="297" t="n"/>
      <c r="P815" s="297" t="n"/>
      <c r="Q815" s="297" t="n"/>
      <c r="R815" s="297" t="n"/>
      <c r="S815" s="297" t="n"/>
      <c r="T815" s="297" t="n"/>
      <c r="U815" s="297" t="n"/>
    </row>
    <row r="816">
      <c r="A816" s="174" t="n"/>
      <c r="B816" s="299" t="n"/>
      <c r="C816" s="107">
        <f>IF(B816="", "", VLOOKUP(B816, 'CLIENT DATA'!A:S, 19, FALSE))</f>
        <v/>
      </c>
      <c r="D816" s="107">
        <f t="array" ref="D816">IF(B816="", "", _xlfn.TEXTJOIN(", ", TRUE, IF('CLIENT DATA'!$A$2:$A$205=B816, 'CLIENT DATA'!$C$2:$F$205, "")))</f>
        <v/>
      </c>
      <c r="E816" s="52" t="n"/>
      <c r="F816" s="52" t="n"/>
      <c r="G816" s="52" t="n"/>
      <c r="H816" s="52" t="n"/>
      <c r="I816" s="52" t="n"/>
      <c r="J816" s="59" t="n"/>
      <c r="K816" s="59" t="n"/>
      <c r="L816" s="59" t="n"/>
      <c r="M816" s="59" t="n"/>
      <c r="N816" s="59" t="n"/>
      <c r="O816" s="297" t="n"/>
      <c r="P816" s="297" t="n"/>
      <c r="Q816" s="297" t="n"/>
      <c r="R816" s="297" t="n"/>
      <c r="S816" s="297" t="n"/>
      <c r="T816" s="297" t="n"/>
      <c r="U816" s="297" t="n"/>
    </row>
    <row r="817">
      <c r="A817" s="174" t="n"/>
      <c r="B817" s="299" t="n"/>
      <c r="C817" s="107">
        <f>IF(B817="", "", VLOOKUP(B817, 'CLIENT DATA'!A:S, 19, FALSE))</f>
        <v/>
      </c>
      <c r="D817" s="107">
        <f t="array" ref="D817">IF(B817="", "", _xlfn.TEXTJOIN(", ", TRUE, IF('CLIENT DATA'!$A$2:$A$205=B817, 'CLIENT DATA'!$C$2:$F$205, "")))</f>
        <v/>
      </c>
      <c r="E817" s="52" t="n"/>
      <c r="F817" s="52" t="n"/>
      <c r="G817" s="52" t="n"/>
      <c r="H817" s="52" t="n"/>
      <c r="I817" s="52" t="n"/>
      <c r="J817" s="59" t="n"/>
      <c r="K817" s="59" t="n"/>
      <c r="L817" s="59" t="n"/>
      <c r="M817" s="59" t="n"/>
      <c r="N817" s="59" t="n"/>
      <c r="O817" s="297" t="n"/>
      <c r="P817" s="297" t="n"/>
      <c r="Q817" s="297" t="n"/>
      <c r="R817" s="297" t="n"/>
      <c r="S817" s="297" t="n"/>
      <c r="T817" s="297" t="n"/>
      <c r="U817" s="297" t="n"/>
    </row>
    <row r="818">
      <c r="A818" s="174" t="n"/>
      <c r="B818" s="299" t="n"/>
      <c r="C818" s="107">
        <f>IF(B818="", "", VLOOKUP(B818, 'CLIENT DATA'!A:S, 19, FALSE))</f>
        <v/>
      </c>
      <c r="D818" s="107">
        <f t="array" ref="D818">IF(B818="", "", _xlfn.TEXTJOIN(", ", TRUE, IF('CLIENT DATA'!$A$2:$A$205=B818, 'CLIENT DATA'!$C$2:$F$205, "")))</f>
        <v/>
      </c>
      <c r="E818" s="52" t="n"/>
      <c r="F818" s="52" t="n"/>
      <c r="G818" s="52" t="n"/>
      <c r="H818" s="52" t="n"/>
      <c r="I818" s="52" t="n"/>
      <c r="J818" s="59" t="n"/>
      <c r="K818" s="59" t="n"/>
      <c r="L818" s="59" t="n"/>
      <c r="M818" s="59" t="n"/>
      <c r="N818" s="59" t="n"/>
      <c r="O818" s="297" t="n"/>
      <c r="P818" s="297" t="n"/>
      <c r="Q818" s="297" t="n"/>
      <c r="R818" s="297" t="n"/>
      <c r="S818" s="297" t="n"/>
      <c r="T818" s="297" t="n"/>
      <c r="U818" s="297" t="n"/>
    </row>
    <row r="819">
      <c r="A819" s="174" t="n"/>
      <c r="B819" s="299" t="n"/>
      <c r="C819" s="107">
        <f>IF(B819="", "", VLOOKUP(B819, 'CLIENT DATA'!A:S, 19, FALSE))</f>
        <v/>
      </c>
      <c r="D819" s="107">
        <f t="array" ref="D819">IF(B819="", "", _xlfn.TEXTJOIN(", ", TRUE, IF('CLIENT DATA'!$A$2:$A$205=B819, 'CLIENT DATA'!$C$2:$F$205, "")))</f>
        <v/>
      </c>
      <c r="E819" s="52" t="n"/>
      <c r="F819" s="52" t="n"/>
      <c r="G819" s="52" t="n"/>
      <c r="H819" s="52" t="n"/>
      <c r="I819" s="52" t="n"/>
      <c r="J819" s="59" t="n"/>
      <c r="K819" s="59" t="n"/>
      <c r="L819" s="59" t="n"/>
      <c r="M819" s="59" t="n"/>
      <c r="N819" s="59" t="n"/>
      <c r="O819" s="297" t="n"/>
      <c r="P819" s="297" t="n"/>
      <c r="Q819" s="297" t="n"/>
      <c r="R819" s="297" t="n"/>
      <c r="S819" s="297" t="n"/>
      <c r="T819" s="297" t="n"/>
      <c r="U819" s="297" t="n"/>
    </row>
    <row r="820">
      <c r="A820" s="174" t="n"/>
      <c r="B820" s="299" t="n"/>
      <c r="C820" s="107">
        <f>IF(B820="", "", VLOOKUP(B820, 'CLIENT DATA'!A:S, 19, FALSE))</f>
        <v/>
      </c>
      <c r="D820" s="107">
        <f t="array" ref="D820">IF(B820="", "", _xlfn.TEXTJOIN(", ", TRUE, IF('CLIENT DATA'!$A$2:$A$205=B820, 'CLIENT DATA'!$C$2:$F$205, "")))</f>
        <v/>
      </c>
      <c r="E820" s="52" t="n"/>
      <c r="F820" s="52" t="n"/>
      <c r="G820" s="52" t="n"/>
      <c r="H820" s="52" t="n"/>
      <c r="I820" s="52" t="n"/>
      <c r="J820" s="59" t="n"/>
      <c r="K820" s="59" t="n"/>
      <c r="L820" s="59" t="n"/>
      <c r="M820" s="59" t="n"/>
      <c r="N820" s="59" t="n"/>
      <c r="O820" s="297" t="n"/>
      <c r="P820" s="297" t="n"/>
      <c r="Q820" s="297" t="n"/>
      <c r="R820" s="297" t="n"/>
      <c r="S820" s="297" t="n"/>
      <c r="T820" s="297" t="n"/>
      <c r="U820" s="297" t="n"/>
    </row>
    <row r="821">
      <c r="A821" s="174" t="n"/>
      <c r="B821" s="299" t="n"/>
      <c r="C821" s="107">
        <f>IF(B821="", "", VLOOKUP(B821, 'CLIENT DATA'!A:S, 19, FALSE))</f>
        <v/>
      </c>
      <c r="D821" s="107">
        <f t="array" ref="D821">IF(B821="", "", _xlfn.TEXTJOIN(", ", TRUE, IF('CLIENT DATA'!$A$2:$A$205=B821, 'CLIENT DATA'!$C$2:$F$205, "")))</f>
        <v/>
      </c>
      <c r="E821" s="52" t="n"/>
      <c r="F821" s="52" t="n"/>
      <c r="G821" s="52" t="n"/>
      <c r="H821" s="52" t="n"/>
      <c r="I821" s="52" t="n"/>
      <c r="J821" s="59" t="n"/>
      <c r="K821" s="59" t="n"/>
      <c r="L821" s="59" t="n"/>
      <c r="M821" s="59" t="n"/>
      <c r="N821" s="59" t="n"/>
      <c r="O821" s="297" t="n"/>
      <c r="P821" s="297" t="n"/>
      <c r="Q821" s="297" t="n"/>
      <c r="R821" s="297" t="n"/>
      <c r="S821" s="297" t="n"/>
      <c r="T821" s="297" t="n"/>
      <c r="U821" s="297" t="n"/>
    </row>
    <row r="822">
      <c r="A822" s="174" t="n"/>
      <c r="B822" s="299" t="n"/>
      <c r="C822" s="107">
        <f>IF(B822="", "", VLOOKUP(B822, 'CLIENT DATA'!A:S, 19, FALSE))</f>
        <v/>
      </c>
      <c r="D822" s="107">
        <f t="array" ref="D822">IF(B822="", "", _xlfn.TEXTJOIN(", ", TRUE, IF('CLIENT DATA'!$A$2:$A$205=B822, 'CLIENT DATA'!$C$2:$F$205, "")))</f>
        <v/>
      </c>
      <c r="E822" s="52" t="n"/>
      <c r="F822" s="52" t="n"/>
      <c r="G822" s="52" t="n"/>
      <c r="H822" s="52" t="n"/>
      <c r="I822" s="52" t="n"/>
      <c r="J822" s="59" t="n"/>
      <c r="K822" s="59" t="n"/>
      <c r="L822" s="59" t="n"/>
      <c r="M822" s="59" t="n"/>
      <c r="N822" s="59" t="n"/>
      <c r="O822" s="297" t="n"/>
      <c r="P822" s="297" t="n"/>
      <c r="Q822" s="297" t="n"/>
      <c r="R822" s="297" t="n"/>
      <c r="S822" s="297" t="n"/>
      <c r="T822" s="297" t="n"/>
      <c r="U822" s="297" t="n"/>
    </row>
    <row r="823">
      <c r="A823" s="174" t="n"/>
      <c r="B823" s="299" t="n"/>
      <c r="C823" s="107">
        <f>IF(B823="", "", VLOOKUP(B823, 'CLIENT DATA'!A:S, 19, FALSE))</f>
        <v/>
      </c>
      <c r="D823" s="107">
        <f t="array" ref="D823">IF(B823="", "", _xlfn.TEXTJOIN(", ", TRUE, IF('CLIENT DATA'!$A$2:$A$205=B823, 'CLIENT DATA'!$C$2:$F$205, "")))</f>
        <v/>
      </c>
      <c r="E823" s="52" t="n"/>
      <c r="F823" s="52" t="n"/>
      <c r="G823" s="52" t="n"/>
      <c r="H823" s="52" t="n"/>
      <c r="I823" s="52" t="n"/>
      <c r="J823" s="59" t="n"/>
      <c r="K823" s="59" t="n"/>
      <c r="L823" s="59" t="n"/>
      <c r="M823" s="59" t="n"/>
      <c r="N823" s="59" t="n"/>
      <c r="O823" s="297" t="n"/>
      <c r="P823" s="297" t="n"/>
      <c r="Q823" s="297" t="n"/>
      <c r="R823" s="297" t="n"/>
      <c r="S823" s="297" t="n"/>
      <c r="T823" s="297" t="n"/>
      <c r="U823" s="297" t="n"/>
    </row>
    <row r="824">
      <c r="A824" s="174" t="n"/>
      <c r="B824" s="299" t="n"/>
      <c r="C824" s="107">
        <f>IF(B824="", "", VLOOKUP(B824, 'CLIENT DATA'!A:S, 19, FALSE))</f>
        <v/>
      </c>
      <c r="D824" s="107">
        <f t="array" ref="D824">IF(B824="", "", _xlfn.TEXTJOIN(", ", TRUE, IF('CLIENT DATA'!$A$2:$A$205=B824, 'CLIENT DATA'!$C$2:$F$205, "")))</f>
        <v/>
      </c>
      <c r="E824" s="52" t="n"/>
      <c r="F824" s="52" t="n"/>
      <c r="G824" s="52" t="n"/>
      <c r="H824" s="52" t="n"/>
      <c r="I824" s="52" t="n"/>
      <c r="J824" s="59" t="n"/>
      <c r="K824" s="59" t="n"/>
      <c r="L824" s="59" t="n"/>
      <c r="M824" s="59" t="n"/>
      <c r="N824" s="59" t="n"/>
      <c r="O824" s="297" t="n"/>
      <c r="P824" s="297" t="n"/>
      <c r="Q824" s="297" t="n"/>
      <c r="R824" s="297" t="n"/>
      <c r="S824" s="297" t="n"/>
      <c r="T824" s="297" t="n"/>
      <c r="U824" s="297" t="n"/>
    </row>
    <row r="825">
      <c r="A825" s="174" t="n"/>
      <c r="B825" s="300" t="n"/>
      <c r="C825" s="182">
        <f>IF(B825="", "", VLOOKUP(B825, 'CLIENT DATA'!A:S, 19, FALSE))</f>
        <v/>
      </c>
      <c r="D825" s="182">
        <f t="array" ref="D825">IF(B825="", "", _xlfn.TEXTJOIN(", ", TRUE, IF('CLIENT DATA'!$A$2:$A$205=B825, 'CLIENT DATA'!$C$2:$F$205, "")))</f>
        <v/>
      </c>
      <c r="E825" s="183" t="n"/>
      <c r="F825" s="183" t="n"/>
      <c r="G825" s="183" t="n"/>
      <c r="H825" s="183" t="n"/>
      <c r="I825" s="183" t="n"/>
      <c r="J825" s="184" t="n"/>
      <c r="K825" s="184" t="n"/>
      <c r="L825" s="184" t="n"/>
      <c r="M825" s="184" t="n"/>
      <c r="N825" s="184" t="n"/>
      <c r="O825" s="301" t="n"/>
      <c r="P825" s="301" t="n"/>
      <c r="Q825" s="301" t="n"/>
      <c r="R825" s="301" t="n"/>
      <c r="S825" s="301" t="n"/>
      <c r="T825" s="301" t="n"/>
      <c r="U825" s="301" t="n"/>
    </row>
    <row r="826">
      <c r="A826" s="174" t="n"/>
      <c r="B826" s="187" t="n"/>
      <c r="C826" s="107">
        <f>IF(B826="", "", VLOOKUP(B826, 'CLIENT DATA'!A:S, 19, FALSE))</f>
        <v/>
      </c>
      <c r="D826" s="107">
        <f t="array" ref="D826">IF(B826="", "", _xlfn.TEXTJOIN(", ", TRUE, IF('CLIENT DATA'!$A$2:$A$205=B826, 'CLIENT DATA'!$C$2:$F$205, "")))</f>
        <v/>
      </c>
      <c r="E826" s="52" t="n"/>
      <c r="F826" s="52" t="n"/>
      <c r="G826" s="52" t="n"/>
      <c r="H826" s="52" t="n"/>
      <c r="I826" s="52" t="n"/>
      <c r="J826" s="59" t="n"/>
      <c r="K826" s="59" t="n"/>
      <c r="L826" s="59" t="n"/>
      <c r="M826" s="59" t="n"/>
      <c r="N826" s="59" t="n"/>
      <c r="O826" s="297" t="n"/>
      <c r="P826" s="297" t="n"/>
      <c r="Q826" s="297" t="n"/>
      <c r="R826" s="297" t="n"/>
      <c r="S826" s="297" t="n"/>
      <c r="T826" s="297" t="n"/>
      <c r="U826" s="297" t="n"/>
    </row>
    <row r="827">
      <c r="A827" s="174" t="n"/>
      <c r="B827" s="187" t="n"/>
      <c r="C827" s="107">
        <f>IF(B827="", "", VLOOKUP(B827, 'CLIENT DATA'!A:S, 19, FALSE))</f>
        <v/>
      </c>
      <c r="D827" s="107">
        <f t="array" ref="D827">IF(B827="", "", _xlfn.TEXTJOIN(", ", TRUE, IF('CLIENT DATA'!$A$2:$A$205=B827, 'CLIENT DATA'!$C$2:$F$205, "")))</f>
        <v/>
      </c>
      <c r="E827" s="52" t="n"/>
      <c r="F827" s="52" t="n"/>
      <c r="G827" s="52" t="n"/>
      <c r="H827" s="52" t="n"/>
      <c r="I827" s="52" t="n"/>
      <c r="J827" s="59" t="n"/>
      <c r="K827" s="59" t="n"/>
      <c r="L827" s="59" t="n"/>
      <c r="M827" s="59" t="n"/>
      <c r="N827" s="59" t="n"/>
      <c r="O827" s="297" t="n"/>
      <c r="P827" s="297" t="n"/>
      <c r="Q827" s="297" t="n"/>
      <c r="R827" s="297" t="n"/>
      <c r="S827" s="297" t="n"/>
      <c r="T827" s="297" t="n"/>
      <c r="U827" s="297" t="n"/>
    </row>
    <row r="828">
      <c r="A828" s="174" t="n"/>
      <c r="B828" s="187" t="n"/>
      <c r="C828" s="107">
        <f>IF(B828="", "", VLOOKUP(B828, 'CLIENT DATA'!A:S, 19, FALSE))</f>
        <v/>
      </c>
      <c r="D828" s="107">
        <f t="array" ref="D828">IF(B828="", "", _xlfn.TEXTJOIN(", ", TRUE, IF('CLIENT DATA'!$A$2:$A$205=B828, 'CLIENT DATA'!$C$2:$F$205, "")))</f>
        <v/>
      </c>
      <c r="E828" s="52" t="n"/>
      <c r="F828" s="52" t="n"/>
      <c r="G828" s="52" t="n"/>
      <c r="H828" s="52" t="n"/>
      <c r="I828" s="52" t="n"/>
      <c r="J828" s="59" t="n"/>
      <c r="K828" s="59" t="n"/>
      <c r="L828" s="59" t="n"/>
      <c r="M828" s="59" t="n"/>
      <c r="N828" s="59" t="n"/>
      <c r="O828" s="297" t="n"/>
      <c r="P828" s="297" t="n"/>
      <c r="Q828" s="297" t="n"/>
      <c r="R828" s="297" t="n"/>
      <c r="S828" s="297" t="n"/>
      <c r="T828" s="297" t="n"/>
      <c r="U828" s="297" t="n"/>
    </row>
    <row r="829">
      <c r="A829" s="174" t="n"/>
      <c r="B829" s="187" t="n"/>
      <c r="C829" s="107">
        <f>IF(B829="", "", VLOOKUP(B829, 'CLIENT DATA'!A:S, 19, FALSE))</f>
        <v/>
      </c>
      <c r="D829" s="107">
        <f t="array" ref="D829">IF(B829="", "", _xlfn.TEXTJOIN(", ", TRUE, IF('CLIENT DATA'!$A$2:$A$205=B829, 'CLIENT DATA'!$C$2:$F$205, "")))</f>
        <v/>
      </c>
      <c r="E829" s="52" t="n"/>
      <c r="F829" s="52" t="n"/>
      <c r="G829" s="52" t="n"/>
      <c r="H829" s="52" t="n"/>
      <c r="I829" s="52" t="n"/>
      <c r="J829" s="59" t="n"/>
      <c r="K829" s="59" t="n"/>
      <c r="L829" s="59" t="n"/>
      <c r="M829" s="59" t="n"/>
      <c r="N829" s="59" t="n"/>
      <c r="O829" s="297" t="n"/>
      <c r="P829" s="297" t="n"/>
      <c r="Q829" s="297" t="n"/>
      <c r="R829" s="297" t="n"/>
      <c r="S829" s="297" t="n"/>
      <c r="T829" s="297" t="n"/>
      <c r="U829" s="297" t="n"/>
    </row>
    <row r="830">
      <c r="A830" s="174" t="n"/>
      <c r="B830" s="187" t="n"/>
      <c r="C830" s="107">
        <f>IF(B830="", "", VLOOKUP(B830, 'CLIENT DATA'!A:S, 19, FALSE))</f>
        <v/>
      </c>
      <c r="D830" s="107">
        <f t="array" ref="D830">IF(B830="", "", _xlfn.TEXTJOIN(", ", TRUE, IF('CLIENT DATA'!$A$2:$A$205=B830, 'CLIENT DATA'!$C$2:$F$205, "")))</f>
        <v/>
      </c>
      <c r="E830" s="52" t="n"/>
      <c r="F830" s="52" t="n"/>
      <c r="G830" s="52" t="n"/>
      <c r="H830" s="52" t="n"/>
      <c r="I830" s="52" t="n"/>
      <c r="J830" s="59" t="n"/>
      <c r="K830" s="59" t="n"/>
      <c r="L830" s="59" t="n"/>
      <c r="M830" s="59" t="n"/>
      <c r="N830" s="59" t="n"/>
      <c r="O830" s="297" t="n"/>
      <c r="P830" s="297" t="n"/>
      <c r="Q830" s="297" t="n"/>
      <c r="R830" s="297" t="n"/>
      <c r="S830" s="297" t="n"/>
      <c r="T830" s="297" t="n"/>
      <c r="U830" s="297" t="n"/>
    </row>
    <row r="831">
      <c r="A831" s="174" t="n"/>
      <c r="B831" s="187" t="n"/>
      <c r="C831" s="107">
        <f>IF(B831="", "", VLOOKUP(B831, 'CLIENT DATA'!A:S, 19, FALSE))</f>
        <v/>
      </c>
      <c r="D831" s="107">
        <f t="array" ref="D831">IF(B831="", "", _xlfn.TEXTJOIN(", ", TRUE, IF('CLIENT DATA'!$A$2:$A$205=B831, 'CLIENT DATA'!$C$2:$F$205, "")))</f>
        <v/>
      </c>
      <c r="E831" s="52" t="n"/>
      <c r="F831" s="52" t="n"/>
      <c r="G831" s="52" t="n"/>
      <c r="H831" s="52" t="n"/>
      <c r="I831" s="52" t="n"/>
      <c r="J831" s="59" t="n"/>
      <c r="K831" s="59" t="n"/>
      <c r="L831" s="59" t="n"/>
      <c r="M831" s="59" t="n"/>
      <c r="N831" s="59" t="n"/>
      <c r="O831" s="297" t="n"/>
      <c r="P831" s="297" t="n"/>
      <c r="Q831" s="297" t="n"/>
      <c r="R831" s="297" t="n"/>
      <c r="S831" s="297" t="n"/>
      <c r="T831" s="297" t="n"/>
      <c r="U831" s="297" t="n"/>
    </row>
    <row r="832">
      <c r="A832" s="174" t="n"/>
      <c r="B832" s="187" t="n"/>
      <c r="C832" s="107">
        <f>IF(B832="", "", VLOOKUP(B832, 'CLIENT DATA'!A:S, 19, FALSE))</f>
        <v/>
      </c>
      <c r="D832" s="107">
        <f t="array" ref="D832">IF(B832="", "", _xlfn.TEXTJOIN(", ", TRUE, IF('CLIENT DATA'!$A$2:$A$205=B832, 'CLIENT DATA'!$C$2:$F$205, "")))</f>
        <v/>
      </c>
      <c r="E832" s="52" t="n"/>
      <c r="F832" s="52" t="n"/>
      <c r="G832" s="52" t="n"/>
      <c r="H832" s="52" t="n"/>
      <c r="I832" s="52" t="n"/>
      <c r="J832" s="59" t="n"/>
      <c r="K832" s="59" t="n"/>
      <c r="L832" s="59" t="n"/>
      <c r="M832" s="59" t="n"/>
      <c r="N832" s="59" t="n"/>
      <c r="O832" s="297" t="n"/>
      <c r="P832" s="297" t="n"/>
      <c r="Q832" s="297" t="n"/>
      <c r="R832" s="297" t="n"/>
      <c r="S832" s="297" t="n"/>
      <c r="T832" s="297" t="n"/>
      <c r="U832" s="297" t="n"/>
    </row>
    <row r="833">
      <c r="A833" s="174" t="n"/>
      <c r="B833" s="187" t="n"/>
      <c r="C833" s="107">
        <f>IF(B833="", "", VLOOKUP(B833, 'CLIENT DATA'!A:S, 19, FALSE))</f>
        <v/>
      </c>
      <c r="D833" s="107">
        <f t="array" ref="D833">IF(B833="", "", _xlfn.TEXTJOIN(", ", TRUE, IF('CLIENT DATA'!$A$2:$A$205=B833, 'CLIENT DATA'!$C$2:$F$205, "")))</f>
        <v/>
      </c>
      <c r="E833" s="52" t="n"/>
      <c r="F833" s="52" t="n"/>
      <c r="G833" s="52" t="n"/>
      <c r="H833" s="52" t="n"/>
      <c r="I833" s="52" t="n"/>
      <c r="J833" s="59" t="n"/>
      <c r="K833" s="59" t="n"/>
      <c r="L833" s="59" t="n"/>
      <c r="M833" s="59" t="n"/>
      <c r="N833" s="59" t="n"/>
      <c r="O833" s="297" t="n"/>
      <c r="P833" s="297" t="n"/>
      <c r="Q833" s="297" t="n"/>
      <c r="R833" s="297" t="n"/>
      <c r="S833" s="297" t="n"/>
      <c r="T833" s="297" t="n"/>
      <c r="U833" s="297" t="n"/>
    </row>
    <row r="834">
      <c r="A834" s="174" t="n"/>
      <c r="B834" s="299" t="n"/>
      <c r="C834" s="107">
        <f>IF(B834="", "", VLOOKUP(B834, 'CLIENT DATA'!A:S, 19, FALSE))</f>
        <v/>
      </c>
      <c r="D834" s="107">
        <f t="array" ref="D834">IF(B834="", "", _xlfn.TEXTJOIN(", ", TRUE, IF('CLIENT DATA'!$A$2:$A$205=B834, 'CLIENT DATA'!$C$2:$F$205, "")))</f>
        <v/>
      </c>
      <c r="E834" s="52" t="n"/>
      <c r="F834" s="52" t="n"/>
      <c r="G834" s="52" t="n"/>
      <c r="H834" s="52" t="n"/>
      <c r="I834" s="52" t="n"/>
      <c r="J834" s="59" t="n"/>
      <c r="K834" s="59" t="n"/>
      <c r="L834" s="59" t="n"/>
      <c r="M834" s="59" t="n"/>
      <c r="N834" s="59" t="n"/>
      <c r="O834" s="297" t="n"/>
      <c r="P834" s="297" t="n"/>
      <c r="Q834" s="297" t="n"/>
      <c r="R834" s="297" t="n"/>
      <c r="S834" s="297" t="n"/>
      <c r="T834" s="297" t="n"/>
      <c r="U834" s="297" t="n"/>
    </row>
    <row r="835">
      <c r="A835" s="174" t="n"/>
      <c r="B835" s="299" t="n"/>
      <c r="C835" s="107">
        <f>IF(B835="", "", VLOOKUP(B835, 'CLIENT DATA'!A:S, 19, FALSE))</f>
        <v/>
      </c>
      <c r="D835" s="107">
        <f t="array" ref="D835">IF(B835="", "", _xlfn.TEXTJOIN(", ", TRUE, IF('CLIENT DATA'!$A$2:$A$205=B835, 'CLIENT DATA'!$C$2:$F$205, "")))</f>
        <v/>
      </c>
      <c r="E835" s="52" t="n"/>
      <c r="F835" s="52" t="n"/>
      <c r="G835" s="52" t="n"/>
      <c r="H835" s="52" t="n"/>
      <c r="I835" s="52" t="n"/>
      <c r="J835" s="59" t="n"/>
      <c r="K835" s="59" t="n"/>
      <c r="L835" s="59" t="n"/>
      <c r="M835" s="59" t="n"/>
      <c r="N835" s="59" t="n"/>
      <c r="O835" s="297" t="n"/>
      <c r="P835" s="297" t="n"/>
      <c r="Q835" s="297" t="n"/>
      <c r="R835" s="297" t="n"/>
      <c r="S835" s="297" t="n"/>
      <c r="T835" s="297" t="n"/>
      <c r="U835" s="297" t="n"/>
    </row>
    <row r="836">
      <c r="A836" s="174" t="n"/>
      <c r="B836" s="299" t="n"/>
      <c r="C836" s="107">
        <f>IF(B836="", "", VLOOKUP(B836, 'CLIENT DATA'!A:S, 19, FALSE))</f>
        <v/>
      </c>
      <c r="D836" s="107">
        <f t="array" ref="D836">IF(B836="", "", _xlfn.TEXTJOIN(", ", TRUE, IF('CLIENT DATA'!$A$2:$A$205=B836, 'CLIENT DATA'!$C$2:$F$205, "")))</f>
        <v/>
      </c>
      <c r="E836" s="52" t="n"/>
      <c r="F836" s="52" t="n"/>
      <c r="G836" s="52" t="n"/>
      <c r="H836" s="52" t="n"/>
      <c r="I836" s="52" t="n"/>
      <c r="J836" s="59" t="n"/>
      <c r="K836" s="59" t="n"/>
      <c r="L836" s="59" t="n"/>
      <c r="M836" s="59" t="n"/>
      <c r="N836" s="59" t="n"/>
      <c r="O836" s="297" t="n"/>
      <c r="P836" s="297" t="n"/>
      <c r="Q836" s="297" t="n"/>
      <c r="R836" s="297" t="n"/>
      <c r="S836" s="297" t="n"/>
      <c r="T836" s="297" t="n"/>
      <c r="U836" s="297" t="n"/>
    </row>
    <row r="837">
      <c r="A837" s="174" t="n"/>
      <c r="B837" s="299" t="n"/>
      <c r="C837" s="107">
        <f>IF(B837="", "", VLOOKUP(B837, 'CLIENT DATA'!A:S, 19, FALSE))</f>
        <v/>
      </c>
      <c r="D837" s="107">
        <f t="array" ref="D837">IF(B837="", "", _xlfn.TEXTJOIN(", ", TRUE, IF('CLIENT DATA'!$A$2:$A$205=B837, 'CLIENT DATA'!$C$2:$F$205, "")))</f>
        <v/>
      </c>
      <c r="E837" s="52" t="n"/>
      <c r="F837" s="52" t="n"/>
      <c r="G837" s="52" t="n"/>
      <c r="H837" s="52" t="n"/>
      <c r="I837" s="52" t="n"/>
      <c r="J837" s="59" t="n"/>
      <c r="K837" s="59" t="n"/>
      <c r="L837" s="59" t="n"/>
      <c r="M837" s="59" t="n"/>
      <c r="N837" s="59" t="n"/>
      <c r="O837" s="297" t="n"/>
      <c r="P837" s="297" t="n"/>
      <c r="Q837" s="297" t="n"/>
      <c r="R837" s="297" t="n"/>
      <c r="S837" s="297" t="n"/>
      <c r="T837" s="297" t="n"/>
      <c r="U837" s="297" t="n"/>
    </row>
    <row r="838">
      <c r="A838" s="174" t="n"/>
      <c r="B838" s="299" t="n"/>
      <c r="C838" s="107">
        <f>IF(B838="", "", VLOOKUP(B838, 'CLIENT DATA'!A:S, 19, FALSE))</f>
        <v/>
      </c>
      <c r="D838" s="107">
        <f t="array" ref="D838">IF(B838="", "", _xlfn.TEXTJOIN(", ", TRUE, IF('CLIENT DATA'!$A$2:$A$205=B838, 'CLIENT DATA'!$C$2:$F$205, "")))</f>
        <v/>
      </c>
      <c r="E838" s="52" t="n"/>
      <c r="F838" s="52" t="n"/>
      <c r="G838" s="52" t="n"/>
      <c r="H838" s="52" t="n"/>
      <c r="I838" s="52" t="n"/>
      <c r="J838" s="59" t="n"/>
      <c r="K838" s="59" t="n"/>
      <c r="L838" s="59" t="n"/>
      <c r="M838" s="59" t="n"/>
      <c r="N838" s="59" t="n"/>
      <c r="O838" s="297" t="n"/>
      <c r="P838" s="297" t="n"/>
      <c r="Q838" s="297" t="n"/>
      <c r="R838" s="297" t="n"/>
      <c r="S838" s="297" t="n"/>
      <c r="T838" s="297" t="n"/>
      <c r="U838" s="297" t="n"/>
    </row>
    <row r="839">
      <c r="A839" s="174" t="n"/>
      <c r="B839" s="299" t="n"/>
      <c r="C839" s="107">
        <f>IF(B839="", "", VLOOKUP(B839, 'CLIENT DATA'!A:S, 19, FALSE))</f>
        <v/>
      </c>
      <c r="D839" s="107">
        <f t="array" ref="D839">IF(B839="", "", _xlfn.TEXTJOIN(", ", TRUE, IF('CLIENT DATA'!$A$2:$A$205=B839, 'CLIENT DATA'!$C$2:$F$205, "")))</f>
        <v/>
      </c>
      <c r="E839" s="52" t="n"/>
      <c r="F839" s="52" t="n"/>
      <c r="G839" s="52" t="n"/>
      <c r="H839" s="52" t="n"/>
      <c r="I839" s="52" t="n"/>
      <c r="J839" s="59" t="n"/>
      <c r="K839" s="59" t="n"/>
      <c r="L839" s="59" t="n"/>
      <c r="M839" s="59" t="n"/>
      <c r="N839" s="59" t="n"/>
      <c r="O839" s="297" t="n"/>
      <c r="P839" s="297" t="n"/>
      <c r="Q839" s="297" t="n"/>
      <c r="R839" s="297" t="n"/>
      <c r="S839" s="297" t="n"/>
      <c r="T839" s="297" t="n"/>
      <c r="U839" s="297" t="n"/>
    </row>
    <row r="840">
      <c r="A840" s="174" t="n"/>
      <c r="B840" s="299" t="n"/>
      <c r="C840" s="107">
        <f>IF(B840="", "", VLOOKUP(B840, 'CLIENT DATA'!A:S, 19, FALSE))</f>
        <v/>
      </c>
      <c r="D840" s="107">
        <f t="array" ref="D840">IF(B840="", "", _xlfn.TEXTJOIN(", ", TRUE, IF('CLIENT DATA'!$A$2:$A$205=B840, 'CLIENT DATA'!$C$2:$F$205, "")))</f>
        <v/>
      </c>
      <c r="E840" s="52" t="n"/>
      <c r="F840" s="52" t="n"/>
      <c r="G840" s="52" t="n"/>
      <c r="H840" s="52" t="n"/>
      <c r="I840" s="52" t="n"/>
      <c r="J840" s="59" t="n"/>
      <c r="K840" s="59" t="n"/>
      <c r="L840" s="59" t="n"/>
      <c r="M840" s="59" t="n"/>
      <c r="N840" s="59" t="n"/>
      <c r="O840" s="297" t="n"/>
      <c r="P840" s="297" t="n"/>
      <c r="Q840" s="297" t="n"/>
      <c r="R840" s="297" t="n"/>
      <c r="S840" s="297" t="n"/>
      <c r="T840" s="297" t="n"/>
      <c r="U840" s="297" t="n"/>
    </row>
    <row r="841">
      <c r="A841" s="174" t="n"/>
      <c r="B841" s="299" t="n"/>
      <c r="C841" s="107">
        <f>IF(B841="", "", VLOOKUP(B841, 'CLIENT DATA'!A:S, 19, FALSE))</f>
        <v/>
      </c>
      <c r="D841" s="107">
        <f t="array" ref="D841">IF(B841="", "", _xlfn.TEXTJOIN(", ", TRUE, IF('CLIENT DATA'!$A$2:$A$205=B841, 'CLIENT DATA'!$C$2:$F$205, "")))</f>
        <v/>
      </c>
      <c r="E841" s="52" t="n"/>
      <c r="F841" s="52" t="n"/>
      <c r="G841" s="52" t="n"/>
      <c r="H841" s="52" t="n"/>
      <c r="I841" s="52" t="n"/>
      <c r="J841" s="59" t="n"/>
      <c r="K841" s="59" t="n"/>
      <c r="L841" s="59" t="n"/>
      <c r="M841" s="59" t="n"/>
      <c r="N841" s="59" t="n"/>
      <c r="O841" s="297" t="n"/>
      <c r="P841" s="297" t="n"/>
      <c r="Q841" s="297" t="n"/>
      <c r="R841" s="297" t="n"/>
      <c r="S841" s="297" t="n"/>
      <c r="T841" s="297" t="n"/>
      <c r="U841" s="297" t="n"/>
    </row>
    <row r="842">
      <c r="A842" s="174" t="n"/>
      <c r="B842" s="299" t="n"/>
      <c r="C842" s="107">
        <f>IF(B842="", "", VLOOKUP(B842, 'CLIENT DATA'!A:S, 19, FALSE))</f>
        <v/>
      </c>
      <c r="D842" s="107">
        <f t="array" ref="D842">IF(B842="", "", _xlfn.TEXTJOIN(", ", TRUE, IF('CLIENT DATA'!$A$2:$A$205=B842, 'CLIENT DATA'!$C$2:$F$205, "")))</f>
        <v/>
      </c>
      <c r="E842" s="52" t="n"/>
      <c r="F842" s="52" t="n"/>
      <c r="G842" s="52" t="n"/>
      <c r="H842" s="52" t="n"/>
      <c r="I842" s="52" t="n"/>
      <c r="J842" s="59" t="n"/>
      <c r="K842" s="59" t="n"/>
      <c r="L842" s="59" t="n"/>
      <c r="M842" s="59" t="n"/>
      <c r="N842" s="59" t="n"/>
      <c r="O842" s="297" t="n"/>
      <c r="P842" s="297" t="n"/>
      <c r="Q842" s="297" t="n"/>
      <c r="R842" s="297" t="n"/>
      <c r="S842" s="297" t="n"/>
      <c r="T842" s="297" t="n"/>
      <c r="U842" s="297" t="n"/>
    </row>
    <row r="843">
      <c r="A843" s="174" t="n"/>
      <c r="B843" s="299" t="n"/>
      <c r="C843" s="107">
        <f>IF(B843="", "", VLOOKUP(B843, 'CLIENT DATA'!A:S, 19, FALSE))</f>
        <v/>
      </c>
      <c r="D843" s="107">
        <f t="array" ref="D843">IF(B843="", "", _xlfn.TEXTJOIN(", ", TRUE, IF('CLIENT DATA'!$A$2:$A$205=B843, 'CLIENT DATA'!$C$2:$F$205, "")))</f>
        <v/>
      </c>
      <c r="E843" s="52" t="n"/>
      <c r="F843" s="52" t="n"/>
      <c r="G843" s="52" t="n"/>
      <c r="H843" s="52" t="n"/>
      <c r="I843" s="52" t="n"/>
      <c r="J843" s="59" t="n"/>
      <c r="K843" s="59" t="n"/>
      <c r="L843" s="59" t="n"/>
      <c r="M843" s="59" t="n"/>
      <c r="N843" s="59" t="n"/>
      <c r="O843" s="297" t="n"/>
      <c r="P843" s="297" t="n"/>
      <c r="Q843" s="297" t="n"/>
      <c r="R843" s="297" t="n"/>
      <c r="S843" s="297" t="n"/>
      <c r="T843" s="297" t="n"/>
      <c r="U843" s="297" t="n"/>
    </row>
    <row r="844">
      <c r="A844" s="174" t="n"/>
      <c r="B844" s="299" t="n"/>
      <c r="C844" s="107">
        <f>IF(B844="", "", VLOOKUP(B844, 'CLIENT DATA'!A:S, 19, FALSE))</f>
        <v/>
      </c>
      <c r="D844" s="107">
        <f t="array" ref="D844">IF(B844="", "", _xlfn.TEXTJOIN(", ", TRUE, IF('CLIENT DATA'!$A$2:$A$205=B844, 'CLIENT DATA'!$C$2:$F$205, "")))</f>
        <v/>
      </c>
      <c r="E844" s="52" t="n"/>
      <c r="F844" s="52" t="n"/>
      <c r="G844" s="52" t="n"/>
      <c r="H844" s="52" t="n"/>
      <c r="I844" s="52" t="n"/>
      <c r="J844" s="59" t="n"/>
      <c r="K844" s="59" t="n"/>
      <c r="L844" s="59" t="n"/>
      <c r="M844" s="59" t="n"/>
      <c r="N844" s="59" t="n"/>
      <c r="O844" s="297" t="n"/>
      <c r="P844" s="297" t="n"/>
      <c r="Q844" s="297" t="n"/>
      <c r="R844" s="297" t="n"/>
      <c r="S844" s="297" t="n"/>
      <c r="T844" s="297" t="n"/>
      <c r="U844" s="297" t="n"/>
    </row>
    <row r="845">
      <c r="A845" s="174" t="n"/>
      <c r="B845" s="299" t="n"/>
      <c r="C845" s="107">
        <f>IF(B845="", "", VLOOKUP(B845, 'CLIENT DATA'!A:S, 19, FALSE))</f>
        <v/>
      </c>
      <c r="D845" s="107">
        <f t="array" ref="D845">IF(B845="", "", _xlfn.TEXTJOIN(", ", TRUE, IF('CLIENT DATA'!$A$2:$A$205=B845, 'CLIENT DATA'!$C$2:$F$205, "")))</f>
        <v/>
      </c>
      <c r="E845" s="52" t="n"/>
      <c r="F845" s="52" t="n"/>
      <c r="G845" s="52" t="n"/>
      <c r="H845" s="52" t="n"/>
      <c r="I845" s="52" t="n"/>
      <c r="J845" s="59" t="n"/>
      <c r="K845" s="59" t="n"/>
      <c r="L845" s="59" t="n"/>
      <c r="M845" s="59" t="n"/>
      <c r="N845" s="59" t="n"/>
      <c r="O845" s="297" t="n"/>
      <c r="P845" s="297" t="n"/>
      <c r="Q845" s="297" t="n"/>
      <c r="R845" s="297" t="n"/>
      <c r="S845" s="297" t="n"/>
      <c r="T845" s="297" t="n"/>
      <c r="U845" s="297" t="n"/>
    </row>
    <row r="846">
      <c r="A846" s="174" t="n"/>
      <c r="B846" s="299" t="n"/>
      <c r="C846" s="107">
        <f>IF(B846="", "", VLOOKUP(B846, 'CLIENT DATA'!A:S, 19, FALSE))</f>
        <v/>
      </c>
      <c r="D846" s="107">
        <f t="array" ref="D846">IF(B846="", "", _xlfn.TEXTJOIN(", ", TRUE, IF('CLIENT DATA'!$A$2:$A$205=B846, 'CLIENT DATA'!$C$2:$F$205, "")))</f>
        <v/>
      </c>
      <c r="E846" s="52" t="n"/>
      <c r="F846" s="52" t="n"/>
      <c r="G846" s="52" t="n"/>
      <c r="H846" s="52" t="n"/>
      <c r="I846" s="52" t="n"/>
      <c r="J846" s="59" t="n"/>
      <c r="K846" s="59" t="n"/>
      <c r="L846" s="59" t="n"/>
      <c r="M846" s="59" t="n"/>
      <c r="N846" s="59" t="n"/>
      <c r="O846" s="297" t="n"/>
      <c r="P846" s="297" t="n"/>
      <c r="Q846" s="297" t="n"/>
      <c r="R846" s="297" t="n"/>
      <c r="S846" s="297" t="n"/>
      <c r="T846" s="297" t="n"/>
      <c r="U846" s="297" t="n"/>
    </row>
    <row r="847">
      <c r="A847" s="174" t="n"/>
      <c r="B847" s="187" t="n"/>
      <c r="C847" s="107">
        <f>IF(B847="", "", VLOOKUP(B847, 'CLIENT DATA'!A:S, 19, FALSE))</f>
        <v/>
      </c>
      <c r="D847" s="107">
        <f t="array" ref="D847">IF(B847="", "", _xlfn.TEXTJOIN(", ", TRUE, IF('CLIENT DATA'!$A$2:$A$205=B847, 'CLIENT DATA'!$C$2:$F$205, "")))</f>
        <v/>
      </c>
      <c r="E847" s="52" t="n"/>
      <c r="F847" s="52" t="n"/>
      <c r="G847" s="52" t="n"/>
      <c r="H847" s="52" t="n"/>
      <c r="I847" s="52" t="n"/>
      <c r="J847" s="59" t="n"/>
      <c r="K847" s="59" t="n"/>
      <c r="L847" s="59" t="n"/>
      <c r="M847" s="59" t="n"/>
      <c r="N847" s="59" t="n"/>
      <c r="O847" s="297" t="n"/>
      <c r="P847" s="297" t="n"/>
      <c r="Q847" s="297" t="n"/>
      <c r="R847" s="297" t="n"/>
      <c r="S847" s="297" t="n"/>
      <c r="T847" s="297" t="n"/>
      <c r="U847" s="297" t="n"/>
    </row>
    <row r="848">
      <c r="A848" s="174" t="n"/>
      <c r="B848" s="187" t="n"/>
      <c r="C848" s="107">
        <f>IF(B848="", "", VLOOKUP(B848, 'CLIENT DATA'!A:S, 19, FALSE))</f>
        <v/>
      </c>
      <c r="D848" s="107">
        <f t="array" ref="D848">IF(B848="", "", _xlfn.TEXTJOIN(", ", TRUE, IF('CLIENT DATA'!$A$2:$A$205=B848, 'CLIENT DATA'!$C$2:$F$205, "")))</f>
        <v/>
      </c>
      <c r="E848" s="52" t="n"/>
      <c r="F848" s="52" t="n"/>
      <c r="G848" s="52" t="n"/>
      <c r="H848" s="52" t="n"/>
      <c r="I848" s="52" t="n"/>
      <c r="J848" s="59" t="n"/>
      <c r="K848" s="59" t="n"/>
      <c r="L848" s="59" t="n"/>
      <c r="M848" s="59" t="n"/>
      <c r="N848" s="59" t="n"/>
      <c r="O848" s="297" t="n"/>
      <c r="P848" s="297" t="n"/>
      <c r="Q848" s="297" t="n"/>
      <c r="R848" s="297" t="n"/>
      <c r="S848" s="297" t="n"/>
      <c r="T848" s="297" t="n"/>
      <c r="U848" s="297" t="n"/>
    </row>
    <row r="849">
      <c r="A849" s="174" t="n"/>
      <c r="B849" s="187" t="n"/>
      <c r="C849" s="107">
        <f>IF(B849="", "", VLOOKUP(B849, 'CLIENT DATA'!A:S, 19, FALSE))</f>
        <v/>
      </c>
      <c r="D849" s="107">
        <f t="array" ref="D849">IF(B849="", "", _xlfn.TEXTJOIN(", ", TRUE, IF('CLIENT DATA'!$A$2:$A$205=B849, 'CLIENT DATA'!$C$2:$F$205, "")))</f>
        <v/>
      </c>
      <c r="E849" s="52" t="n"/>
      <c r="F849" s="52" t="n"/>
      <c r="G849" s="52" t="n"/>
      <c r="H849" s="52" t="n"/>
      <c r="I849" s="52" t="n"/>
      <c r="J849" s="59" t="n"/>
      <c r="K849" s="59" t="n"/>
      <c r="L849" s="59" t="n"/>
      <c r="M849" s="59" t="n"/>
      <c r="N849" s="59" t="n"/>
      <c r="O849" s="297" t="n"/>
      <c r="P849" s="297" t="n"/>
      <c r="Q849" s="297" t="n"/>
      <c r="R849" s="297" t="n"/>
      <c r="S849" s="297" t="n"/>
      <c r="T849" s="297" t="n"/>
      <c r="U849" s="297" t="n"/>
    </row>
    <row r="850">
      <c r="A850" s="174" t="n"/>
      <c r="B850" s="187" t="n"/>
      <c r="C850" s="107">
        <f>IF(B850="", "", VLOOKUP(B850, 'CLIENT DATA'!A:S, 19, FALSE))</f>
        <v/>
      </c>
      <c r="D850" s="107">
        <f t="array" ref="D850">IF(B850="", "", _xlfn.TEXTJOIN(", ", TRUE, IF('CLIENT DATA'!$A$2:$A$205=B850, 'CLIENT DATA'!$C$2:$F$205, "")))</f>
        <v/>
      </c>
      <c r="E850" s="52" t="n"/>
      <c r="F850" s="52" t="n"/>
      <c r="G850" s="52" t="n"/>
      <c r="H850" s="52" t="n"/>
      <c r="I850" s="52" t="n"/>
      <c r="J850" s="59" t="n"/>
      <c r="K850" s="59" t="n"/>
      <c r="L850" s="59" t="n"/>
      <c r="M850" s="59" t="n"/>
      <c r="N850" s="59" t="n"/>
      <c r="O850" s="297" t="n"/>
      <c r="P850" s="297" t="n"/>
      <c r="Q850" s="297" t="n"/>
      <c r="R850" s="297" t="n"/>
      <c r="S850" s="297" t="n"/>
      <c r="T850" s="297" t="n"/>
      <c r="U850" s="297" t="n"/>
    </row>
    <row r="851">
      <c r="A851" s="174" t="n"/>
      <c r="B851" s="187" t="n"/>
      <c r="C851" s="107">
        <f>IF(B851="", "", VLOOKUP(B851, 'CLIENT DATA'!A:S, 19, FALSE))</f>
        <v/>
      </c>
      <c r="D851" s="107">
        <f t="array" ref="D851">IF(B851="", "", _xlfn.TEXTJOIN(", ", TRUE, IF('CLIENT DATA'!$A$2:$A$205=B851, 'CLIENT DATA'!$C$2:$F$205, "")))</f>
        <v/>
      </c>
      <c r="E851" s="52" t="n"/>
      <c r="F851" s="52" t="n"/>
      <c r="G851" s="52" t="n"/>
      <c r="H851" s="52" t="n"/>
      <c r="I851" s="52" t="n"/>
      <c r="J851" s="59" t="n"/>
      <c r="K851" s="59" t="n"/>
      <c r="L851" s="59" t="n"/>
      <c r="M851" s="59" t="n"/>
      <c r="N851" s="59" t="n"/>
      <c r="O851" s="297" t="n"/>
      <c r="P851" s="297" t="n"/>
      <c r="Q851" s="297" t="n"/>
      <c r="R851" s="297" t="n"/>
      <c r="S851" s="297" t="n"/>
      <c r="T851" s="297" t="n"/>
      <c r="U851" s="297" t="n"/>
    </row>
    <row r="852">
      <c r="A852" s="174" t="n"/>
      <c r="B852" s="187" t="n"/>
      <c r="C852" s="107">
        <f>IF(B852="", "", VLOOKUP(B852, 'CLIENT DATA'!A:S, 19, FALSE))</f>
        <v/>
      </c>
      <c r="D852" s="107">
        <f t="array" ref="D852">IF(B852="", "", _xlfn.TEXTJOIN(", ", TRUE, IF('CLIENT DATA'!$A$2:$A$205=B852, 'CLIENT DATA'!$C$2:$F$205, "")))</f>
        <v/>
      </c>
      <c r="E852" s="52" t="n"/>
      <c r="F852" s="52" t="n"/>
      <c r="G852" s="52" t="n"/>
      <c r="H852" s="52" t="n"/>
      <c r="I852" s="52" t="n"/>
      <c r="J852" s="59" t="n"/>
      <c r="K852" s="59" t="n"/>
      <c r="L852" s="59" t="n"/>
      <c r="M852" s="59" t="n"/>
      <c r="N852" s="59" t="n"/>
      <c r="O852" s="297" t="n"/>
      <c r="P852" s="297" t="n"/>
      <c r="Q852" s="297" t="n"/>
      <c r="R852" s="297" t="n"/>
      <c r="S852" s="297" t="n"/>
      <c r="T852" s="297" t="n"/>
      <c r="U852" s="297" t="n"/>
    </row>
    <row r="853">
      <c r="A853" s="174" t="n"/>
      <c r="B853" s="187" t="n"/>
      <c r="C853" s="107">
        <f>IF(B853="", "", VLOOKUP(B853, 'CLIENT DATA'!A:S, 19, FALSE))</f>
        <v/>
      </c>
      <c r="D853" s="107">
        <f t="array" ref="D853">IF(B853="", "", _xlfn.TEXTJOIN(", ", TRUE, IF('CLIENT DATA'!$A$2:$A$205=B853, 'CLIENT DATA'!$C$2:$F$205, "")))</f>
        <v/>
      </c>
      <c r="E853" s="52" t="n"/>
      <c r="F853" s="52" t="n"/>
      <c r="G853" s="52" t="n"/>
      <c r="H853" s="52" t="n"/>
      <c r="I853" s="52" t="n"/>
      <c r="J853" s="59" t="n"/>
      <c r="K853" s="59" t="n"/>
      <c r="L853" s="59" t="n"/>
      <c r="M853" s="59" t="n"/>
      <c r="N853" s="59" t="n"/>
      <c r="O853" s="297" t="n"/>
      <c r="P853" s="297" t="n"/>
      <c r="Q853" s="297" t="n"/>
      <c r="R853" s="297" t="n"/>
      <c r="S853" s="297" t="n"/>
      <c r="T853" s="297" t="n"/>
      <c r="U853" s="297" t="n"/>
    </row>
    <row r="854">
      <c r="A854" s="174" t="n"/>
      <c r="B854" s="187" t="n"/>
      <c r="C854" s="107">
        <f>IF(B854="", "", VLOOKUP(B854, 'CLIENT DATA'!A:S, 19, FALSE))</f>
        <v/>
      </c>
      <c r="D854" s="107">
        <f t="array" ref="D854">IF(B854="", "", _xlfn.TEXTJOIN(", ", TRUE, IF('CLIENT DATA'!$A$2:$A$205=B854, 'CLIENT DATA'!$C$2:$F$205, "")))</f>
        <v/>
      </c>
      <c r="E854" s="52" t="n"/>
      <c r="F854" s="52" t="n"/>
      <c r="G854" s="52" t="n"/>
      <c r="H854" s="52" t="n"/>
      <c r="I854" s="52" t="n"/>
      <c r="J854" s="59" t="n"/>
      <c r="K854" s="59" t="n"/>
      <c r="L854" s="59" t="n"/>
      <c r="M854" s="59" t="n"/>
      <c r="N854" s="59" t="n"/>
      <c r="O854" s="297" t="n"/>
      <c r="P854" s="297" t="n"/>
      <c r="Q854" s="297" t="n"/>
      <c r="R854" s="297" t="n"/>
      <c r="S854" s="297" t="n"/>
      <c r="T854" s="297" t="n"/>
      <c r="U854" s="297" t="n"/>
    </row>
    <row r="855">
      <c r="A855" s="174" t="n"/>
      <c r="B855" s="299" t="n"/>
      <c r="C855" s="107">
        <f>IF(B855="", "", VLOOKUP(B855, 'CLIENT DATA'!A:S, 19, FALSE))</f>
        <v/>
      </c>
      <c r="D855" s="107">
        <f t="array" ref="D855">IF(B855="", "", _xlfn.TEXTJOIN(", ", TRUE, IF('CLIENT DATA'!$A$2:$A$205=B855, 'CLIENT DATA'!$C$2:$F$205, "")))</f>
        <v/>
      </c>
      <c r="E855" s="52" t="n"/>
      <c r="F855" s="52" t="n"/>
      <c r="G855" s="52" t="n"/>
      <c r="H855" s="52" t="n"/>
      <c r="I855" s="52" t="n"/>
      <c r="J855" s="59" t="n"/>
      <c r="K855" s="59" t="n"/>
      <c r="L855" s="59" t="n"/>
      <c r="M855" s="59" t="n"/>
      <c r="N855" s="59" t="n"/>
      <c r="O855" s="297" t="n"/>
      <c r="P855" s="297" t="n"/>
      <c r="Q855" s="297" t="n"/>
      <c r="R855" s="297" t="n"/>
      <c r="S855" s="297" t="n"/>
      <c r="T855" s="297" t="n"/>
      <c r="U855" s="297" t="n"/>
    </row>
    <row r="856">
      <c r="A856" s="174" t="n"/>
      <c r="B856" s="299" t="n"/>
      <c r="C856" s="107">
        <f>IF(B856="", "", VLOOKUP(B856, 'CLIENT DATA'!A:S, 19, FALSE))</f>
        <v/>
      </c>
      <c r="D856" s="107">
        <f t="array" ref="D856">IF(B856="", "", _xlfn.TEXTJOIN(", ", TRUE, IF('CLIENT DATA'!$A$2:$A$205=B856, 'CLIENT DATA'!$C$2:$F$205, "")))</f>
        <v/>
      </c>
      <c r="E856" s="52" t="n"/>
      <c r="F856" s="52" t="n"/>
      <c r="G856" s="52" t="n"/>
      <c r="H856" s="52" t="n"/>
      <c r="I856" s="52" t="n"/>
      <c r="J856" s="59" t="n"/>
      <c r="K856" s="59" t="n"/>
      <c r="L856" s="59" t="n"/>
      <c r="M856" s="59" t="n"/>
      <c r="N856" s="59" t="n"/>
      <c r="O856" s="297" t="n"/>
      <c r="P856" s="297" t="n"/>
      <c r="Q856" s="297" t="n"/>
      <c r="R856" s="297" t="n"/>
      <c r="S856" s="297" t="n"/>
      <c r="T856" s="297" t="n"/>
      <c r="U856" s="297" t="n"/>
    </row>
    <row r="857">
      <c r="A857" s="174" t="n"/>
      <c r="B857" s="299" t="n"/>
      <c r="C857" s="107">
        <f>IF(B857="", "", VLOOKUP(B857, 'CLIENT DATA'!A:S, 19, FALSE))</f>
        <v/>
      </c>
      <c r="D857" s="107">
        <f t="array" ref="D857">IF(B857="", "", _xlfn.TEXTJOIN(", ", TRUE, IF('CLIENT DATA'!$A$2:$A$205=B857, 'CLIENT DATA'!$C$2:$F$205, "")))</f>
        <v/>
      </c>
      <c r="E857" s="52" t="n"/>
      <c r="F857" s="52" t="n"/>
      <c r="G857" s="52" t="n"/>
      <c r="H857" s="52" t="n"/>
      <c r="I857" s="52" t="n"/>
      <c r="J857" s="59" t="n"/>
      <c r="K857" s="59" t="n"/>
      <c r="L857" s="59" t="n"/>
      <c r="M857" s="59" t="n"/>
      <c r="N857" s="59" t="n"/>
      <c r="O857" s="297" t="n"/>
      <c r="P857" s="297" t="n"/>
      <c r="Q857" s="297" t="n"/>
      <c r="R857" s="297" t="n"/>
      <c r="S857" s="297" t="n"/>
      <c r="T857" s="297" t="n"/>
      <c r="U857" s="297" t="n"/>
    </row>
    <row r="858">
      <c r="A858" s="174" t="n"/>
      <c r="B858" s="299" t="n"/>
      <c r="C858" s="107">
        <f>IF(B858="", "", VLOOKUP(B858, 'CLIENT DATA'!A:S, 19, FALSE))</f>
        <v/>
      </c>
      <c r="D858" s="107">
        <f t="array" ref="D858">IF(B858="", "", _xlfn.TEXTJOIN(", ", TRUE, IF('CLIENT DATA'!$A$2:$A$205=B858, 'CLIENT DATA'!$C$2:$F$205, "")))</f>
        <v/>
      </c>
      <c r="E858" s="52" t="n"/>
      <c r="F858" s="52" t="n"/>
      <c r="G858" s="52" t="n"/>
      <c r="H858" s="52" t="n"/>
      <c r="I858" s="52" t="n"/>
      <c r="J858" s="59" t="n"/>
      <c r="K858" s="59" t="n"/>
      <c r="L858" s="59" t="n"/>
      <c r="M858" s="59" t="n"/>
      <c r="N858" s="59" t="n"/>
      <c r="O858" s="297" t="n"/>
      <c r="P858" s="297" t="n"/>
      <c r="Q858" s="297" t="n"/>
      <c r="R858" s="297" t="n"/>
      <c r="S858" s="297" t="n"/>
      <c r="T858" s="297" t="n"/>
      <c r="U858" s="297" t="n"/>
    </row>
    <row r="859">
      <c r="A859" s="174" t="n"/>
      <c r="B859" s="299" t="n"/>
      <c r="C859" s="107">
        <f>IF(B859="", "", VLOOKUP(B859, 'CLIENT DATA'!A:S, 19, FALSE))</f>
        <v/>
      </c>
      <c r="D859" s="107">
        <f t="array" ref="D859">IF(B859="", "", _xlfn.TEXTJOIN(", ", TRUE, IF('CLIENT DATA'!$A$2:$A$205=B859, 'CLIENT DATA'!$C$2:$F$205, "")))</f>
        <v/>
      </c>
      <c r="E859" s="52" t="n"/>
      <c r="F859" s="52" t="n"/>
      <c r="G859" s="52" t="n"/>
      <c r="H859" s="52" t="n"/>
      <c r="I859" s="52" t="n"/>
      <c r="J859" s="59" t="n"/>
      <c r="K859" s="59" t="n"/>
      <c r="L859" s="59" t="n"/>
      <c r="M859" s="59" t="n"/>
      <c r="N859" s="59" t="n"/>
      <c r="O859" s="297" t="n"/>
      <c r="P859" s="297" t="n"/>
      <c r="Q859" s="297" t="n"/>
      <c r="R859" s="297" t="n"/>
      <c r="S859" s="297" t="n"/>
      <c r="T859" s="297" t="n"/>
      <c r="U859" s="297" t="n"/>
    </row>
    <row r="860">
      <c r="A860" s="174" t="n"/>
      <c r="B860" s="299" t="n"/>
      <c r="C860" s="107">
        <f>IF(B860="", "", VLOOKUP(B860, 'CLIENT DATA'!A:S, 19, FALSE))</f>
        <v/>
      </c>
      <c r="D860" s="107">
        <f t="array" ref="D860">IF(B860="", "", _xlfn.TEXTJOIN(", ", TRUE, IF('CLIENT DATA'!$A$2:$A$205=B860, 'CLIENT DATA'!$C$2:$F$205, "")))</f>
        <v/>
      </c>
      <c r="E860" s="52" t="n"/>
      <c r="F860" s="52" t="n"/>
      <c r="G860" s="52" t="n"/>
      <c r="H860" s="52" t="n"/>
      <c r="I860" s="52" t="n"/>
      <c r="J860" s="59" t="n"/>
      <c r="K860" s="59" t="n"/>
      <c r="L860" s="59" t="n"/>
      <c r="M860" s="59" t="n"/>
      <c r="N860" s="59" t="n"/>
      <c r="O860" s="297" t="n"/>
      <c r="P860" s="297" t="n"/>
      <c r="Q860" s="297" t="n"/>
      <c r="R860" s="297" t="n"/>
      <c r="S860" s="297" t="n"/>
      <c r="T860" s="297" t="n"/>
      <c r="U860" s="297" t="n"/>
    </row>
    <row r="861">
      <c r="A861" s="174" t="n"/>
      <c r="B861" s="299" t="n"/>
      <c r="C861" s="107">
        <f>IF(B861="", "", VLOOKUP(B861, 'CLIENT DATA'!A:S, 19, FALSE))</f>
        <v/>
      </c>
      <c r="D861" s="107">
        <f t="array" ref="D861">IF(B861="", "", _xlfn.TEXTJOIN(", ", TRUE, IF('CLIENT DATA'!$A$2:$A$205=B861, 'CLIENT DATA'!$C$2:$F$205, "")))</f>
        <v/>
      </c>
      <c r="E861" s="52" t="n"/>
      <c r="F861" s="52" t="n"/>
      <c r="G861" s="52" t="n"/>
      <c r="H861" s="52" t="n"/>
      <c r="I861" s="52" t="n"/>
      <c r="J861" s="59" t="n"/>
      <c r="K861" s="59" t="n"/>
      <c r="L861" s="59" t="n"/>
      <c r="M861" s="59" t="n"/>
      <c r="N861" s="59" t="n"/>
      <c r="O861" s="297" t="n"/>
      <c r="P861" s="297" t="n"/>
      <c r="Q861" s="297" t="n"/>
      <c r="R861" s="297" t="n"/>
      <c r="S861" s="297" t="n"/>
      <c r="T861" s="297" t="n"/>
      <c r="U861" s="297" t="n"/>
    </row>
    <row r="862">
      <c r="A862" s="174" t="n"/>
      <c r="B862" s="299" t="n"/>
      <c r="C862" s="107">
        <f>IF(B862="", "", VLOOKUP(B862, 'CLIENT DATA'!A:S, 19, FALSE))</f>
        <v/>
      </c>
      <c r="D862" s="107">
        <f t="array" ref="D862">IF(B862="", "", _xlfn.TEXTJOIN(", ", TRUE, IF('CLIENT DATA'!$A$2:$A$205=B862, 'CLIENT DATA'!$C$2:$F$205, "")))</f>
        <v/>
      </c>
      <c r="E862" s="52" t="n"/>
      <c r="F862" s="52" t="n"/>
      <c r="G862" s="52" t="n"/>
      <c r="H862" s="52" t="n"/>
      <c r="I862" s="52" t="n"/>
      <c r="J862" s="59" t="n"/>
      <c r="K862" s="59" t="n"/>
      <c r="L862" s="59" t="n"/>
      <c r="M862" s="59" t="n"/>
      <c r="N862" s="59" t="n"/>
      <c r="O862" s="297" t="n"/>
      <c r="P862" s="297" t="n"/>
      <c r="Q862" s="297" t="n"/>
      <c r="R862" s="297" t="n"/>
      <c r="S862" s="297" t="n"/>
      <c r="T862" s="297" t="n"/>
      <c r="U862" s="297" t="n"/>
    </row>
    <row r="863">
      <c r="A863" s="174" t="n"/>
      <c r="B863" s="299" t="n"/>
      <c r="C863" s="107">
        <f>IF(B863="", "", VLOOKUP(B863, 'CLIENT DATA'!A:S, 19, FALSE))</f>
        <v/>
      </c>
      <c r="D863" s="107">
        <f t="array" ref="D863">IF(B863="", "", _xlfn.TEXTJOIN(", ", TRUE, IF('CLIENT DATA'!$A$2:$A$205=B863, 'CLIENT DATA'!$C$2:$F$205, "")))</f>
        <v/>
      </c>
      <c r="E863" s="52" t="n"/>
      <c r="F863" s="52" t="n"/>
      <c r="G863" s="52" t="n"/>
      <c r="H863" s="52" t="n"/>
      <c r="I863" s="52" t="n"/>
      <c r="J863" s="59" t="n"/>
      <c r="K863" s="59" t="n"/>
      <c r="L863" s="59" t="n"/>
      <c r="M863" s="59" t="n"/>
      <c r="N863" s="59" t="n"/>
      <c r="O863" s="297" t="n"/>
      <c r="P863" s="297" t="n"/>
      <c r="Q863" s="297" t="n"/>
      <c r="R863" s="297" t="n"/>
      <c r="S863" s="297" t="n"/>
      <c r="T863" s="297" t="n"/>
      <c r="U863" s="297" t="n"/>
    </row>
    <row r="864">
      <c r="A864" s="174" t="n"/>
      <c r="B864" s="299" t="n"/>
      <c r="C864" s="107">
        <f>IF(B864="", "", VLOOKUP(B864, 'CLIENT DATA'!A:S, 19, FALSE))</f>
        <v/>
      </c>
      <c r="D864" s="107">
        <f t="array" ref="D864">IF(B864="", "", _xlfn.TEXTJOIN(", ", TRUE, IF('CLIENT DATA'!$A$2:$A$205=B864, 'CLIENT DATA'!$C$2:$F$205, "")))</f>
        <v/>
      </c>
      <c r="E864" s="52" t="n"/>
      <c r="F864" s="52" t="n"/>
      <c r="G864" s="52" t="n"/>
      <c r="H864" s="52" t="n"/>
      <c r="I864" s="52" t="n"/>
      <c r="J864" s="59" t="n"/>
      <c r="K864" s="59" t="n"/>
      <c r="L864" s="59" t="n"/>
      <c r="M864" s="59" t="n"/>
      <c r="N864" s="59" t="n"/>
      <c r="O864" s="297" t="n"/>
      <c r="P864" s="297" t="n"/>
      <c r="Q864" s="297" t="n"/>
      <c r="R864" s="297" t="n"/>
      <c r="S864" s="297" t="n"/>
      <c r="T864" s="297" t="n"/>
      <c r="U864" s="297" t="n"/>
    </row>
    <row r="865">
      <c r="A865" s="174" t="n"/>
      <c r="B865" s="299" t="n"/>
      <c r="C865" s="107">
        <f>IF(B865="", "", VLOOKUP(B865, 'CLIENT DATA'!A:S, 19, FALSE))</f>
        <v/>
      </c>
      <c r="D865" s="107">
        <f t="array" ref="D865">IF(B865="", "", _xlfn.TEXTJOIN(", ", TRUE, IF('CLIENT DATA'!$A$2:$A$205=B865, 'CLIENT DATA'!$C$2:$F$205, "")))</f>
        <v/>
      </c>
      <c r="E865" s="52" t="n"/>
      <c r="F865" s="52" t="n"/>
      <c r="G865" s="52" t="n"/>
      <c r="H865" s="52" t="n"/>
      <c r="I865" s="52" t="n"/>
      <c r="J865" s="59" t="n"/>
      <c r="K865" s="59" t="n"/>
      <c r="L865" s="59" t="n"/>
      <c r="M865" s="59" t="n"/>
      <c r="N865" s="59" t="n"/>
      <c r="O865" s="297" t="n"/>
      <c r="P865" s="297" t="n"/>
      <c r="Q865" s="297" t="n"/>
      <c r="R865" s="297" t="n"/>
      <c r="S865" s="297" t="n"/>
      <c r="T865" s="297" t="n"/>
      <c r="U865" s="297" t="n"/>
    </row>
    <row r="866">
      <c r="A866" s="174" t="n"/>
      <c r="B866" s="299" t="n"/>
      <c r="C866" s="107">
        <f>IF(B866="", "", VLOOKUP(B866, 'CLIENT DATA'!A:S, 19, FALSE))</f>
        <v/>
      </c>
      <c r="D866" s="107">
        <f t="array" ref="D866">IF(B866="", "", _xlfn.TEXTJOIN(", ", TRUE, IF('CLIENT DATA'!$A$2:$A$205=B866, 'CLIENT DATA'!$C$2:$F$205, "")))</f>
        <v/>
      </c>
      <c r="E866" s="52" t="n"/>
      <c r="F866" s="52" t="n"/>
      <c r="G866" s="52" t="n"/>
      <c r="H866" s="52" t="n"/>
      <c r="I866" s="52" t="n"/>
      <c r="J866" s="59" t="n"/>
      <c r="K866" s="59" t="n"/>
      <c r="L866" s="59" t="n"/>
      <c r="M866" s="59" t="n"/>
      <c r="N866" s="59" t="n"/>
      <c r="O866" s="297" t="n"/>
      <c r="P866" s="297" t="n"/>
      <c r="Q866" s="297" t="n"/>
      <c r="R866" s="297" t="n"/>
      <c r="S866" s="297" t="n"/>
      <c r="T866" s="297" t="n"/>
      <c r="U866" s="297" t="n"/>
    </row>
    <row r="867">
      <c r="A867" s="174" t="n"/>
      <c r="B867" s="300" t="n"/>
      <c r="C867" s="182">
        <f>IF(B867="", "", VLOOKUP(B867, 'CLIENT DATA'!A:S, 19, FALSE))</f>
        <v/>
      </c>
      <c r="D867" s="182">
        <f t="array" ref="D867">IF(B867="", "", _xlfn.TEXTJOIN(", ", TRUE, IF('CLIENT DATA'!$A$2:$A$205=B867, 'CLIENT DATA'!$C$2:$F$205, "")))</f>
        <v/>
      </c>
      <c r="E867" s="183" t="n"/>
      <c r="F867" s="183" t="n"/>
      <c r="G867" s="183" t="n"/>
      <c r="H867" s="183" t="n"/>
      <c r="I867" s="183" t="n"/>
      <c r="J867" s="184" t="n"/>
      <c r="K867" s="184" t="n"/>
      <c r="L867" s="184" t="n"/>
      <c r="M867" s="184" t="n"/>
      <c r="N867" s="184" t="n"/>
      <c r="O867" s="301" t="n"/>
      <c r="P867" s="301" t="n"/>
      <c r="Q867" s="301" t="n"/>
      <c r="R867" s="301" t="n"/>
      <c r="S867" s="301" t="n"/>
      <c r="T867" s="301" t="n"/>
      <c r="U867" s="301" t="n"/>
    </row>
    <row r="868">
      <c r="A868" s="174" t="n"/>
      <c r="B868" s="187" t="n"/>
      <c r="C868" s="107">
        <f>IF(B868="", "", VLOOKUP(B868, 'CLIENT DATA'!A:S, 19, FALSE))</f>
        <v/>
      </c>
      <c r="D868" s="107">
        <f t="array" ref="D868">IF(B868="", "", _xlfn.TEXTJOIN(", ", TRUE, IF('CLIENT DATA'!$A$2:$A$205=B868, 'CLIENT DATA'!$C$2:$F$205, "")))</f>
        <v/>
      </c>
      <c r="E868" s="52" t="n"/>
      <c r="F868" s="52" t="n"/>
      <c r="G868" s="52" t="n"/>
      <c r="H868" s="52" t="n"/>
      <c r="I868" s="52" t="n"/>
      <c r="J868" s="59" t="n"/>
      <c r="K868" s="59" t="n"/>
      <c r="L868" s="59" t="n"/>
      <c r="M868" s="59" t="n"/>
      <c r="N868" s="59" t="n"/>
      <c r="O868" s="297" t="n"/>
      <c r="P868" s="297" t="n"/>
      <c r="Q868" s="297" t="n"/>
      <c r="R868" s="297" t="n"/>
      <c r="S868" s="297" t="n"/>
      <c r="T868" s="297" t="n"/>
      <c r="U868" s="297" t="n"/>
    </row>
    <row r="869">
      <c r="A869" s="174" t="n"/>
      <c r="B869" s="187" t="n"/>
      <c r="C869" s="107">
        <f>IF(B869="", "", VLOOKUP(B869, 'CLIENT DATA'!A:S, 19, FALSE))</f>
        <v/>
      </c>
      <c r="D869" s="107">
        <f t="array" ref="D869">IF(B869="", "", _xlfn.TEXTJOIN(", ", TRUE, IF('CLIENT DATA'!$A$2:$A$205=B869, 'CLIENT DATA'!$C$2:$F$205, "")))</f>
        <v/>
      </c>
      <c r="E869" s="52" t="n"/>
      <c r="F869" s="52" t="n"/>
      <c r="G869" s="52" t="n"/>
      <c r="H869" s="52" t="n"/>
      <c r="I869" s="52" t="n"/>
      <c r="J869" s="59" t="n"/>
      <c r="K869" s="59" t="n"/>
      <c r="L869" s="59" t="n"/>
      <c r="M869" s="59" t="n"/>
      <c r="N869" s="59" t="n"/>
      <c r="O869" s="297" t="n"/>
      <c r="P869" s="297" t="n"/>
      <c r="Q869" s="297" t="n"/>
      <c r="R869" s="297" t="n"/>
      <c r="S869" s="297" t="n"/>
      <c r="T869" s="297" t="n"/>
      <c r="U869" s="297" t="n"/>
    </row>
    <row r="870">
      <c r="A870" s="174" t="n"/>
      <c r="B870" s="187" t="n"/>
      <c r="C870" s="107">
        <f>IF(B870="", "", VLOOKUP(B870, 'CLIENT DATA'!A:S, 19, FALSE))</f>
        <v/>
      </c>
      <c r="D870" s="107">
        <f t="array" ref="D870">IF(B870="", "", _xlfn.TEXTJOIN(", ", TRUE, IF('CLIENT DATA'!$A$2:$A$205=B870, 'CLIENT DATA'!$C$2:$F$205, "")))</f>
        <v/>
      </c>
      <c r="E870" s="52" t="n"/>
      <c r="F870" s="52" t="n"/>
      <c r="G870" s="52" t="n"/>
      <c r="H870" s="52" t="n"/>
      <c r="I870" s="52" t="n"/>
      <c r="J870" s="59" t="n"/>
      <c r="K870" s="59" t="n"/>
      <c r="L870" s="59" t="n"/>
      <c r="M870" s="59" t="n"/>
      <c r="N870" s="59" t="n"/>
      <c r="O870" s="297" t="n"/>
      <c r="P870" s="297" t="n"/>
      <c r="Q870" s="297" t="n"/>
      <c r="R870" s="297" t="n"/>
      <c r="S870" s="297" t="n"/>
      <c r="T870" s="297" t="n"/>
      <c r="U870" s="297" t="n"/>
    </row>
    <row r="871">
      <c r="A871" s="174" t="n"/>
      <c r="B871" s="187" t="n"/>
      <c r="C871" s="107">
        <f>IF(B871="", "", VLOOKUP(B871, 'CLIENT DATA'!A:S, 19, FALSE))</f>
        <v/>
      </c>
      <c r="D871" s="107">
        <f t="array" ref="D871">IF(B871="", "", _xlfn.TEXTJOIN(", ", TRUE, IF('CLIENT DATA'!$A$2:$A$205=B871, 'CLIENT DATA'!$C$2:$F$205, "")))</f>
        <v/>
      </c>
      <c r="E871" s="52" t="n"/>
      <c r="F871" s="52" t="n"/>
      <c r="G871" s="52" t="n"/>
      <c r="H871" s="52" t="n"/>
      <c r="I871" s="52" t="n"/>
      <c r="J871" s="59" t="n"/>
      <c r="K871" s="59" t="n"/>
      <c r="L871" s="59" t="n"/>
      <c r="M871" s="59" t="n"/>
      <c r="N871" s="59" t="n"/>
      <c r="O871" s="297" t="n"/>
      <c r="P871" s="297" t="n"/>
      <c r="Q871" s="297" t="n"/>
      <c r="R871" s="297" t="n"/>
      <c r="S871" s="297" t="n"/>
      <c r="T871" s="297" t="n"/>
      <c r="U871" s="297" t="n"/>
    </row>
    <row r="872">
      <c r="A872" s="174" t="n"/>
      <c r="B872" s="187" t="n"/>
      <c r="C872" s="107">
        <f>IF(B872="", "", VLOOKUP(B872, 'CLIENT DATA'!A:S, 19, FALSE))</f>
        <v/>
      </c>
      <c r="D872" s="107">
        <f t="array" ref="D872">IF(B872="", "", _xlfn.TEXTJOIN(", ", TRUE, IF('CLIENT DATA'!$A$2:$A$205=B872, 'CLIENT DATA'!$C$2:$F$205, "")))</f>
        <v/>
      </c>
      <c r="E872" s="52" t="n"/>
      <c r="F872" s="52" t="n"/>
      <c r="G872" s="52" t="n"/>
      <c r="H872" s="52" t="n"/>
      <c r="I872" s="52" t="n"/>
      <c r="J872" s="59" t="n"/>
      <c r="K872" s="59" t="n"/>
      <c r="L872" s="59" t="n"/>
      <c r="M872" s="59" t="n"/>
      <c r="N872" s="59" t="n"/>
      <c r="O872" s="297" t="n"/>
      <c r="P872" s="297" t="n"/>
      <c r="Q872" s="297" t="n"/>
      <c r="R872" s="297" t="n"/>
      <c r="S872" s="297" t="n"/>
      <c r="T872" s="297" t="n"/>
      <c r="U872" s="297" t="n"/>
    </row>
    <row r="873">
      <c r="A873" s="174" t="n"/>
      <c r="B873" s="187" t="n"/>
      <c r="C873" s="107">
        <f>IF(B873="", "", VLOOKUP(B873, 'CLIENT DATA'!A:S, 19, FALSE))</f>
        <v/>
      </c>
      <c r="D873" s="107">
        <f t="array" ref="D873">IF(B873="", "", _xlfn.TEXTJOIN(", ", TRUE, IF('CLIENT DATA'!$A$2:$A$205=B873, 'CLIENT DATA'!$C$2:$F$205, "")))</f>
        <v/>
      </c>
      <c r="E873" s="52" t="n"/>
      <c r="F873" s="52" t="n"/>
      <c r="G873" s="52" t="n"/>
      <c r="H873" s="52" t="n"/>
      <c r="I873" s="52" t="n"/>
      <c r="J873" s="59" t="n"/>
      <c r="K873" s="59" t="n"/>
      <c r="L873" s="59" t="n"/>
      <c r="M873" s="59" t="n"/>
      <c r="N873" s="59" t="n"/>
      <c r="O873" s="297" t="n"/>
      <c r="P873" s="297" t="n"/>
      <c r="Q873" s="297" t="n"/>
      <c r="R873" s="297" t="n"/>
      <c r="S873" s="297" t="n"/>
      <c r="T873" s="297" t="n"/>
      <c r="U873" s="297" t="n"/>
    </row>
    <row r="874">
      <c r="A874" s="174" t="n"/>
      <c r="B874" s="187" t="n"/>
      <c r="C874" s="107">
        <f>IF(B874="", "", VLOOKUP(B874, 'CLIENT DATA'!A:S, 19, FALSE))</f>
        <v/>
      </c>
      <c r="D874" s="107">
        <f t="array" ref="D874">IF(B874="", "", _xlfn.TEXTJOIN(", ", TRUE, IF('CLIENT DATA'!$A$2:$A$205=B874, 'CLIENT DATA'!$C$2:$F$205, "")))</f>
        <v/>
      </c>
      <c r="E874" s="52" t="n"/>
      <c r="F874" s="52" t="n"/>
      <c r="G874" s="52" t="n"/>
      <c r="H874" s="52" t="n"/>
      <c r="I874" s="52" t="n"/>
      <c r="J874" s="59" t="n"/>
      <c r="K874" s="59" t="n"/>
      <c r="L874" s="59" t="n"/>
      <c r="M874" s="59" t="n"/>
      <c r="N874" s="59" t="n"/>
      <c r="O874" s="297" t="n"/>
      <c r="P874" s="297" t="n"/>
      <c r="Q874" s="297" t="n"/>
      <c r="R874" s="297" t="n"/>
      <c r="S874" s="297" t="n"/>
      <c r="T874" s="297" t="n"/>
      <c r="U874" s="297" t="n"/>
    </row>
    <row r="875">
      <c r="A875" s="174" t="n"/>
      <c r="B875" s="187" t="n"/>
      <c r="C875" s="107">
        <f>IF(B875="", "", VLOOKUP(B875, 'CLIENT DATA'!A:S, 19, FALSE))</f>
        <v/>
      </c>
      <c r="D875" s="107">
        <f t="array" ref="D875">IF(B875="", "", _xlfn.TEXTJOIN(", ", TRUE, IF('CLIENT DATA'!$A$2:$A$205=B875, 'CLIENT DATA'!$C$2:$F$205, "")))</f>
        <v/>
      </c>
      <c r="E875" s="52" t="n"/>
      <c r="F875" s="52" t="n"/>
      <c r="G875" s="52" t="n"/>
      <c r="H875" s="52" t="n"/>
      <c r="I875" s="52" t="n"/>
      <c r="J875" s="59" t="n"/>
      <c r="K875" s="59" t="n"/>
      <c r="L875" s="59" t="n"/>
      <c r="M875" s="59" t="n"/>
      <c r="N875" s="59" t="n"/>
      <c r="O875" s="297" t="n"/>
      <c r="P875" s="297" t="n"/>
      <c r="Q875" s="297" t="n"/>
      <c r="R875" s="297" t="n"/>
      <c r="S875" s="297" t="n"/>
      <c r="T875" s="297" t="n"/>
      <c r="U875" s="297" t="n"/>
    </row>
    <row r="876">
      <c r="A876" s="174" t="n"/>
      <c r="B876" s="299" t="n"/>
      <c r="C876" s="107">
        <f>IF(B876="", "", VLOOKUP(B876, 'CLIENT DATA'!A:S, 19, FALSE))</f>
        <v/>
      </c>
      <c r="D876" s="107">
        <f t="array" ref="D876">IF(B876="", "", _xlfn.TEXTJOIN(", ", TRUE, IF('CLIENT DATA'!$A$2:$A$205=B876, 'CLIENT DATA'!$C$2:$F$205, "")))</f>
        <v/>
      </c>
      <c r="E876" s="52" t="n"/>
      <c r="F876" s="52" t="n"/>
      <c r="G876" s="52" t="n"/>
      <c r="H876" s="52" t="n"/>
      <c r="I876" s="52" t="n"/>
      <c r="J876" s="59" t="n"/>
      <c r="K876" s="59" t="n"/>
      <c r="L876" s="59" t="n"/>
      <c r="M876" s="59" t="n"/>
      <c r="N876" s="59" t="n"/>
      <c r="O876" s="297" t="n"/>
      <c r="P876" s="297" t="n"/>
      <c r="Q876" s="297" t="n"/>
      <c r="R876" s="297" t="n"/>
      <c r="S876" s="297" t="n"/>
      <c r="T876" s="297" t="n"/>
      <c r="U876" s="297" t="n"/>
    </row>
    <row r="877">
      <c r="A877" s="174" t="n"/>
      <c r="B877" s="299" t="n"/>
      <c r="C877" s="107">
        <f>IF(B877="", "", VLOOKUP(B877, 'CLIENT DATA'!A:S, 19, FALSE))</f>
        <v/>
      </c>
      <c r="D877" s="107">
        <f t="array" ref="D877">IF(B877="", "", _xlfn.TEXTJOIN(", ", TRUE, IF('CLIENT DATA'!$A$2:$A$205=B877, 'CLIENT DATA'!$C$2:$F$205, "")))</f>
        <v/>
      </c>
      <c r="E877" s="52" t="n"/>
      <c r="F877" s="52" t="n"/>
      <c r="G877" s="52" t="n"/>
      <c r="H877" s="52" t="n"/>
      <c r="I877" s="52" t="n"/>
      <c r="J877" s="59" t="n"/>
      <c r="K877" s="59" t="n"/>
      <c r="L877" s="59" t="n"/>
      <c r="M877" s="59" t="n"/>
      <c r="N877" s="59" t="n"/>
      <c r="O877" s="297" t="n"/>
      <c r="P877" s="297" t="n"/>
      <c r="Q877" s="297" t="n"/>
      <c r="R877" s="297" t="n"/>
      <c r="S877" s="297" t="n"/>
      <c r="T877" s="297" t="n"/>
      <c r="U877" s="297" t="n"/>
    </row>
    <row r="878">
      <c r="A878" s="174" t="n"/>
      <c r="B878" s="299" t="n"/>
      <c r="C878" s="107">
        <f>IF(B878="", "", VLOOKUP(B878, 'CLIENT DATA'!A:S, 19, FALSE))</f>
        <v/>
      </c>
      <c r="D878" s="107">
        <f t="array" ref="D878">IF(B878="", "", _xlfn.TEXTJOIN(", ", TRUE, IF('CLIENT DATA'!$A$2:$A$205=B878, 'CLIENT DATA'!$C$2:$F$205, "")))</f>
        <v/>
      </c>
      <c r="E878" s="52" t="n"/>
      <c r="F878" s="52" t="n"/>
      <c r="G878" s="52" t="n"/>
      <c r="H878" s="52" t="n"/>
      <c r="I878" s="52" t="n"/>
      <c r="J878" s="59" t="n"/>
      <c r="K878" s="59" t="n"/>
      <c r="L878" s="59" t="n"/>
      <c r="M878" s="59" t="n"/>
      <c r="N878" s="59" t="n"/>
      <c r="O878" s="297" t="n"/>
      <c r="P878" s="297" t="n"/>
      <c r="Q878" s="297" t="n"/>
      <c r="R878" s="297" t="n"/>
      <c r="S878" s="297" t="n"/>
      <c r="T878" s="297" t="n"/>
      <c r="U878" s="297" t="n"/>
    </row>
    <row r="879">
      <c r="A879" s="174" t="n"/>
      <c r="B879" s="299" t="n"/>
      <c r="C879" s="107">
        <f>IF(B879="", "", VLOOKUP(B879, 'CLIENT DATA'!A:S, 19, FALSE))</f>
        <v/>
      </c>
      <c r="D879" s="107">
        <f t="array" ref="D879">IF(B879="", "", _xlfn.TEXTJOIN(", ", TRUE, IF('CLIENT DATA'!$A$2:$A$205=B879, 'CLIENT DATA'!$C$2:$F$205, "")))</f>
        <v/>
      </c>
      <c r="E879" s="52" t="n"/>
      <c r="F879" s="52" t="n"/>
      <c r="G879" s="52" t="n"/>
      <c r="H879" s="52" t="n"/>
      <c r="I879" s="52" t="n"/>
      <c r="J879" s="59" t="n"/>
      <c r="K879" s="59" t="n"/>
      <c r="L879" s="59" t="n"/>
      <c r="M879" s="59" t="n"/>
      <c r="N879" s="59" t="n"/>
      <c r="O879" s="297" t="n"/>
      <c r="P879" s="297" t="n"/>
      <c r="Q879" s="297" t="n"/>
      <c r="R879" s="297" t="n"/>
      <c r="S879" s="297" t="n"/>
      <c r="T879" s="297" t="n"/>
      <c r="U879" s="297" t="n"/>
    </row>
    <row r="880">
      <c r="A880" s="174" t="n"/>
      <c r="B880" s="299" t="n"/>
      <c r="C880" s="107">
        <f>IF(B880="", "", VLOOKUP(B880, 'CLIENT DATA'!A:S, 19, FALSE))</f>
        <v/>
      </c>
      <c r="D880" s="107">
        <f t="array" ref="D880">IF(B880="", "", _xlfn.TEXTJOIN(", ", TRUE, IF('CLIENT DATA'!$A$2:$A$205=B880, 'CLIENT DATA'!$C$2:$F$205, "")))</f>
        <v/>
      </c>
      <c r="E880" s="52" t="n"/>
      <c r="F880" s="52" t="n"/>
      <c r="G880" s="52" t="n"/>
      <c r="H880" s="52" t="n"/>
      <c r="I880" s="52" t="n"/>
      <c r="J880" s="59" t="n"/>
      <c r="K880" s="59" t="n"/>
      <c r="L880" s="59" t="n"/>
      <c r="M880" s="59" t="n"/>
      <c r="N880" s="59" t="n"/>
      <c r="O880" s="297" t="n"/>
      <c r="P880" s="297" t="n"/>
      <c r="Q880" s="297" t="n"/>
      <c r="R880" s="297" t="n"/>
      <c r="S880" s="297" t="n"/>
      <c r="T880" s="297" t="n"/>
      <c r="U880" s="297" t="n"/>
    </row>
    <row r="881">
      <c r="A881" s="174" t="n"/>
      <c r="B881" s="299" t="n"/>
      <c r="C881" s="107">
        <f>IF(B881="", "", VLOOKUP(B881, 'CLIENT DATA'!A:S, 19, FALSE))</f>
        <v/>
      </c>
      <c r="D881" s="107">
        <f t="array" ref="D881">IF(B881="", "", _xlfn.TEXTJOIN(", ", TRUE, IF('CLIENT DATA'!$A$2:$A$205=B881, 'CLIENT DATA'!$C$2:$F$205, "")))</f>
        <v/>
      </c>
      <c r="E881" s="52" t="n"/>
      <c r="F881" s="52" t="n"/>
      <c r="G881" s="52" t="n"/>
      <c r="H881" s="52" t="n"/>
      <c r="I881" s="52" t="n"/>
      <c r="J881" s="59" t="n"/>
      <c r="K881" s="59" t="n"/>
      <c r="L881" s="59" t="n"/>
      <c r="M881" s="59" t="n"/>
      <c r="N881" s="59" t="n"/>
      <c r="O881" s="297" t="n"/>
      <c r="P881" s="297" t="n"/>
      <c r="Q881" s="297" t="n"/>
      <c r="R881" s="297" t="n"/>
      <c r="S881" s="297" t="n"/>
      <c r="T881" s="297" t="n"/>
      <c r="U881" s="297" t="n"/>
    </row>
    <row r="882">
      <c r="A882" s="174" t="n"/>
      <c r="B882" s="299" t="n"/>
      <c r="C882" s="107">
        <f>IF(B882="", "", VLOOKUP(B882, 'CLIENT DATA'!A:S, 19, FALSE))</f>
        <v/>
      </c>
      <c r="D882" s="107">
        <f t="array" ref="D882">IF(B882="", "", _xlfn.TEXTJOIN(", ", TRUE, IF('CLIENT DATA'!$A$2:$A$205=B882, 'CLIENT DATA'!$C$2:$F$205, "")))</f>
        <v/>
      </c>
      <c r="E882" s="52" t="n"/>
      <c r="F882" s="52" t="n"/>
      <c r="G882" s="52" t="n"/>
      <c r="H882" s="52" t="n"/>
      <c r="I882" s="52" t="n"/>
      <c r="J882" s="59" t="n"/>
      <c r="K882" s="59" t="n"/>
      <c r="L882" s="59" t="n"/>
      <c r="M882" s="59" t="n"/>
      <c r="N882" s="59" t="n"/>
      <c r="O882" s="297" t="n"/>
      <c r="P882" s="297" t="n"/>
      <c r="Q882" s="297" t="n"/>
      <c r="R882" s="297" t="n"/>
      <c r="S882" s="297" t="n"/>
      <c r="T882" s="297" t="n"/>
      <c r="U882" s="297" t="n"/>
    </row>
    <row r="883">
      <c r="A883" s="174" t="n"/>
      <c r="B883" s="299" t="n"/>
      <c r="C883" s="107">
        <f>IF(B883="", "", VLOOKUP(B883, 'CLIENT DATA'!A:S, 19, FALSE))</f>
        <v/>
      </c>
      <c r="D883" s="107">
        <f t="array" ref="D883">IF(B883="", "", _xlfn.TEXTJOIN(", ", TRUE, IF('CLIENT DATA'!$A$2:$A$205=B883, 'CLIENT DATA'!$C$2:$F$205, "")))</f>
        <v/>
      </c>
      <c r="E883" s="52" t="n"/>
      <c r="F883" s="52" t="n"/>
      <c r="G883" s="52" t="n"/>
      <c r="H883" s="52" t="n"/>
      <c r="I883" s="52" t="n"/>
      <c r="J883" s="59" t="n"/>
      <c r="K883" s="59" t="n"/>
      <c r="L883" s="59" t="n"/>
      <c r="M883" s="59" t="n"/>
      <c r="N883" s="59" t="n"/>
      <c r="O883" s="297" t="n"/>
      <c r="P883" s="297" t="n"/>
      <c r="Q883" s="297" t="n"/>
      <c r="R883" s="297" t="n"/>
      <c r="S883" s="297" t="n"/>
      <c r="T883" s="297" t="n"/>
      <c r="U883" s="297" t="n"/>
    </row>
    <row r="884">
      <c r="A884" s="174" t="n"/>
      <c r="B884" s="299" t="n"/>
      <c r="C884" s="107">
        <f>IF(B884="", "", VLOOKUP(B884, 'CLIENT DATA'!A:S, 19, FALSE))</f>
        <v/>
      </c>
      <c r="D884" s="107">
        <f t="array" ref="D884">IF(B884="", "", _xlfn.TEXTJOIN(", ", TRUE, IF('CLIENT DATA'!$A$2:$A$205=B884, 'CLIENT DATA'!$C$2:$F$205, "")))</f>
        <v/>
      </c>
      <c r="E884" s="52" t="n"/>
      <c r="F884" s="52" t="n"/>
      <c r="G884" s="52" t="n"/>
      <c r="H884" s="52" t="n"/>
      <c r="I884" s="52" t="n"/>
      <c r="J884" s="59" t="n"/>
      <c r="K884" s="59" t="n"/>
      <c r="L884" s="59" t="n"/>
      <c r="M884" s="59" t="n"/>
      <c r="N884" s="59" t="n"/>
      <c r="O884" s="297" t="n"/>
      <c r="P884" s="297" t="n"/>
      <c r="Q884" s="297" t="n"/>
      <c r="R884" s="297" t="n"/>
      <c r="S884" s="297" t="n"/>
      <c r="T884" s="297" t="n"/>
      <c r="U884" s="297" t="n"/>
    </row>
    <row r="885">
      <c r="A885" s="174" t="n"/>
      <c r="B885" s="299" t="n"/>
      <c r="C885" s="107">
        <f>IF(B885="", "", VLOOKUP(B885, 'CLIENT DATA'!A:S, 19, FALSE))</f>
        <v/>
      </c>
      <c r="D885" s="107">
        <f t="array" ref="D885">IF(B885="", "", _xlfn.TEXTJOIN(", ", TRUE, IF('CLIENT DATA'!$A$2:$A$205=B885, 'CLIENT DATA'!$C$2:$F$205, "")))</f>
        <v/>
      </c>
      <c r="E885" s="52" t="n"/>
      <c r="F885" s="52" t="n"/>
      <c r="G885" s="52" t="n"/>
      <c r="H885" s="52" t="n"/>
      <c r="I885" s="52" t="n"/>
      <c r="J885" s="59" t="n"/>
      <c r="K885" s="59" t="n"/>
      <c r="L885" s="59" t="n"/>
      <c r="M885" s="59" t="n"/>
      <c r="N885" s="59" t="n"/>
      <c r="O885" s="297" t="n"/>
      <c r="P885" s="297" t="n"/>
      <c r="Q885" s="297" t="n"/>
      <c r="R885" s="297" t="n"/>
      <c r="S885" s="297" t="n"/>
      <c r="T885" s="297" t="n"/>
      <c r="U885" s="297" t="n"/>
    </row>
    <row r="886">
      <c r="A886" s="174" t="n"/>
      <c r="B886" s="299" t="n"/>
      <c r="C886" s="107">
        <f>IF(B886="", "", VLOOKUP(B886, 'CLIENT DATA'!A:S, 19, FALSE))</f>
        <v/>
      </c>
      <c r="D886" s="107">
        <f t="array" ref="D886">IF(B886="", "", _xlfn.TEXTJOIN(", ", TRUE, IF('CLIENT DATA'!$A$2:$A$205=B886, 'CLIENT DATA'!$C$2:$F$205, "")))</f>
        <v/>
      </c>
      <c r="E886" s="52" t="n"/>
      <c r="F886" s="52" t="n"/>
      <c r="G886" s="52" t="n"/>
      <c r="H886" s="52" t="n"/>
      <c r="I886" s="52" t="n"/>
      <c r="J886" s="59" t="n"/>
      <c r="K886" s="59" t="n"/>
      <c r="L886" s="59" t="n"/>
      <c r="M886" s="59" t="n"/>
      <c r="N886" s="59" t="n"/>
      <c r="O886" s="297" t="n"/>
      <c r="P886" s="297" t="n"/>
      <c r="Q886" s="297" t="n"/>
      <c r="R886" s="297" t="n"/>
      <c r="S886" s="297" t="n"/>
      <c r="T886" s="297" t="n"/>
      <c r="U886" s="297" t="n"/>
    </row>
    <row r="887">
      <c r="A887" s="174" t="n"/>
      <c r="B887" s="299" t="n"/>
      <c r="C887" s="107">
        <f>IF(B887="", "", VLOOKUP(B887, 'CLIENT DATA'!A:S, 19, FALSE))</f>
        <v/>
      </c>
      <c r="D887" s="107">
        <f t="array" ref="D887">IF(B887="", "", _xlfn.TEXTJOIN(", ", TRUE, IF('CLIENT DATA'!$A$2:$A$205=B887, 'CLIENT DATA'!$C$2:$F$205, "")))</f>
        <v/>
      </c>
      <c r="E887" s="52" t="n"/>
      <c r="F887" s="52" t="n"/>
      <c r="G887" s="52" t="n"/>
      <c r="H887" s="52" t="n"/>
      <c r="I887" s="52" t="n"/>
      <c r="J887" s="59" t="n"/>
      <c r="K887" s="59" t="n"/>
      <c r="L887" s="59" t="n"/>
      <c r="M887" s="59" t="n"/>
      <c r="N887" s="59" t="n"/>
      <c r="O887" s="297" t="n"/>
      <c r="P887" s="297" t="n"/>
      <c r="Q887" s="297" t="n"/>
      <c r="R887" s="297" t="n"/>
      <c r="S887" s="297" t="n"/>
      <c r="T887" s="297" t="n"/>
      <c r="U887" s="297" t="n"/>
    </row>
    <row r="888">
      <c r="A888" s="174" t="n"/>
      <c r="B888" s="299" t="n"/>
      <c r="C888" s="107">
        <f>IF(B888="", "", VLOOKUP(B888, 'CLIENT DATA'!A:S, 19, FALSE))</f>
        <v/>
      </c>
      <c r="D888" s="107">
        <f t="array" ref="D888">IF(B888="", "", _xlfn.TEXTJOIN(", ", TRUE, IF('CLIENT DATA'!$A$2:$A$205=B888, 'CLIENT DATA'!$C$2:$F$205, "")))</f>
        <v/>
      </c>
      <c r="E888" s="52" t="n"/>
      <c r="F888" s="52" t="n"/>
      <c r="G888" s="52" t="n"/>
      <c r="H888" s="52" t="n"/>
      <c r="I888" s="52" t="n"/>
      <c r="J888" s="59" t="n"/>
      <c r="K888" s="59" t="n"/>
      <c r="L888" s="59" t="n"/>
      <c r="M888" s="59" t="n"/>
      <c r="N888" s="59" t="n"/>
      <c r="O888" s="297" t="n"/>
      <c r="P888" s="297" t="n"/>
      <c r="Q888" s="297" t="n"/>
      <c r="R888" s="297" t="n"/>
      <c r="S888" s="297" t="n"/>
      <c r="T888" s="297" t="n"/>
      <c r="U888" s="297" t="n"/>
    </row>
    <row r="889">
      <c r="A889" s="174" t="n"/>
      <c r="B889" s="187" t="n"/>
      <c r="C889" s="107">
        <f>IF(B889="", "", VLOOKUP(B889, 'CLIENT DATA'!A:S, 19, FALSE))</f>
        <v/>
      </c>
      <c r="D889" s="107">
        <f t="array" ref="D889">IF(B889="", "", _xlfn.TEXTJOIN(", ", TRUE, IF('CLIENT DATA'!$A$2:$A$205=B889, 'CLIENT DATA'!$C$2:$F$205, "")))</f>
        <v/>
      </c>
      <c r="E889" s="52" t="n"/>
      <c r="F889" s="52" t="n"/>
      <c r="G889" s="52" t="n"/>
      <c r="H889" s="52" t="n"/>
      <c r="I889" s="52" t="n"/>
      <c r="J889" s="59" t="n"/>
      <c r="K889" s="59" t="n"/>
      <c r="L889" s="59" t="n"/>
      <c r="M889" s="59" t="n"/>
      <c r="N889" s="59" t="n"/>
      <c r="O889" s="297" t="n"/>
      <c r="P889" s="297" t="n"/>
      <c r="Q889" s="297" t="n"/>
      <c r="R889" s="297" t="n"/>
      <c r="S889" s="297" t="n"/>
      <c r="T889" s="297" t="n"/>
      <c r="U889" s="297" t="n"/>
    </row>
    <row r="890">
      <c r="A890" s="174" t="n"/>
      <c r="B890" s="187" t="n"/>
      <c r="C890" s="107">
        <f>IF(B890="", "", VLOOKUP(B890, 'CLIENT DATA'!A:S, 19, FALSE))</f>
        <v/>
      </c>
      <c r="D890" s="107">
        <f t="array" ref="D890">IF(B890="", "", _xlfn.TEXTJOIN(", ", TRUE, IF('CLIENT DATA'!$A$2:$A$205=B890, 'CLIENT DATA'!$C$2:$F$205, "")))</f>
        <v/>
      </c>
      <c r="E890" s="52" t="n"/>
      <c r="F890" s="52" t="n"/>
      <c r="G890" s="52" t="n"/>
      <c r="H890" s="52" t="n"/>
      <c r="I890" s="52" t="n"/>
      <c r="J890" s="59" t="n"/>
      <c r="K890" s="59" t="n"/>
      <c r="L890" s="59" t="n"/>
      <c r="M890" s="59" t="n"/>
      <c r="N890" s="59" t="n"/>
      <c r="O890" s="297" t="n"/>
      <c r="P890" s="297" t="n"/>
      <c r="Q890" s="297" t="n"/>
      <c r="R890" s="297" t="n"/>
      <c r="S890" s="297" t="n"/>
      <c r="T890" s="297" t="n"/>
      <c r="U890" s="297" t="n"/>
    </row>
    <row r="891">
      <c r="A891" s="174" t="n"/>
      <c r="B891" s="187" t="n"/>
      <c r="C891" s="107">
        <f>IF(B891="", "", VLOOKUP(B891, 'CLIENT DATA'!A:S, 19, FALSE))</f>
        <v/>
      </c>
      <c r="D891" s="107">
        <f t="array" ref="D891">IF(B891="", "", _xlfn.TEXTJOIN(", ", TRUE, IF('CLIENT DATA'!$A$2:$A$205=B891, 'CLIENT DATA'!$C$2:$F$205, "")))</f>
        <v/>
      </c>
      <c r="E891" s="52" t="n"/>
      <c r="F891" s="52" t="n"/>
      <c r="G891" s="52" t="n"/>
      <c r="H891" s="52" t="n"/>
      <c r="I891" s="52" t="n"/>
      <c r="J891" s="59" t="n"/>
      <c r="K891" s="59" t="n"/>
      <c r="L891" s="59" t="n"/>
      <c r="M891" s="59" t="n"/>
      <c r="N891" s="59" t="n"/>
      <c r="O891" s="297" t="n"/>
      <c r="P891" s="297" t="n"/>
      <c r="Q891" s="297" t="n"/>
      <c r="R891" s="297" t="n"/>
      <c r="S891" s="297" t="n"/>
      <c r="T891" s="297" t="n"/>
      <c r="U891" s="297" t="n"/>
    </row>
    <row r="892">
      <c r="A892" s="174" t="n"/>
      <c r="B892" s="187" t="n"/>
      <c r="C892" s="107">
        <f>IF(B892="", "", VLOOKUP(B892, 'CLIENT DATA'!A:S, 19, FALSE))</f>
        <v/>
      </c>
      <c r="D892" s="107">
        <f t="array" ref="D892">IF(B892="", "", _xlfn.TEXTJOIN(", ", TRUE, IF('CLIENT DATA'!$A$2:$A$205=B892, 'CLIENT DATA'!$C$2:$F$205, "")))</f>
        <v/>
      </c>
      <c r="E892" s="52" t="n"/>
      <c r="F892" s="52" t="n"/>
      <c r="G892" s="52" t="n"/>
      <c r="H892" s="52" t="n"/>
      <c r="I892" s="52" t="n"/>
      <c r="J892" s="59" t="n"/>
      <c r="K892" s="59" t="n"/>
      <c r="L892" s="59" t="n"/>
      <c r="M892" s="59" t="n"/>
      <c r="N892" s="59" t="n"/>
      <c r="O892" s="297" t="n"/>
      <c r="P892" s="297" t="n"/>
      <c r="Q892" s="297" t="n"/>
      <c r="R892" s="297" t="n"/>
      <c r="S892" s="297" t="n"/>
      <c r="T892" s="297" t="n"/>
      <c r="U892" s="297" t="n"/>
    </row>
    <row r="893">
      <c r="A893" s="174" t="n"/>
      <c r="B893" s="187" t="n"/>
      <c r="C893" s="107">
        <f>IF(B893="", "", VLOOKUP(B893, 'CLIENT DATA'!A:S, 19, FALSE))</f>
        <v/>
      </c>
      <c r="D893" s="107">
        <f t="array" ref="D893">IF(B893="", "", _xlfn.TEXTJOIN(", ", TRUE, IF('CLIENT DATA'!$A$2:$A$205=B893, 'CLIENT DATA'!$C$2:$F$205, "")))</f>
        <v/>
      </c>
      <c r="E893" s="52" t="n"/>
      <c r="F893" s="52" t="n"/>
      <c r="G893" s="52" t="n"/>
      <c r="H893" s="52" t="n"/>
      <c r="I893" s="52" t="n"/>
      <c r="J893" s="59" t="n"/>
      <c r="K893" s="59" t="n"/>
      <c r="L893" s="59" t="n"/>
      <c r="M893" s="59" t="n"/>
      <c r="N893" s="59" t="n"/>
      <c r="O893" s="297" t="n"/>
      <c r="P893" s="297" t="n"/>
      <c r="Q893" s="297" t="n"/>
      <c r="R893" s="297" t="n"/>
      <c r="S893" s="297" t="n"/>
      <c r="T893" s="297" t="n"/>
      <c r="U893" s="297" t="n"/>
    </row>
    <row r="894">
      <c r="A894" s="174" t="n"/>
      <c r="B894" s="187" t="n"/>
      <c r="C894" s="107">
        <f>IF(B894="", "", VLOOKUP(B894, 'CLIENT DATA'!A:S, 19, FALSE))</f>
        <v/>
      </c>
      <c r="D894" s="107">
        <f t="array" ref="D894">IF(B894="", "", _xlfn.TEXTJOIN(", ", TRUE, IF('CLIENT DATA'!$A$2:$A$205=B894, 'CLIENT DATA'!$C$2:$F$205, "")))</f>
        <v/>
      </c>
      <c r="E894" s="52" t="n"/>
      <c r="F894" s="52" t="n"/>
      <c r="G894" s="52" t="n"/>
      <c r="H894" s="52" t="n"/>
      <c r="I894" s="52" t="n"/>
      <c r="J894" s="59" t="n"/>
      <c r="K894" s="59" t="n"/>
      <c r="L894" s="59" t="n"/>
      <c r="M894" s="59" t="n"/>
      <c r="N894" s="59" t="n"/>
      <c r="O894" s="297" t="n"/>
      <c r="P894" s="297" t="n"/>
      <c r="Q894" s="297" t="n"/>
      <c r="R894" s="297" t="n"/>
      <c r="S894" s="297" t="n"/>
      <c r="T894" s="297" t="n"/>
      <c r="U894" s="297" t="n"/>
    </row>
    <row r="895">
      <c r="A895" s="174" t="n"/>
      <c r="B895" s="187" t="n"/>
      <c r="C895" s="107">
        <f>IF(B895="", "", VLOOKUP(B895, 'CLIENT DATA'!A:S, 19, FALSE))</f>
        <v/>
      </c>
      <c r="D895" s="107">
        <f t="array" ref="D895">IF(B895="", "", _xlfn.TEXTJOIN(", ", TRUE, IF('CLIENT DATA'!$A$2:$A$205=B895, 'CLIENT DATA'!$C$2:$F$205, "")))</f>
        <v/>
      </c>
      <c r="E895" s="52" t="n"/>
      <c r="F895" s="52" t="n"/>
      <c r="G895" s="52" t="n"/>
      <c r="H895" s="52" t="n"/>
      <c r="I895" s="52" t="n"/>
      <c r="J895" s="59" t="n"/>
      <c r="K895" s="59" t="n"/>
      <c r="L895" s="59" t="n"/>
      <c r="M895" s="59" t="n"/>
      <c r="N895" s="59" t="n"/>
      <c r="O895" s="297" t="n"/>
      <c r="P895" s="297" t="n"/>
      <c r="Q895" s="297" t="n"/>
      <c r="R895" s="297" t="n"/>
      <c r="S895" s="297" t="n"/>
      <c r="T895" s="297" t="n"/>
      <c r="U895" s="297" t="n"/>
    </row>
    <row r="896">
      <c r="A896" s="174" t="n"/>
      <c r="B896" s="187" t="n"/>
      <c r="C896" s="107">
        <f>IF(B896="", "", VLOOKUP(B896, 'CLIENT DATA'!A:S, 19, FALSE))</f>
        <v/>
      </c>
      <c r="D896" s="107">
        <f t="array" ref="D896">IF(B896="", "", _xlfn.TEXTJOIN(", ", TRUE, IF('CLIENT DATA'!$A$2:$A$205=B896, 'CLIENT DATA'!$C$2:$F$205, "")))</f>
        <v/>
      </c>
      <c r="E896" s="52" t="n"/>
      <c r="F896" s="52" t="n"/>
      <c r="G896" s="52" t="n"/>
      <c r="H896" s="52" t="n"/>
      <c r="I896" s="52" t="n"/>
      <c r="J896" s="59" t="n"/>
      <c r="K896" s="59" t="n"/>
      <c r="L896" s="59" t="n"/>
      <c r="M896" s="59" t="n"/>
      <c r="N896" s="59" t="n"/>
      <c r="O896" s="297" t="n"/>
      <c r="P896" s="297" t="n"/>
      <c r="Q896" s="297" t="n"/>
      <c r="R896" s="297" t="n"/>
      <c r="S896" s="297" t="n"/>
      <c r="T896" s="297" t="n"/>
      <c r="U896" s="297" t="n"/>
    </row>
    <row r="897">
      <c r="A897" s="174" t="n"/>
      <c r="B897" s="299" t="n"/>
      <c r="C897" s="107">
        <f>IF(B897="", "", VLOOKUP(B897, 'CLIENT DATA'!A:S, 19, FALSE))</f>
        <v/>
      </c>
      <c r="D897" s="107">
        <f t="array" ref="D897">IF(B897="", "", _xlfn.TEXTJOIN(", ", TRUE, IF('CLIENT DATA'!$A$2:$A$205=B897, 'CLIENT DATA'!$C$2:$F$205, "")))</f>
        <v/>
      </c>
      <c r="E897" s="52" t="n"/>
      <c r="F897" s="52" t="n"/>
      <c r="G897" s="52" t="n"/>
      <c r="H897" s="52" t="n"/>
      <c r="I897" s="52" t="n"/>
      <c r="J897" s="59" t="n"/>
      <c r="K897" s="59" t="n"/>
      <c r="L897" s="59" t="n"/>
      <c r="M897" s="59" t="n"/>
      <c r="N897" s="59" t="n"/>
      <c r="O897" s="297" t="n"/>
      <c r="P897" s="297" t="n"/>
      <c r="Q897" s="297" t="n"/>
      <c r="R897" s="297" t="n"/>
      <c r="S897" s="297" t="n"/>
      <c r="T897" s="297" t="n"/>
      <c r="U897" s="297" t="n"/>
    </row>
    <row r="898">
      <c r="A898" s="174" t="n"/>
      <c r="B898" s="299" t="n"/>
      <c r="C898" s="107">
        <f>IF(B898="", "", VLOOKUP(B898, 'CLIENT DATA'!A:S, 19, FALSE))</f>
        <v/>
      </c>
      <c r="D898" s="107">
        <f t="array" ref="D898">IF(B898="", "", _xlfn.TEXTJOIN(", ", TRUE, IF('CLIENT DATA'!$A$2:$A$205=B898, 'CLIENT DATA'!$C$2:$F$205, "")))</f>
        <v/>
      </c>
      <c r="E898" s="52" t="n"/>
      <c r="F898" s="52" t="n"/>
      <c r="G898" s="52" t="n"/>
      <c r="H898" s="52" t="n"/>
      <c r="I898" s="52" t="n"/>
      <c r="J898" s="59" t="n"/>
      <c r="K898" s="59" t="n"/>
      <c r="L898" s="59" t="n"/>
      <c r="M898" s="59" t="n"/>
      <c r="N898" s="59" t="n"/>
      <c r="O898" s="297" t="n"/>
      <c r="P898" s="297" t="n"/>
      <c r="Q898" s="297" t="n"/>
      <c r="R898" s="297" t="n"/>
      <c r="S898" s="297" t="n"/>
      <c r="T898" s="297" t="n"/>
      <c r="U898" s="297" t="n"/>
    </row>
    <row r="899">
      <c r="A899" s="174" t="n"/>
      <c r="B899" s="299" t="n"/>
      <c r="C899" s="107">
        <f>IF(B899="", "", VLOOKUP(B899, 'CLIENT DATA'!A:S, 19, FALSE))</f>
        <v/>
      </c>
      <c r="D899" s="107">
        <f t="array" ref="D899">IF(B899="", "", _xlfn.TEXTJOIN(", ", TRUE, IF('CLIENT DATA'!$A$2:$A$205=B899, 'CLIENT DATA'!$C$2:$F$205, "")))</f>
        <v/>
      </c>
      <c r="E899" s="52" t="n"/>
      <c r="F899" s="52" t="n"/>
      <c r="G899" s="52" t="n"/>
      <c r="H899" s="52" t="n"/>
      <c r="I899" s="52" t="n"/>
      <c r="J899" s="59" t="n"/>
      <c r="K899" s="59" t="n"/>
      <c r="L899" s="59" t="n"/>
      <c r="M899" s="59" t="n"/>
      <c r="N899" s="59" t="n"/>
      <c r="O899" s="297" t="n"/>
      <c r="P899" s="297" t="n"/>
      <c r="Q899" s="297" t="n"/>
      <c r="R899" s="297" t="n"/>
      <c r="S899" s="297" t="n"/>
      <c r="T899" s="297" t="n"/>
      <c r="U899" s="297" t="n"/>
    </row>
    <row r="900">
      <c r="A900" s="174" t="n"/>
      <c r="B900" s="299" t="n"/>
      <c r="C900" s="107">
        <f>IF(B900="", "", VLOOKUP(B900, 'CLIENT DATA'!A:S, 19, FALSE))</f>
        <v/>
      </c>
      <c r="D900" s="107">
        <f t="array" ref="D900">IF(B900="", "", _xlfn.TEXTJOIN(", ", TRUE, IF('CLIENT DATA'!$A$2:$A$205=B900, 'CLIENT DATA'!$C$2:$F$205, "")))</f>
        <v/>
      </c>
      <c r="E900" s="52" t="n"/>
      <c r="F900" s="52" t="n"/>
      <c r="G900" s="52" t="n"/>
      <c r="H900" s="52" t="n"/>
      <c r="I900" s="52" t="n"/>
      <c r="J900" s="59" t="n"/>
      <c r="K900" s="59" t="n"/>
      <c r="L900" s="59" t="n"/>
      <c r="M900" s="59" t="n"/>
      <c r="N900" s="59" t="n"/>
      <c r="O900" s="297" t="n"/>
      <c r="P900" s="297" t="n"/>
      <c r="Q900" s="297" t="n"/>
      <c r="R900" s="297" t="n"/>
      <c r="S900" s="297" t="n"/>
      <c r="T900" s="297" t="n"/>
      <c r="U900" s="297" t="n"/>
    </row>
    <row r="901">
      <c r="A901" s="174" t="n"/>
      <c r="B901" s="299" t="n"/>
      <c r="C901" s="107">
        <f>IF(B901="", "", VLOOKUP(B901, 'CLIENT DATA'!A:S, 19, FALSE))</f>
        <v/>
      </c>
      <c r="D901" s="107">
        <f t="array" ref="D901">IF(B901="", "", _xlfn.TEXTJOIN(", ", TRUE, IF('CLIENT DATA'!$A$2:$A$205=B901, 'CLIENT DATA'!$C$2:$F$205, "")))</f>
        <v/>
      </c>
      <c r="E901" s="52" t="n"/>
      <c r="F901" s="52" t="n"/>
      <c r="G901" s="52" t="n"/>
      <c r="H901" s="52" t="n"/>
      <c r="I901" s="52" t="n"/>
      <c r="J901" s="59" t="n"/>
      <c r="K901" s="59" t="n"/>
      <c r="L901" s="59" t="n"/>
      <c r="M901" s="59" t="n"/>
      <c r="N901" s="59" t="n"/>
      <c r="O901" s="297" t="n"/>
      <c r="P901" s="297" t="n"/>
      <c r="Q901" s="297" t="n"/>
      <c r="R901" s="297" t="n"/>
      <c r="S901" s="297" t="n"/>
      <c r="T901" s="297" t="n"/>
      <c r="U901" s="297" t="n"/>
    </row>
    <row r="902">
      <c r="A902" s="174" t="n"/>
      <c r="B902" s="299" t="n"/>
      <c r="C902" s="107">
        <f>IF(B902="", "", VLOOKUP(B902, 'CLIENT DATA'!A:S, 19, FALSE))</f>
        <v/>
      </c>
      <c r="D902" s="107">
        <f t="array" ref="D902">IF(B902="", "", _xlfn.TEXTJOIN(", ", TRUE, IF('CLIENT DATA'!$A$2:$A$205=B902, 'CLIENT DATA'!$C$2:$F$205, "")))</f>
        <v/>
      </c>
      <c r="E902" s="52" t="n"/>
      <c r="F902" s="52" t="n"/>
      <c r="G902" s="52" t="n"/>
      <c r="H902" s="52" t="n"/>
      <c r="I902" s="52" t="n"/>
      <c r="J902" s="59" t="n"/>
      <c r="K902" s="59" t="n"/>
      <c r="L902" s="59" t="n"/>
      <c r="M902" s="59" t="n"/>
      <c r="N902" s="59" t="n"/>
      <c r="O902" s="297" t="n"/>
      <c r="P902" s="297" t="n"/>
      <c r="Q902" s="297" t="n"/>
      <c r="R902" s="297" t="n"/>
      <c r="S902" s="297" t="n"/>
      <c r="T902" s="297" t="n"/>
      <c r="U902" s="297" t="n"/>
    </row>
    <row r="903">
      <c r="A903" s="174" t="n"/>
      <c r="B903" s="299" t="n"/>
      <c r="C903" s="107">
        <f>IF(B903="", "", VLOOKUP(B903, 'CLIENT DATA'!A:S, 19, FALSE))</f>
        <v/>
      </c>
      <c r="D903" s="107">
        <f t="array" ref="D903">IF(B903="", "", _xlfn.TEXTJOIN(", ", TRUE, IF('CLIENT DATA'!$A$2:$A$205=B903, 'CLIENT DATA'!$C$2:$F$205, "")))</f>
        <v/>
      </c>
      <c r="E903" s="52" t="n"/>
      <c r="F903" s="52" t="n"/>
      <c r="G903" s="52" t="n"/>
      <c r="H903" s="52" t="n"/>
      <c r="I903" s="52" t="n"/>
      <c r="J903" s="59" t="n"/>
      <c r="K903" s="59" t="n"/>
      <c r="L903" s="59" t="n"/>
      <c r="M903" s="59" t="n"/>
      <c r="N903" s="59" t="n"/>
      <c r="O903" s="297" t="n"/>
      <c r="P903" s="297" t="n"/>
      <c r="Q903" s="297" t="n"/>
      <c r="R903" s="297" t="n"/>
      <c r="S903" s="297" t="n"/>
      <c r="T903" s="297" t="n"/>
      <c r="U903" s="297" t="n"/>
    </row>
    <row r="904">
      <c r="A904" s="174" t="n"/>
      <c r="B904" s="299" t="n"/>
      <c r="C904" s="107">
        <f>IF(B904="", "", VLOOKUP(B904, 'CLIENT DATA'!A:S, 19, FALSE))</f>
        <v/>
      </c>
      <c r="D904" s="107">
        <f t="array" ref="D904">IF(B904="", "", _xlfn.TEXTJOIN(", ", TRUE, IF('CLIENT DATA'!$A$2:$A$205=B904, 'CLIENT DATA'!$C$2:$F$205, "")))</f>
        <v/>
      </c>
      <c r="E904" s="52" t="n"/>
      <c r="F904" s="52" t="n"/>
      <c r="G904" s="52" t="n"/>
      <c r="H904" s="52" t="n"/>
      <c r="I904" s="52" t="n"/>
      <c r="J904" s="59" t="n"/>
      <c r="K904" s="59" t="n"/>
      <c r="L904" s="59" t="n"/>
      <c r="M904" s="59" t="n"/>
      <c r="N904" s="59" t="n"/>
      <c r="O904" s="297" t="n"/>
      <c r="P904" s="297" t="n"/>
      <c r="Q904" s="297" t="n"/>
      <c r="R904" s="297" t="n"/>
      <c r="S904" s="297" t="n"/>
      <c r="T904" s="297" t="n"/>
      <c r="U904" s="297" t="n"/>
    </row>
    <row r="905">
      <c r="A905" s="174" t="n"/>
      <c r="B905" s="299" t="n"/>
      <c r="C905" s="107">
        <f>IF(B905="", "", VLOOKUP(B905, 'CLIENT DATA'!A:S, 19, FALSE))</f>
        <v/>
      </c>
      <c r="D905" s="107">
        <f t="array" ref="D905">IF(B905="", "", _xlfn.TEXTJOIN(", ", TRUE, IF('CLIENT DATA'!$A$2:$A$205=B905, 'CLIENT DATA'!$C$2:$F$205, "")))</f>
        <v/>
      </c>
      <c r="E905" s="52" t="n"/>
      <c r="F905" s="52" t="n"/>
      <c r="G905" s="52" t="n"/>
      <c r="H905" s="52" t="n"/>
      <c r="I905" s="52" t="n"/>
      <c r="J905" s="59" t="n"/>
      <c r="K905" s="59" t="n"/>
      <c r="L905" s="59" t="n"/>
      <c r="M905" s="59" t="n"/>
      <c r="N905" s="59" t="n"/>
      <c r="O905" s="297" t="n"/>
      <c r="P905" s="297" t="n"/>
      <c r="Q905" s="297" t="n"/>
      <c r="R905" s="297" t="n"/>
      <c r="S905" s="297" t="n"/>
      <c r="T905" s="297" t="n"/>
      <c r="U905" s="297" t="n"/>
    </row>
    <row r="906">
      <c r="A906" s="174" t="n"/>
      <c r="B906" s="299" t="n"/>
      <c r="C906" s="107">
        <f>IF(B906="", "", VLOOKUP(B906, 'CLIENT DATA'!A:S, 19, FALSE))</f>
        <v/>
      </c>
      <c r="D906" s="107">
        <f t="array" ref="D906">IF(B906="", "", _xlfn.TEXTJOIN(", ", TRUE, IF('CLIENT DATA'!$A$2:$A$205=B906, 'CLIENT DATA'!$C$2:$F$205, "")))</f>
        <v/>
      </c>
      <c r="E906" s="52" t="n"/>
      <c r="F906" s="52" t="n"/>
      <c r="G906" s="52" t="n"/>
      <c r="H906" s="52" t="n"/>
      <c r="I906" s="52" t="n"/>
      <c r="J906" s="59" t="n"/>
      <c r="K906" s="59" t="n"/>
      <c r="L906" s="59" t="n"/>
      <c r="M906" s="59" t="n"/>
      <c r="N906" s="59" t="n"/>
      <c r="O906" s="297" t="n"/>
      <c r="P906" s="297" t="n"/>
      <c r="Q906" s="297" t="n"/>
      <c r="R906" s="297" t="n"/>
      <c r="S906" s="297" t="n"/>
      <c r="T906" s="297" t="n"/>
      <c r="U906" s="297" t="n"/>
    </row>
    <row r="907">
      <c r="A907" s="174" t="n"/>
      <c r="B907" s="299" t="n"/>
      <c r="C907" s="107">
        <f>IF(B907="", "", VLOOKUP(B907, 'CLIENT DATA'!A:S, 19, FALSE))</f>
        <v/>
      </c>
      <c r="D907" s="107">
        <f t="array" ref="D907">IF(B907="", "", _xlfn.TEXTJOIN(", ", TRUE, IF('CLIENT DATA'!$A$2:$A$205=B907, 'CLIENT DATA'!$C$2:$F$205, "")))</f>
        <v/>
      </c>
      <c r="E907" s="52" t="n"/>
      <c r="F907" s="52" t="n"/>
      <c r="G907" s="52" t="n"/>
      <c r="H907" s="52" t="n"/>
      <c r="I907" s="52" t="n"/>
      <c r="J907" s="59" t="n"/>
      <c r="K907" s="59" t="n"/>
      <c r="L907" s="59" t="n"/>
      <c r="M907" s="59" t="n"/>
      <c r="N907" s="59" t="n"/>
      <c r="O907" s="297" t="n"/>
      <c r="P907" s="297" t="n"/>
      <c r="Q907" s="297" t="n"/>
      <c r="R907" s="297" t="n"/>
      <c r="S907" s="297" t="n"/>
      <c r="T907" s="297" t="n"/>
      <c r="U907" s="297" t="n"/>
    </row>
    <row r="908">
      <c r="A908" s="174" t="n"/>
      <c r="B908" s="299" t="n"/>
      <c r="C908" s="107">
        <f>IF(B908="", "", VLOOKUP(B908, 'CLIENT DATA'!A:S, 19, FALSE))</f>
        <v/>
      </c>
      <c r="D908" s="107">
        <f t="array" ref="D908">IF(B908="", "", _xlfn.TEXTJOIN(", ", TRUE, IF('CLIENT DATA'!$A$2:$A$205=B908, 'CLIENT DATA'!$C$2:$F$205, "")))</f>
        <v/>
      </c>
      <c r="E908" s="52" t="n"/>
      <c r="F908" s="52" t="n"/>
      <c r="G908" s="52" t="n"/>
      <c r="H908" s="52" t="n"/>
      <c r="I908" s="52" t="n"/>
      <c r="J908" s="59" t="n"/>
      <c r="K908" s="59" t="n"/>
      <c r="L908" s="59" t="n"/>
      <c r="M908" s="59" t="n"/>
      <c r="N908" s="59" t="n"/>
      <c r="O908" s="297" t="n"/>
      <c r="P908" s="297" t="n"/>
      <c r="Q908" s="297" t="n"/>
      <c r="R908" s="297" t="n"/>
      <c r="S908" s="297" t="n"/>
      <c r="T908" s="297" t="n"/>
      <c r="U908" s="297" t="n"/>
    </row>
    <row r="909">
      <c r="A909" s="174" t="n"/>
      <c r="B909" s="300" t="n"/>
      <c r="C909" s="182">
        <f>IF(B909="", "", VLOOKUP(B909, 'CLIENT DATA'!A:S, 19, FALSE))</f>
        <v/>
      </c>
      <c r="D909" s="182">
        <f t="array" ref="D909">IF(B909="", "", _xlfn.TEXTJOIN(", ", TRUE, IF('CLIENT DATA'!$A$2:$A$205=B909, 'CLIENT DATA'!$C$2:$F$205, "")))</f>
        <v/>
      </c>
      <c r="E909" s="183" t="n"/>
      <c r="F909" s="183" t="n"/>
      <c r="G909" s="183" t="n"/>
      <c r="H909" s="183" t="n"/>
      <c r="I909" s="183" t="n"/>
      <c r="J909" s="184" t="n"/>
      <c r="K909" s="184" t="n"/>
      <c r="L909" s="184" t="n"/>
      <c r="M909" s="184" t="n"/>
      <c r="N909" s="184" t="n"/>
      <c r="O909" s="301" t="n"/>
      <c r="P909" s="301" t="n"/>
      <c r="Q909" s="301" t="n"/>
      <c r="R909" s="301" t="n"/>
      <c r="S909" s="301" t="n"/>
      <c r="T909" s="301" t="n"/>
      <c r="U909" s="301" t="n"/>
    </row>
    <row r="910">
      <c r="A910" s="195" t="n"/>
      <c r="B910" s="188" t="n"/>
      <c r="C910" s="107">
        <f>IF(B910="", "", VLOOKUP(B910, 'CLIENT DATA'!A:S, 19, FALSE))</f>
        <v/>
      </c>
      <c r="D910" s="107">
        <f t="array" ref="D910">IF(B910="", "", _xlfn.TEXTJOIN(", ", TRUE, IF('CLIENT DATA'!$A$2:$A$205=B910, 'CLIENT DATA'!$C$2:$F$205, "")))</f>
        <v/>
      </c>
      <c r="E910" s="52" t="n"/>
      <c r="F910" s="52" t="n"/>
      <c r="G910" s="52" t="n"/>
      <c r="H910" s="52" t="n"/>
      <c r="I910" s="52" t="n"/>
      <c r="J910" s="59" t="n"/>
      <c r="K910" s="59" t="n"/>
      <c r="L910" s="59" t="n"/>
      <c r="M910" s="59" t="n"/>
      <c r="N910" s="59" t="n"/>
      <c r="O910" s="297" t="n"/>
      <c r="P910" s="297" t="n"/>
      <c r="Q910" s="297" t="n"/>
      <c r="R910" s="297" t="n"/>
      <c r="S910" s="297" t="n"/>
      <c r="T910" s="297" t="n"/>
      <c r="U910" s="297" t="n"/>
    </row>
    <row r="911">
      <c r="A911" s="195" t="n"/>
      <c r="B911" s="188" t="n"/>
      <c r="C911" s="107">
        <f>IF(B911="", "", VLOOKUP(B911, 'CLIENT DATA'!A:S, 19, FALSE))</f>
        <v/>
      </c>
      <c r="D911" s="107">
        <f t="array" ref="D911">IF(B911="", "", _xlfn.TEXTJOIN(", ", TRUE, IF('CLIENT DATA'!$A$2:$A$205=B911, 'CLIENT DATA'!$C$2:$F$205, "")))</f>
        <v/>
      </c>
      <c r="E911" s="52" t="n"/>
      <c r="F911" s="52" t="n"/>
      <c r="G911" s="52" t="n"/>
      <c r="H911" s="52" t="n"/>
      <c r="I911" s="52" t="n"/>
      <c r="J911" s="59" t="n"/>
      <c r="K911" s="59" t="n"/>
      <c r="L911" s="59" t="n"/>
      <c r="M911" s="59" t="n"/>
      <c r="N911" s="59" t="n"/>
      <c r="O911" s="297" t="n"/>
      <c r="P911" s="297" t="n"/>
      <c r="Q911" s="297" t="n"/>
      <c r="R911" s="297" t="n"/>
      <c r="S911" s="297" t="n"/>
      <c r="T911" s="297" t="n"/>
      <c r="U911" s="297" t="n"/>
    </row>
    <row r="912">
      <c r="A912" s="195" t="n"/>
      <c r="B912" s="188" t="n"/>
      <c r="C912" s="107">
        <f>IF(B912="", "", VLOOKUP(B912, 'CLIENT DATA'!A:S, 19, FALSE))</f>
        <v/>
      </c>
      <c r="D912" s="107">
        <f t="array" ref="D912">IF(B912="", "", _xlfn.TEXTJOIN(", ", TRUE, IF('CLIENT DATA'!$A$2:$A$205=B912, 'CLIENT DATA'!$C$2:$F$205, "")))</f>
        <v/>
      </c>
      <c r="E912" s="52" t="n"/>
      <c r="F912" s="52" t="n"/>
      <c r="G912" s="52" t="n"/>
      <c r="H912" s="52" t="n"/>
      <c r="I912" s="52" t="n"/>
      <c r="J912" s="59" t="n"/>
      <c r="K912" s="59" t="n"/>
      <c r="L912" s="59" t="n"/>
      <c r="M912" s="59" t="n"/>
      <c r="N912" s="59" t="n"/>
      <c r="O912" s="297" t="n"/>
      <c r="P912" s="297" t="n"/>
      <c r="Q912" s="297" t="n"/>
      <c r="R912" s="297" t="n"/>
      <c r="S912" s="297" t="n"/>
      <c r="T912" s="297" t="n"/>
      <c r="U912" s="297" t="n"/>
    </row>
    <row r="913">
      <c r="A913" s="195" t="n"/>
      <c r="B913" s="188" t="n"/>
      <c r="C913" s="107">
        <f>IF(B913="", "", VLOOKUP(B913, 'CLIENT DATA'!A:S, 19, FALSE))</f>
        <v/>
      </c>
      <c r="D913" s="107">
        <f t="array" ref="D913">IF(B913="", "", _xlfn.TEXTJOIN(", ", TRUE, IF('CLIENT DATA'!$A$2:$A$205=B913, 'CLIENT DATA'!$C$2:$F$205, "")))</f>
        <v/>
      </c>
      <c r="E913" s="52" t="n"/>
      <c r="F913" s="52" t="n"/>
      <c r="G913" s="52" t="n"/>
      <c r="H913" s="52" t="n"/>
      <c r="I913" s="52" t="n"/>
      <c r="J913" s="59" t="n"/>
      <c r="K913" s="59" t="n"/>
      <c r="L913" s="59" t="n"/>
      <c r="M913" s="59" t="n"/>
      <c r="N913" s="59" t="n"/>
      <c r="O913" s="297" t="n"/>
      <c r="P913" s="297" t="n"/>
      <c r="Q913" s="297" t="n"/>
      <c r="R913" s="297" t="n"/>
      <c r="S913" s="297" t="n"/>
      <c r="T913" s="297" t="n"/>
      <c r="U913" s="297" t="n"/>
    </row>
    <row r="914">
      <c r="A914" s="195" t="n"/>
      <c r="B914" s="188" t="n"/>
      <c r="C914" s="107">
        <f>IF(B914="", "", VLOOKUP(B914, 'CLIENT DATA'!A:S, 19, FALSE))</f>
        <v/>
      </c>
      <c r="D914" s="107">
        <f t="array" ref="D914">IF(B914="", "", _xlfn.TEXTJOIN(", ", TRUE, IF('CLIENT DATA'!$A$2:$A$205=B914, 'CLIENT DATA'!$C$2:$F$205, "")))</f>
        <v/>
      </c>
      <c r="E914" s="52" t="n"/>
      <c r="F914" s="52" t="n"/>
      <c r="G914" s="52" t="n"/>
      <c r="H914" s="52" t="n"/>
      <c r="I914" s="52" t="n"/>
      <c r="J914" s="59" t="n"/>
      <c r="K914" s="59" t="n"/>
      <c r="L914" s="59" t="n"/>
      <c r="M914" s="59" t="n"/>
      <c r="N914" s="59" t="n"/>
      <c r="O914" s="297" t="n"/>
      <c r="P914" s="297" t="n"/>
      <c r="Q914" s="297" t="n"/>
      <c r="R914" s="297" t="n"/>
      <c r="S914" s="297" t="n"/>
      <c r="T914" s="297" t="n"/>
      <c r="U914" s="297" t="n"/>
    </row>
    <row r="915">
      <c r="A915" s="195" t="n"/>
      <c r="B915" s="188" t="n"/>
      <c r="C915" s="107">
        <f>IF(B915="", "", VLOOKUP(B915, 'CLIENT DATA'!A:S, 19, FALSE))</f>
        <v/>
      </c>
      <c r="D915" s="107">
        <f t="array" ref="D915">IF(B915="", "", _xlfn.TEXTJOIN(", ", TRUE, IF('CLIENT DATA'!$A$2:$A$205=B915, 'CLIENT DATA'!$C$2:$F$205, "")))</f>
        <v/>
      </c>
      <c r="E915" s="52" t="n"/>
      <c r="F915" s="52" t="n"/>
      <c r="G915" s="52" t="n"/>
      <c r="H915" s="52" t="n"/>
      <c r="I915" s="52" t="n"/>
      <c r="J915" s="59" t="n"/>
      <c r="K915" s="59" t="n"/>
      <c r="L915" s="59" t="n"/>
      <c r="M915" s="59" t="n"/>
      <c r="N915" s="59" t="n"/>
      <c r="O915" s="297" t="n"/>
      <c r="P915" s="297" t="n"/>
      <c r="Q915" s="297" t="n"/>
      <c r="R915" s="297" t="n"/>
      <c r="S915" s="297" t="n"/>
      <c r="T915" s="297" t="n"/>
      <c r="U915" s="297" t="n"/>
    </row>
    <row r="916">
      <c r="A916" s="195" t="n"/>
      <c r="B916" s="188" t="n"/>
      <c r="C916" s="107">
        <f>IF(B916="", "", VLOOKUP(B916, 'CLIENT DATA'!A:S, 19, FALSE))</f>
        <v/>
      </c>
      <c r="D916" s="107">
        <f t="array" ref="D916">IF(B916="", "", _xlfn.TEXTJOIN(", ", TRUE, IF('CLIENT DATA'!$A$2:$A$205=B916, 'CLIENT DATA'!$C$2:$F$205, "")))</f>
        <v/>
      </c>
      <c r="E916" s="52" t="n"/>
      <c r="F916" s="52" t="n"/>
      <c r="G916" s="52" t="n"/>
      <c r="H916" s="52" t="n"/>
      <c r="I916" s="52" t="n"/>
      <c r="J916" s="59" t="n"/>
      <c r="K916" s="59" t="n"/>
      <c r="L916" s="59" t="n"/>
      <c r="M916" s="59" t="n"/>
      <c r="N916" s="59" t="n"/>
      <c r="O916" s="297" t="n"/>
      <c r="P916" s="297" t="n"/>
      <c r="Q916" s="297" t="n"/>
      <c r="R916" s="297" t="n"/>
      <c r="S916" s="297" t="n"/>
      <c r="T916" s="297" t="n"/>
      <c r="U916" s="297" t="n"/>
    </row>
    <row r="917">
      <c r="A917" s="195" t="n"/>
      <c r="B917" s="188" t="n"/>
      <c r="C917" s="107">
        <f>IF(B917="", "", VLOOKUP(B917, 'CLIENT DATA'!A:S, 19, FALSE))</f>
        <v/>
      </c>
      <c r="D917" s="107">
        <f t="array" ref="D917">IF(B917="", "", _xlfn.TEXTJOIN(", ", TRUE, IF('CLIENT DATA'!$A$2:$A$205=B917, 'CLIENT DATA'!$C$2:$F$205, "")))</f>
        <v/>
      </c>
      <c r="E917" s="52" t="n"/>
      <c r="F917" s="52" t="n"/>
      <c r="G917" s="52" t="n"/>
      <c r="H917" s="52" t="n"/>
      <c r="I917" s="52" t="n"/>
      <c r="J917" s="59" t="n"/>
      <c r="K917" s="59" t="n"/>
      <c r="L917" s="59" t="n"/>
      <c r="M917" s="59" t="n"/>
      <c r="N917" s="59" t="n"/>
      <c r="O917" s="297" t="n"/>
      <c r="P917" s="297" t="n"/>
      <c r="Q917" s="297" t="n"/>
      <c r="R917" s="297" t="n"/>
      <c r="S917" s="297" t="n"/>
      <c r="T917" s="297" t="n"/>
      <c r="U917" s="297" t="n"/>
    </row>
    <row r="918">
      <c r="A918" s="195" t="n"/>
      <c r="B918" s="300" t="n"/>
      <c r="C918" s="107">
        <f>IF(B918="", "", VLOOKUP(B918, 'CLIENT DATA'!A:S, 19, FALSE))</f>
        <v/>
      </c>
      <c r="D918" s="107">
        <f t="array" ref="D918">IF(B918="", "", _xlfn.TEXTJOIN(", ", TRUE, IF('CLIENT DATA'!$A$2:$A$205=B918, 'CLIENT DATA'!$C$2:$F$205, "")))</f>
        <v/>
      </c>
      <c r="E918" s="52" t="n"/>
      <c r="F918" s="52" t="n"/>
      <c r="G918" s="52" t="n"/>
      <c r="H918" s="52" t="n"/>
      <c r="I918" s="52" t="n"/>
      <c r="J918" s="59" t="n"/>
      <c r="K918" s="59" t="n"/>
      <c r="L918" s="59" t="n"/>
      <c r="M918" s="59" t="n"/>
      <c r="N918" s="59" t="n"/>
      <c r="O918" s="297" t="n"/>
      <c r="P918" s="297" t="n"/>
      <c r="Q918" s="297" t="n"/>
      <c r="R918" s="297" t="n"/>
      <c r="S918" s="297" t="n"/>
      <c r="T918" s="297" t="n"/>
      <c r="U918" s="297" t="n"/>
    </row>
    <row r="919">
      <c r="A919" s="195" t="n"/>
      <c r="B919" s="300" t="n"/>
      <c r="C919" s="107">
        <f>IF(B919="", "", VLOOKUP(B919, 'CLIENT DATA'!A:S, 19, FALSE))</f>
        <v/>
      </c>
      <c r="D919" s="107">
        <f t="array" ref="D919">IF(B919="", "", _xlfn.TEXTJOIN(", ", TRUE, IF('CLIENT DATA'!$A$2:$A$205=B919, 'CLIENT DATA'!$C$2:$F$205, "")))</f>
        <v/>
      </c>
      <c r="E919" s="52" t="n"/>
      <c r="F919" s="52" t="n"/>
      <c r="G919" s="52" t="n"/>
      <c r="H919" s="52" t="n"/>
      <c r="I919" s="52" t="n"/>
      <c r="J919" s="59" t="n"/>
      <c r="K919" s="59" t="n"/>
      <c r="L919" s="59" t="n"/>
      <c r="M919" s="59" t="n"/>
      <c r="N919" s="59" t="n"/>
      <c r="O919" s="297" t="n"/>
      <c r="P919" s="297" t="n"/>
      <c r="Q919" s="297" t="n"/>
      <c r="R919" s="297" t="n"/>
      <c r="S919" s="297" t="n"/>
      <c r="T919" s="297" t="n"/>
      <c r="U919" s="297" t="n"/>
    </row>
    <row r="920">
      <c r="A920" s="195" t="n"/>
      <c r="B920" s="300" t="n"/>
      <c r="C920" s="107">
        <f>IF(B920="", "", VLOOKUP(B920, 'CLIENT DATA'!A:S, 19, FALSE))</f>
        <v/>
      </c>
      <c r="D920" s="107">
        <f t="array" ref="D920">IF(B920="", "", _xlfn.TEXTJOIN(", ", TRUE, IF('CLIENT DATA'!$A$2:$A$205=B920, 'CLIENT DATA'!$C$2:$F$205, "")))</f>
        <v/>
      </c>
      <c r="E920" s="52" t="n"/>
      <c r="F920" s="52" t="n"/>
      <c r="G920" s="52" t="n"/>
      <c r="H920" s="52" t="n"/>
      <c r="I920" s="52" t="n"/>
      <c r="J920" s="59" t="n"/>
      <c r="K920" s="59" t="n"/>
      <c r="L920" s="59" t="n"/>
      <c r="M920" s="59" t="n"/>
      <c r="N920" s="59" t="n"/>
      <c r="O920" s="297" t="n"/>
      <c r="P920" s="297" t="n"/>
      <c r="Q920" s="297" t="n"/>
      <c r="R920" s="297" t="n"/>
      <c r="S920" s="297" t="n"/>
      <c r="T920" s="297" t="n"/>
      <c r="U920" s="297" t="n"/>
    </row>
    <row r="921">
      <c r="A921" s="195" t="n"/>
      <c r="B921" s="300" t="n"/>
      <c r="C921" s="107">
        <f>IF(B921="", "", VLOOKUP(B921, 'CLIENT DATA'!A:S, 19, FALSE))</f>
        <v/>
      </c>
      <c r="D921" s="107">
        <f t="array" ref="D921">IF(B921="", "", _xlfn.TEXTJOIN(", ", TRUE, IF('CLIENT DATA'!$A$2:$A$205=B921, 'CLIENT DATA'!$C$2:$F$205, "")))</f>
        <v/>
      </c>
      <c r="E921" s="52" t="n"/>
      <c r="F921" s="52" t="n"/>
      <c r="G921" s="52" t="n"/>
      <c r="H921" s="52" t="n"/>
      <c r="I921" s="52" t="n"/>
      <c r="J921" s="59" t="n"/>
      <c r="K921" s="59" t="n"/>
      <c r="L921" s="59" t="n"/>
      <c r="M921" s="59" t="n"/>
      <c r="N921" s="59" t="n"/>
      <c r="O921" s="297" t="n"/>
      <c r="P921" s="297" t="n"/>
      <c r="Q921" s="297" t="n"/>
      <c r="R921" s="297" t="n"/>
      <c r="S921" s="297" t="n"/>
      <c r="T921" s="297" t="n"/>
      <c r="U921" s="297" t="n"/>
    </row>
    <row r="922">
      <c r="A922" s="195" t="n"/>
      <c r="B922" s="300" t="n"/>
      <c r="C922" s="107">
        <f>IF(B922="", "", VLOOKUP(B922, 'CLIENT DATA'!A:S, 19, FALSE))</f>
        <v/>
      </c>
      <c r="D922" s="107">
        <f t="array" ref="D922">IF(B922="", "", _xlfn.TEXTJOIN(", ", TRUE, IF('CLIENT DATA'!$A$2:$A$205=B922, 'CLIENT DATA'!$C$2:$F$205, "")))</f>
        <v/>
      </c>
      <c r="E922" s="52" t="n"/>
      <c r="F922" s="52" t="n"/>
      <c r="G922" s="52" t="n"/>
      <c r="H922" s="52" t="n"/>
      <c r="I922" s="52" t="n"/>
      <c r="J922" s="59" t="n"/>
      <c r="K922" s="59" t="n"/>
      <c r="L922" s="59" t="n"/>
      <c r="M922" s="59" t="n"/>
      <c r="N922" s="59" t="n"/>
      <c r="O922" s="297" t="n"/>
      <c r="P922" s="297" t="n"/>
      <c r="Q922" s="297" t="n"/>
      <c r="R922" s="297" t="n"/>
      <c r="S922" s="297" t="n"/>
      <c r="T922" s="297" t="n"/>
      <c r="U922" s="297" t="n"/>
    </row>
    <row r="923">
      <c r="A923" s="195" t="n"/>
      <c r="B923" s="300" t="n"/>
      <c r="C923" s="107">
        <f>IF(B923="", "", VLOOKUP(B923, 'CLIENT DATA'!A:S, 19, FALSE))</f>
        <v/>
      </c>
      <c r="D923" s="107">
        <f t="array" ref="D923">IF(B923="", "", _xlfn.TEXTJOIN(", ", TRUE, IF('CLIENT DATA'!$A$2:$A$205=B923, 'CLIENT DATA'!$C$2:$F$205, "")))</f>
        <v/>
      </c>
      <c r="E923" s="52" t="n"/>
      <c r="F923" s="52" t="n"/>
      <c r="G923" s="52" t="n"/>
      <c r="H923" s="52" t="n"/>
      <c r="I923" s="52" t="n"/>
      <c r="J923" s="59" t="n"/>
      <c r="K923" s="59" t="n"/>
      <c r="L923" s="59" t="n"/>
      <c r="M923" s="59" t="n"/>
      <c r="N923" s="59" t="n"/>
      <c r="O923" s="297" t="n"/>
      <c r="P923" s="297" t="n"/>
      <c r="Q923" s="297" t="n"/>
      <c r="R923" s="297" t="n"/>
      <c r="S923" s="297" t="n"/>
      <c r="T923" s="297" t="n"/>
      <c r="U923" s="297" t="n"/>
    </row>
    <row r="924">
      <c r="A924" s="195" t="n"/>
      <c r="B924" s="300" t="n"/>
      <c r="C924" s="107">
        <f>IF(B924="", "", VLOOKUP(B924, 'CLIENT DATA'!A:S, 19, FALSE))</f>
        <v/>
      </c>
      <c r="D924" s="107">
        <f t="array" ref="D924">IF(B924="", "", _xlfn.TEXTJOIN(", ", TRUE, IF('CLIENT DATA'!$A$2:$A$205=B924, 'CLIENT DATA'!$C$2:$F$205, "")))</f>
        <v/>
      </c>
      <c r="E924" s="52" t="n"/>
      <c r="F924" s="52" t="n"/>
      <c r="G924" s="52" t="n"/>
      <c r="H924" s="52" t="n"/>
      <c r="I924" s="52" t="n"/>
      <c r="J924" s="59" t="n"/>
      <c r="K924" s="59" t="n"/>
      <c r="L924" s="59" t="n"/>
      <c r="M924" s="59" t="n"/>
      <c r="N924" s="59" t="n"/>
      <c r="O924" s="297" t="n"/>
      <c r="P924" s="297" t="n"/>
      <c r="Q924" s="297" t="n"/>
      <c r="R924" s="297" t="n"/>
      <c r="S924" s="297" t="n"/>
      <c r="T924" s="297" t="n"/>
      <c r="U924" s="297" t="n"/>
    </row>
    <row r="925">
      <c r="A925" s="195" t="n"/>
      <c r="B925" s="300" t="n"/>
      <c r="C925" s="107">
        <f>IF(B925="", "", VLOOKUP(B925, 'CLIENT DATA'!A:S, 19, FALSE))</f>
        <v/>
      </c>
      <c r="D925" s="107">
        <f t="array" ref="D925">IF(B925="", "", _xlfn.TEXTJOIN(", ", TRUE, IF('CLIENT DATA'!$A$2:$A$205=B925, 'CLIENT DATA'!$C$2:$F$205, "")))</f>
        <v/>
      </c>
      <c r="E925" s="52" t="n"/>
      <c r="F925" s="52" t="n"/>
      <c r="G925" s="52" t="n"/>
      <c r="H925" s="52" t="n"/>
      <c r="I925" s="52" t="n"/>
      <c r="J925" s="59" t="n"/>
      <c r="K925" s="59" t="n"/>
      <c r="L925" s="59" t="n"/>
      <c r="M925" s="59" t="n"/>
      <c r="N925" s="59" t="n"/>
      <c r="O925" s="297" t="n"/>
      <c r="P925" s="297" t="n"/>
      <c r="Q925" s="297" t="n"/>
      <c r="R925" s="297" t="n"/>
      <c r="S925" s="297" t="n"/>
      <c r="T925" s="297" t="n"/>
      <c r="U925" s="297" t="n"/>
    </row>
    <row r="926">
      <c r="A926" s="195" t="n"/>
      <c r="B926" s="300" t="n"/>
      <c r="C926" s="107">
        <f>IF(B926="", "", VLOOKUP(B926, 'CLIENT DATA'!A:S, 19, FALSE))</f>
        <v/>
      </c>
      <c r="D926" s="107">
        <f t="array" ref="D926">IF(B926="", "", _xlfn.TEXTJOIN(", ", TRUE, IF('CLIENT DATA'!$A$2:$A$205=B926, 'CLIENT DATA'!$C$2:$F$205, "")))</f>
        <v/>
      </c>
      <c r="E926" s="52" t="n"/>
      <c r="F926" s="52" t="n"/>
      <c r="G926" s="52" t="n"/>
      <c r="H926" s="52" t="n"/>
      <c r="I926" s="52" t="n"/>
      <c r="J926" s="59" t="n"/>
      <c r="K926" s="59" t="n"/>
      <c r="L926" s="59" t="n"/>
      <c r="M926" s="59" t="n"/>
      <c r="N926" s="59" t="n"/>
      <c r="O926" s="297" t="n"/>
      <c r="P926" s="297" t="n"/>
      <c r="Q926" s="297" t="n"/>
      <c r="R926" s="297" t="n"/>
      <c r="S926" s="297" t="n"/>
      <c r="T926" s="297" t="n"/>
      <c r="U926" s="297" t="n"/>
    </row>
    <row r="927">
      <c r="A927" s="195" t="n"/>
      <c r="B927" s="300" t="n"/>
      <c r="C927" s="107">
        <f>IF(B927="", "", VLOOKUP(B927, 'CLIENT DATA'!A:S, 19, FALSE))</f>
        <v/>
      </c>
      <c r="D927" s="107">
        <f t="array" ref="D927">IF(B927="", "", _xlfn.TEXTJOIN(", ", TRUE, IF('CLIENT DATA'!$A$2:$A$205=B927, 'CLIENT DATA'!$C$2:$F$205, "")))</f>
        <v/>
      </c>
      <c r="E927" s="52" t="n"/>
      <c r="F927" s="52" t="n"/>
      <c r="G927" s="52" t="n"/>
      <c r="H927" s="52" t="n"/>
      <c r="I927" s="52" t="n"/>
      <c r="J927" s="59" t="n"/>
      <c r="K927" s="59" t="n"/>
      <c r="L927" s="59" t="n"/>
      <c r="M927" s="59" t="n"/>
      <c r="N927" s="59" t="n"/>
      <c r="O927" s="297" t="n"/>
      <c r="P927" s="297" t="n"/>
      <c r="Q927" s="297" t="n"/>
      <c r="R927" s="297" t="n"/>
      <c r="S927" s="297" t="n"/>
      <c r="T927" s="297" t="n"/>
      <c r="U927" s="297" t="n"/>
    </row>
    <row r="928">
      <c r="A928" s="195" t="n"/>
      <c r="B928" s="300" t="n"/>
      <c r="C928" s="107">
        <f>IF(B928="", "", VLOOKUP(B928, 'CLIENT DATA'!A:S, 19, FALSE))</f>
        <v/>
      </c>
      <c r="D928" s="107">
        <f t="array" ref="D928">IF(B928="", "", _xlfn.TEXTJOIN(", ", TRUE, IF('CLIENT DATA'!$A$2:$A$205=B928, 'CLIENT DATA'!$C$2:$F$205, "")))</f>
        <v/>
      </c>
      <c r="E928" s="52" t="n"/>
      <c r="F928" s="52" t="n"/>
      <c r="G928" s="52" t="n"/>
      <c r="H928" s="52" t="n"/>
      <c r="I928" s="52" t="n"/>
      <c r="J928" s="59" t="n"/>
      <c r="K928" s="59" t="n"/>
      <c r="L928" s="59" t="n"/>
      <c r="M928" s="59" t="n"/>
      <c r="N928" s="59" t="n"/>
      <c r="O928" s="297" t="n"/>
      <c r="P928" s="297" t="n"/>
      <c r="Q928" s="297" t="n"/>
      <c r="R928" s="297" t="n"/>
      <c r="S928" s="297" t="n"/>
      <c r="T928" s="297" t="n"/>
      <c r="U928" s="297" t="n"/>
    </row>
    <row r="929">
      <c r="A929" s="195" t="n"/>
      <c r="B929" s="300" t="n"/>
      <c r="C929" s="107">
        <f>IF(B929="", "", VLOOKUP(B929, 'CLIENT DATA'!A:S, 19, FALSE))</f>
        <v/>
      </c>
      <c r="D929" s="107">
        <f t="array" ref="D929">IF(B929="", "", _xlfn.TEXTJOIN(", ", TRUE, IF('CLIENT DATA'!$A$2:$A$205=B929, 'CLIENT DATA'!$C$2:$F$205, "")))</f>
        <v/>
      </c>
      <c r="E929" s="52" t="n"/>
      <c r="F929" s="52" t="n"/>
      <c r="G929" s="52" t="n"/>
      <c r="H929" s="52" t="n"/>
      <c r="I929" s="52" t="n"/>
      <c r="J929" s="59" t="n"/>
      <c r="K929" s="59" t="n"/>
      <c r="L929" s="59" t="n"/>
      <c r="M929" s="59" t="n"/>
      <c r="N929" s="59" t="n"/>
      <c r="O929" s="297" t="n"/>
      <c r="P929" s="297" t="n"/>
      <c r="Q929" s="297" t="n"/>
      <c r="R929" s="297" t="n"/>
      <c r="S929" s="297" t="n"/>
      <c r="T929" s="297" t="n"/>
      <c r="U929" s="297" t="n"/>
    </row>
    <row r="930">
      <c r="A930" s="196" t="n"/>
      <c r="B930" s="300" t="n"/>
      <c r="C930" s="182">
        <f>IF(B930="", "", VLOOKUP(B930, 'CLIENT DATA'!A:S, 19, FALSE))</f>
        <v/>
      </c>
      <c r="D930" s="182">
        <f t="array" ref="D930">IF(B930="", "", _xlfn.TEXTJOIN(", ", TRUE, IF('CLIENT DATA'!$A$2:$A$205=B930, 'CLIENT DATA'!$C$2:$F$205, "")))</f>
        <v/>
      </c>
      <c r="E930" s="183" t="n"/>
      <c r="F930" s="183" t="n"/>
      <c r="G930" s="183" t="n"/>
      <c r="H930" s="183" t="n"/>
      <c r="I930" s="183" t="n"/>
      <c r="J930" s="184" t="n"/>
      <c r="K930" s="184" t="n"/>
      <c r="L930" s="184" t="n"/>
      <c r="M930" s="184" t="n"/>
      <c r="N930" s="184" t="n"/>
      <c r="O930" s="301" t="n"/>
      <c r="P930" s="301" t="n"/>
      <c r="Q930" s="301" t="n"/>
      <c r="R930" s="301" t="n"/>
      <c r="S930" s="301" t="n"/>
      <c r="T930" s="301" t="n"/>
      <c r="U930" s="301" t="n"/>
    </row>
    <row r="931">
      <c r="A931" s="195" t="n"/>
      <c r="B931" s="188" t="n"/>
      <c r="C931" s="107">
        <f>IF(B931="", "", VLOOKUP(B931, 'CLIENT DATA'!A:S, 19, FALSE))</f>
        <v/>
      </c>
      <c r="D931" s="107">
        <f t="array" ref="D931">IF(B931="", "", _xlfn.TEXTJOIN(", ", TRUE, IF('CLIENT DATA'!$A$2:$A$205=B931, 'CLIENT DATA'!$C$2:$F$205, "")))</f>
        <v/>
      </c>
      <c r="E931" s="52" t="n"/>
      <c r="F931" s="52" t="n"/>
      <c r="G931" s="52" t="n"/>
      <c r="H931" s="52" t="n"/>
      <c r="I931" s="52" t="n"/>
      <c r="J931" s="59" t="n"/>
      <c r="K931" s="59" t="n"/>
      <c r="L931" s="59" t="n"/>
      <c r="M931" s="59" t="n"/>
      <c r="N931" s="59" t="n"/>
      <c r="O931" s="297" t="n"/>
      <c r="P931" s="297" t="n"/>
      <c r="Q931" s="297" t="n"/>
      <c r="R931" s="297" t="n"/>
      <c r="S931" s="297" t="n"/>
      <c r="T931" s="297" t="n"/>
      <c r="U931" s="297" t="n"/>
    </row>
    <row r="932">
      <c r="A932" s="195" t="n"/>
      <c r="B932" s="188" t="n"/>
      <c r="C932" s="107">
        <f>IF(B932="", "", VLOOKUP(B932, 'CLIENT DATA'!A:S, 19, FALSE))</f>
        <v/>
      </c>
      <c r="D932" s="107">
        <f t="array" ref="D932">IF(B932="", "", _xlfn.TEXTJOIN(", ", TRUE, IF('CLIENT DATA'!$A$2:$A$205=B932, 'CLIENT DATA'!$C$2:$F$205, "")))</f>
        <v/>
      </c>
      <c r="E932" s="52" t="n"/>
      <c r="F932" s="52" t="n"/>
      <c r="G932" s="52" t="n"/>
      <c r="H932" s="52" t="n"/>
      <c r="I932" s="52" t="n"/>
      <c r="J932" s="59" t="n"/>
      <c r="K932" s="59" t="n"/>
      <c r="L932" s="59" t="n"/>
      <c r="M932" s="59" t="n"/>
      <c r="N932" s="59" t="n"/>
      <c r="O932" s="297" t="n"/>
      <c r="P932" s="297" t="n"/>
      <c r="Q932" s="297" t="n"/>
      <c r="R932" s="297" t="n"/>
      <c r="S932" s="297" t="n"/>
      <c r="T932" s="297" t="n"/>
      <c r="U932" s="297" t="n"/>
    </row>
    <row r="933">
      <c r="A933" s="195" t="n"/>
      <c r="B933" s="188" t="n"/>
      <c r="C933" s="107">
        <f>IF(B933="", "", VLOOKUP(B933, 'CLIENT DATA'!A:S, 19, FALSE))</f>
        <v/>
      </c>
      <c r="D933" s="107">
        <f t="array" ref="D933">IF(B933="", "", _xlfn.TEXTJOIN(", ", TRUE, IF('CLIENT DATA'!$A$2:$A$205=B933, 'CLIENT DATA'!$C$2:$F$205, "")))</f>
        <v/>
      </c>
      <c r="E933" s="52" t="n"/>
      <c r="F933" s="52" t="n"/>
      <c r="G933" s="52" t="n"/>
      <c r="H933" s="52" t="n"/>
      <c r="I933" s="52" t="n"/>
      <c r="J933" s="59" t="n"/>
      <c r="K933" s="59" t="n"/>
      <c r="L933" s="59" t="n"/>
      <c r="M933" s="59" t="n"/>
      <c r="N933" s="59" t="n"/>
      <c r="O933" s="297" t="n"/>
      <c r="P933" s="297" t="n"/>
      <c r="Q933" s="297" t="n"/>
      <c r="R933" s="297" t="n"/>
      <c r="S933" s="297" t="n"/>
      <c r="T933" s="297" t="n"/>
      <c r="U933" s="297" t="n"/>
    </row>
    <row r="934">
      <c r="A934" s="195" t="n"/>
      <c r="B934" s="188" t="n"/>
      <c r="C934" s="107">
        <f>IF(B934="", "", VLOOKUP(B934, 'CLIENT DATA'!A:S, 19, FALSE))</f>
        <v/>
      </c>
      <c r="D934" s="107">
        <f t="array" ref="D934">IF(B934="", "", _xlfn.TEXTJOIN(", ", TRUE, IF('CLIENT DATA'!$A$2:$A$205=B934, 'CLIENT DATA'!$C$2:$F$205, "")))</f>
        <v/>
      </c>
      <c r="E934" s="52" t="n"/>
      <c r="F934" s="52" t="n"/>
      <c r="G934" s="52" t="n"/>
      <c r="H934" s="52" t="n"/>
      <c r="I934" s="52" t="n"/>
      <c r="J934" s="59" t="n"/>
      <c r="K934" s="59" t="n"/>
      <c r="L934" s="59" t="n"/>
      <c r="M934" s="59" t="n"/>
      <c r="N934" s="59" t="n"/>
      <c r="O934" s="297" t="n"/>
      <c r="P934" s="297" t="n"/>
      <c r="Q934" s="297" t="n"/>
      <c r="R934" s="297" t="n"/>
      <c r="S934" s="297" t="n"/>
      <c r="T934" s="297" t="n"/>
      <c r="U934" s="297" t="n"/>
    </row>
    <row r="935">
      <c r="A935" s="195" t="n"/>
      <c r="B935" s="188" t="n"/>
      <c r="C935" s="107">
        <f>IF(B935="", "", VLOOKUP(B935, 'CLIENT DATA'!A:S, 19, FALSE))</f>
        <v/>
      </c>
      <c r="D935" s="107">
        <f t="array" ref="D935">IF(B935="", "", _xlfn.TEXTJOIN(", ", TRUE, IF('CLIENT DATA'!$A$2:$A$205=B935, 'CLIENT DATA'!$C$2:$F$205, "")))</f>
        <v/>
      </c>
      <c r="E935" s="52" t="n"/>
      <c r="F935" s="52" t="n"/>
      <c r="G935" s="52" t="n"/>
      <c r="H935" s="52" t="n"/>
      <c r="I935" s="52" t="n"/>
      <c r="J935" s="59" t="n"/>
      <c r="K935" s="59" t="n"/>
      <c r="L935" s="59" t="n"/>
      <c r="M935" s="59" t="n"/>
      <c r="N935" s="59" t="n"/>
      <c r="O935" s="297" t="n"/>
      <c r="P935" s="297" t="n"/>
      <c r="Q935" s="297" t="n"/>
      <c r="R935" s="297" t="n"/>
      <c r="S935" s="297" t="n"/>
      <c r="T935" s="297" t="n"/>
      <c r="U935" s="297" t="n"/>
    </row>
    <row r="936">
      <c r="A936" s="195" t="n"/>
      <c r="B936" s="188" t="n"/>
      <c r="C936" s="107">
        <f>IF(B936="", "", VLOOKUP(B936, 'CLIENT DATA'!A:S, 19, FALSE))</f>
        <v/>
      </c>
      <c r="D936" s="107">
        <f t="array" ref="D936">IF(B936="", "", _xlfn.TEXTJOIN(", ", TRUE, IF('CLIENT DATA'!$A$2:$A$205=B936, 'CLIENT DATA'!$C$2:$F$205, "")))</f>
        <v/>
      </c>
      <c r="E936" s="52" t="n"/>
      <c r="F936" s="52" t="n"/>
      <c r="G936" s="52" t="n"/>
      <c r="H936" s="52" t="n"/>
      <c r="I936" s="52" t="n"/>
      <c r="J936" s="59" t="n"/>
      <c r="K936" s="59" t="n"/>
      <c r="L936" s="59" t="n"/>
      <c r="M936" s="59" t="n"/>
      <c r="N936" s="59" t="n"/>
      <c r="O936" s="297" t="n"/>
      <c r="P936" s="297" t="n"/>
      <c r="Q936" s="297" t="n"/>
      <c r="R936" s="297" t="n"/>
      <c r="S936" s="297" t="n"/>
      <c r="T936" s="297" t="n"/>
      <c r="U936" s="297" t="n"/>
    </row>
    <row r="937">
      <c r="A937" s="195" t="n"/>
      <c r="B937" s="188" t="n"/>
      <c r="C937" s="107">
        <f>IF(B937="", "", VLOOKUP(B937, 'CLIENT DATA'!A:S, 19, FALSE))</f>
        <v/>
      </c>
      <c r="D937" s="107">
        <f t="array" ref="D937">IF(B937="", "", _xlfn.TEXTJOIN(", ", TRUE, IF('CLIENT DATA'!$A$2:$A$205=B937, 'CLIENT DATA'!$C$2:$F$205, "")))</f>
        <v/>
      </c>
      <c r="E937" s="52" t="n"/>
      <c r="F937" s="52" t="n"/>
      <c r="G937" s="52" t="n"/>
      <c r="H937" s="52" t="n"/>
      <c r="I937" s="52" t="n"/>
      <c r="J937" s="59" t="n"/>
      <c r="K937" s="59" t="n"/>
      <c r="L937" s="59" t="n"/>
      <c r="M937" s="59" t="n"/>
      <c r="N937" s="59" t="n"/>
      <c r="O937" s="297" t="n"/>
      <c r="P937" s="297" t="n"/>
      <c r="Q937" s="297" t="n"/>
      <c r="R937" s="297" t="n"/>
      <c r="S937" s="297" t="n"/>
      <c r="T937" s="297" t="n"/>
      <c r="U937" s="297" t="n"/>
    </row>
    <row r="938">
      <c r="A938" s="195" t="n"/>
      <c r="B938" s="188" t="n"/>
      <c r="C938" s="107">
        <f>IF(B938="", "", VLOOKUP(B938, 'CLIENT DATA'!A:S, 19, FALSE))</f>
        <v/>
      </c>
      <c r="D938" s="107">
        <f t="array" ref="D938">IF(B938="", "", _xlfn.TEXTJOIN(", ", TRUE, IF('CLIENT DATA'!$A$2:$A$205=B938, 'CLIENT DATA'!$C$2:$F$205, "")))</f>
        <v/>
      </c>
      <c r="E938" s="52" t="n"/>
      <c r="F938" s="52" t="n"/>
      <c r="G938" s="52" t="n"/>
      <c r="H938" s="52" t="n"/>
      <c r="I938" s="52" t="n"/>
      <c r="J938" s="59" t="n"/>
      <c r="K938" s="59" t="n"/>
      <c r="L938" s="59" t="n"/>
      <c r="M938" s="59" t="n"/>
      <c r="N938" s="59" t="n"/>
      <c r="O938" s="297" t="n"/>
      <c r="P938" s="297" t="n"/>
      <c r="Q938" s="297" t="n"/>
      <c r="R938" s="297" t="n"/>
      <c r="S938" s="297" t="n"/>
      <c r="T938" s="297" t="n"/>
      <c r="U938" s="297" t="n"/>
    </row>
    <row r="939">
      <c r="A939" s="195" t="n"/>
      <c r="B939" s="300" t="n"/>
      <c r="C939" s="107">
        <f>IF(B939="", "", VLOOKUP(B939, 'CLIENT DATA'!A:S, 19, FALSE))</f>
        <v/>
      </c>
      <c r="D939" s="107">
        <f t="array" ref="D939">IF(B939="", "", _xlfn.TEXTJOIN(", ", TRUE, IF('CLIENT DATA'!$A$2:$A$205=B939, 'CLIENT DATA'!$C$2:$F$205, "")))</f>
        <v/>
      </c>
      <c r="E939" s="52" t="n"/>
      <c r="F939" s="52" t="n"/>
      <c r="G939" s="52" t="n"/>
      <c r="H939" s="52" t="n"/>
      <c r="I939" s="52" t="n"/>
      <c r="J939" s="59" t="n"/>
      <c r="K939" s="59" t="n"/>
      <c r="L939" s="59" t="n"/>
      <c r="M939" s="59" t="n"/>
      <c r="N939" s="59" t="n"/>
      <c r="O939" s="297" t="n"/>
      <c r="P939" s="297" t="n"/>
      <c r="Q939" s="297" t="n"/>
      <c r="R939" s="297" t="n"/>
      <c r="S939" s="297" t="n"/>
      <c r="T939" s="297" t="n"/>
      <c r="U939" s="297" t="n"/>
    </row>
    <row r="940">
      <c r="A940" s="195" t="n"/>
      <c r="B940" s="300" t="n"/>
      <c r="C940" s="107">
        <f>IF(B940="", "", VLOOKUP(B940, 'CLIENT DATA'!A:S, 19, FALSE))</f>
        <v/>
      </c>
      <c r="D940" s="107">
        <f t="array" ref="D940">IF(B940="", "", _xlfn.TEXTJOIN(", ", TRUE, IF('CLIENT DATA'!$A$2:$A$205=B940, 'CLIENT DATA'!$C$2:$F$205, "")))</f>
        <v/>
      </c>
      <c r="E940" s="52" t="n"/>
      <c r="F940" s="52" t="n"/>
      <c r="G940" s="52" t="n"/>
      <c r="H940" s="52" t="n"/>
      <c r="I940" s="52" t="n"/>
      <c r="J940" s="59" t="n"/>
      <c r="K940" s="59" t="n"/>
      <c r="L940" s="59" t="n"/>
      <c r="M940" s="59" t="n"/>
      <c r="N940" s="59" t="n"/>
      <c r="O940" s="297" t="n"/>
      <c r="P940" s="297" t="n"/>
      <c r="Q940" s="297" t="n"/>
      <c r="R940" s="297" t="n"/>
      <c r="S940" s="297" t="n"/>
      <c r="T940" s="297" t="n"/>
      <c r="U940" s="297" t="n"/>
    </row>
    <row r="941">
      <c r="A941" s="195" t="n"/>
      <c r="B941" s="300" t="n"/>
      <c r="C941" s="107">
        <f>IF(B941="", "", VLOOKUP(B941, 'CLIENT DATA'!A:S, 19, FALSE))</f>
        <v/>
      </c>
      <c r="D941" s="107">
        <f t="array" ref="D941">IF(B941="", "", _xlfn.TEXTJOIN(", ", TRUE, IF('CLIENT DATA'!$A$2:$A$205=B941, 'CLIENT DATA'!$C$2:$F$205, "")))</f>
        <v/>
      </c>
      <c r="E941" s="52" t="n"/>
      <c r="F941" s="52" t="n"/>
      <c r="G941" s="52" t="n"/>
      <c r="H941" s="52" t="n"/>
      <c r="I941" s="52" t="n"/>
      <c r="J941" s="59" t="n"/>
      <c r="K941" s="59" t="n"/>
      <c r="L941" s="59" t="n"/>
      <c r="M941" s="59" t="n"/>
      <c r="N941" s="59" t="n"/>
      <c r="O941" s="297" t="n"/>
      <c r="P941" s="297" t="n"/>
      <c r="Q941" s="297" t="n"/>
      <c r="R941" s="297" t="n"/>
      <c r="S941" s="297" t="n"/>
      <c r="T941" s="297" t="n"/>
      <c r="U941" s="297" t="n"/>
    </row>
    <row r="942">
      <c r="A942" s="195" t="n"/>
      <c r="B942" s="300" t="n"/>
      <c r="C942" s="107">
        <f>IF(B942="", "", VLOOKUP(B942, 'CLIENT DATA'!A:S, 19, FALSE))</f>
        <v/>
      </c>
      <c r="D942" s="107">
        <f t="array" ref="D942">IF(B942="", "", _xlfn.TEXTJOIN(", ", TRUE, IF('CLIENT DATA'!$A$2:$A$205=B942, 'CLIENT DATA'!$C$2:$F$205, "")))</f>
        <v/>
      </c>
      <c r="E942" s="52" t="n"/>
      <c r="F942" s="52" t="n"/>
      <c r="G942" s="52" t="n"/>
      <c r="H942" s="52" t="n"/>
      <c r="I942" s="52" t="n"/>
      <c r="J942" s="59" t="n"/>
      <c r="K942" s="59" t="n"/>
      <c r="L942" s="59" t="n"/>
      <c r="M942" s="59" t="n"/>
      <c r="N942" s="59" t="n"/>
      <c r="O942" s="297" t="n"/>
      <c r="P942" s="297" t="n"/>
      <c r="Q942" s="297" t="n"/>
      <c r="R942" s="297" t="n"/>
      <c r="S942" s="297" t="n"/>
      <c r="T942" s="297" t="n"/>
      <c r="U942" s="297" t="n"/>
    </row>
    <row r="943">
      <c r="A943" s="195" t="n"/>
      <c r="B943" s="300" t="n"/>
      <c r="C943" s="107">
        <f>IF(B943="", "", VLOOKUP(B943, 'CLIENT DATA'!A:S, 19, FALSE))</f>
        <v/>
      </c>
      <c r="D943" s="107">
        <f t="array" ref="D943">IF(B943="", "", _xlfn.TEXTJOIN(", ", TRUE, IF('CLIENT DATA'!$A$2:$A$205=B943, 'CLIENT DATA'!$C$2:$F$205, "")))</f>
        <v/>
      </c>
      <c r="E943" s="52" t="n"/>
      <c r="F943" s="52" t="n"/>
      <c r="G943" s="52" t="n"/>
      <c r="H943" s="52" t="n"/>
      <c r="I943" s="52" t="n"/>
      <c r="J943" s="59" t="n"/>
      <c r="K943" s="59" t="n"/>
      <c r="L943" s="59" t="n"/>
      <c r="M943" s="59" t="n"/>
      <c r="N943" s="59" t="n"/>
      <c r="O943" s="297" t="n"/>
      <c r="P943" s="297" t="n"/>
      <c r="Q943" s="297" t="n"/>
      <c r="R943" s="297" t="n"/>
      <c r="S943" s="297" t="n"/>
      <c r="T943" s="297" t="n"/>
      <c r="U943" s="297" t="n"/>
    </row>
    <row r="944">
      <c r="A944" s="195" t="n"/>
      <c r="B944" s="300" t="n"/>
      <c r="C944" s="107">
        <f>IF(B944="", "", VLOOKUP(B944, 'CLIENT DATA'!A:S, 19, FALSE))</f>
        <v/>
      </c>
      <c r="D944" s="107">
        <f t="array" ref="D944">IF(B944="", "", _xlfn.TEXTJOIN(", ", TRUE, IF('CLIENT DATA'!$A$2:$A$205=B944, 'CLIENT DATA'!$C$2:$F$205, "")))</f>
        <v/>
      </c>
      <c r="E944" s="52" t="n"/>
      <c r="F944" s="52" t="n"/>
      <c r="G944" s="52" t="n"/>
      <c r="H944" s="52" t="n"/>
      <c r="I944" s="52" t="n"/>
      <c r="J944" s="59" t="n"/>
      <c r="K944" s="59" t="n"/>
      <c r="L944" s="59" t="n"/>
      <c r="M944" s="59" t="n"/>
      <c r="N944" s="59" t="n"/>
      <c r="O944" s="297" t="n"/>
      <c r="P944" s="297" t="n"/>
      <c r="Q944" s="297" t="n"/>
      <c r="R944" s="297" t="n"/>
      <c r="S944" s="297" t="n"/>
      <c r="T944" s="297" t="n"/>
      <c r="U944" s="297" t="n"/>
    </row>
    <row r="945">
      <c r="A945" s="195" t="n"/>
      <c r="B945" s="300" t="n"/>
      <c r="C945" s="107">
        <f>IF(B945="", "", VLOOKUP(B945, 'CLIENT DATA'!A:S, 19, FALSE))</f>
        <v/>
      </c>
      <c r="D945" s="107">
        <f t="array" ref="D945">IF(B945="", "", _xlfn.TEXTJOIN(", ", TRUE, IF('CLIENT DATA'!$A$2:$A$205=B945, 'CLIENT DATA'!$C$2:$F$205, "")))</f>
        <v/>
      </c>
      <c r="E945" s="52" t="n"/>
      <c r="F945" s="52" t="n"/>
      <c r="G945" s="52" t="n"/>
      <c r="H945" s="52" t="n"/>
      <c r="I945" s="52" t="n"/>
      <c r="J945" s="59" t="n"/>
      <c r="K945" s="59" t="n"/>
      <c r="L945" s="59" t="n"/>
      <c r="M945" s="59" t="n"/>
      <c r="N945" s="59" t="n"/>
      <c r="O945" s="297" t="n"/>
      <c r="P945" s="297" t="n"/>
      <c r="Q945" s="297" t="n"/>
      <c r="R945" s="297" t="n"/>
      <c r="S945" s="297" t="n"/>
      <c r="T945" s="297" t="n"/>
      <c r="U945" s="297" t="n"/>
    </row>
    <row r="946">
      <c r="A946" s="195" t="n"/>
      <c r="B946" s="300" t="n"/>
      <c r="C946" s="107">
        <f>IF(B946="", "", VLOOKUP(B946, 'CLIENT DATA'!A:S, 19, FALSE))</f>
        <v/>
      </c>
      <c r="D946" s="107">
        <f t="array" ref="D946">IF(B946="", "", _xlfn.TEXTJOIN(", ", TRUE, IF('CLIENT DATA'!$A$2:$A$205=B946, 'CLIENT DATA'!$C$2:$F$205, "")))</f>
        <v/>
      </c>
      <c r="E946" s="52" t="n"/>
      <c r="F946" s="52" t="n"/>
      <c r="G946" s="52" t="n"/>
      <c r="H946" s="52" t="n"/>
      <c r="I946" s="52" t="n"/>
      <c r="J946" s="59" t="n"/>
      <c r="K946" s="59" t="n"/>
      <c r="L946" s="59" t="n"/>
      <c r="M946" s="59" t="n"/>
      <c r="N946" s="59" t="n"/>
      <c r="O946" s="297" t="n"/>
      <c r="P946" s="297" t="n"/>
      <c r="Q946" s="297" t="n"/>
      <c r="R946" s="297" t="n"/>
      <c r="S946" s="297" t="n"/>
      <c r="T946" s="297" t="n"/>
      <c r="U946" s="297" t="n"/>
    </row>
    <row r="947">
      <c r="A947" s="195" t="n"/>
      <c r="B947" s="300" t="n"/>
      <c r="C947" s="107">
        <f>IF(B947="", "", VLOOKUP(B947, 'CLIENT DATA'!A:S, 19, FALSE))</f>
        <v/>
      </c>
      <c r="D947" s="107">
        <f t="array" ref="D947">IF(B947="", "", _xlfn.TEXTJOIN(", ", TRUE, IF('CLIENT DATA'!$A$2:$A$205=B947, 'CLIENT DATA'!$C$2:$F$205, "")))</f>
        <v/>
      </c>
      <c r="E947" s="52" t="n"/>
      <c r="F947" s="52" t="n"/>
      <c r="G947" s="52" t="n"/>
      <c r="H947" s="52" t="n"/>
      <c r="I947" s="52" t="n"/>
      <c r="J947" s="59" t="n"/>
      <c r="K947" s="59" t="n"/>
      <c r="L947" s="59" t="n"/>
      <c r="M947" s="59" t="n"/>
      <c r="N947" s="59" t="n"/>
      <c r="O947" s="297" t="n"/>
      <c r="P947" s="297" t="n"/>
      <c r="Q947" s="297" t="n"/>
      <c r="R947" s="297" t="n"/>
      <c r="S947" s="297" t="n"/>
      <c r="T947" s="297" t="n"/>
      <c r="U947" s="297" t="n"/>
    </row>
    <row r="948">
      <c r="A948" s="195" t="n"/>
      <c r="B948" s="300" t="n"/>
      <c r="C948" s="107">
        <f>IF(B948="", "", VLOOKUP(B948, 'CLIENT DATA'!A:S, 19, FALSE))</f>
        <v/>
      </c>
      <c r="D948" s="107">
        <f t="array" ref="D948">IF(B948="", "", _xlfn.TEXTJOIN(", ", TRUE, IF('CLIENT DATA'!$A$2:$A$205=B948, 'CLIENT DATA'!$C$2:$F$205, "")))</f>
        <v/>
      </c>
      <c r="E948" s="52" t="n"/>
      <c r="F948" s="52" t="n"/>
      <c r="G948" s="52" t="n"/>
      <c r="H948" s="52" t="n"/>
      <c r="I948" s="52" t="n"/>
      <c r="J948" s="59" t="n"/>
      <c r="K948" s="59" t="n"/>
      <c r="L948" s="59" t="n"/>
      <c r="M948" s="59" t="n"/>
      <c r="N948" s="59" t="n"/>
      <c r="O948" s="297" t="n"/>
      <c r="P948" s="297" t="n"/>
      <c r="Q948" s="297" t="n"/>
      <c r="R948" s="297" t="n"/>
      <c r="S948" s="297" t="n"/>
      <c r="T948" s="297" t="n"/>
      <c r="U948" s="297" t="n"/>
    </row>
    <row r="949">
      <c r="A949" s="195" t="n"/>
      <c r="B949" s="300" t="n"/>
      <c r="C949" s="107">
        <f>IF(B949="", "", VLOOKUP(B949, 'CLIENT DATA'!A:S, 19, FALSE))</f>
        <v/>
      </c>
      <c r="D949" s="107">
        <f t="array" ref="D949">IF(B949="", "", _xlfn.TEXTJOIN(", ", TRUE, IF('CLIENT DATA'!$A$2:$A$205=B949, 'CLIENT DATA'!$C$2:$F$205, "")))</f>
        <v/>
      </c>
      <c r="E949" s="52" t="n"/>
      <c r="F949" s="52" t="n"/>
      <c r="G949" s="52" t="n"/>
      <c r="H949" s="52" t="n"/>
      <c r="I949" s="52" t="n"/>
      <c r="J949" s="59" t="n"/>
      <c r="K949" s="59" t="n"/>
      <c r="L949" s="59" t="n"/>
      <c r="M949" s="59" t="n"/>
      <c r="N949" s="59" t="n"/>
      <c r="O949" s="297" t="n"/>
      <c r="P949" s="297" t="n"/>
      <c r="Q949" s="297" t="n"/>
      <c r="R949" s="297" t="n"/>
      <c r="S949" s="297" t="n"/>
      <c r="T949" s="297" t="n"/>
      <c r="U949" s="297" t="n"/>
    </row>
    <row r="950">
      <c r="A950" s="195" t="n"/>
      <c r="B950" s="300" t="n"/>
      <c r="C950" s="107">
        <f>IF(B950="", "", VLOOKUP(B950, 'CLIENT DATA'!A:S, 19, FALSE))</f>
        <v/>
      </c>
      <c r="D950" s="107">
        <f t="array" ref="D950">IF(B950="", "", _xlfn.TEXTJOIN(", ", TRUE, IF('CLIENT DATA'!$A$2:$A$205=B950, 'CLIENT DATA'!$C$2:$F$205, "")))</f>
        <v/>
      </c>
      <c r="E950" s="52" t="n"/>
      <c r="F950" s="52" t="n"/>
      <c r="G950" s="52" t="n"/>
      <c r="H950" s="52" t="n"/>
      <c r="I950" s="52" t="n"/>
      <c r="J950" s="59" t="n"/>
      <c r="K950" s="59" t="n"/>
      <c r="L950" s="59" t="n"/>
      <c r="M950" s="59" t="n"/>
      <c r="N950" s="59" t="n"/>
      <c r="O950" s="297" t="n"/>
      <c r="P950" s="297" t="n"/>
      <c r="Q950" s="297" t="n"/>
      <c r="R950" s="297" t="n"/>
      <c r="S950" s="297" t="n"/>
      <c r="T950" s="297" t="n"/>
      <c r="U950" s="297" t="n"/>
    </row>
    <row r="951">
      <c r="A951" s="196" t="n"/>
      <c r="B951" s="300" t="n"/>
      <c r="C951" s="182">
        <f>IF(B951="", "", VLOOKUP(B951, 'CLIENT DATA'!A:S, 19, FALSE))</f>
        <v/>
      </c>
      <c r="D951" s="182">
        <f t="array" ref="D951">IF(B951="", "", _xlfn.TEXTJOIN(", ", TRUE, IF('CLIENT DATA'!$A$2:$A$205=B951, 'CLIENT DATA'!$C$2:$F$205, "")))</f>
        <v/>
      </c>
      <c r="E951" s="183" t="n"/>
      <c r="F951" s="183" t="n"/>
      <c r="G951" s="183" t="n"/>
      <c r="H951" s="183" t="n"/>
      <c r="I951" s="183" t="n"/>
      <c r="J951" s="184" t="n"/>
      <c r="K951" s="184" t="n"/>
      <c r="L951" s="184" t="n"/>
      <c r="M951" s="184" t="n"/>
      <c r="N951" s="184" t="n"/>
      <c r="O951" s="301" t="n"/>
      <c r="P951" s="301" t="n"/>
      <c r="Q951" s="301" t="n"/>
      <c r="R951" s="301" t="n"/>
      <c r="S951" s="301" t="n"/>
      <c r="T951" s="301" t="n"/>
      <c r="U951" s="301" t="n"/>
    </row>
    <row r="952">
      <c r="A952" s="195" t="n"/>
      <c r="B952" s="188" t="n"/>
      <c r="C952" s="107">
        <f>IF(B952="", "", VLOOKUP(B952, 'CLIENT DATA'!A:S, 19, FALSE))</f>
        <v/>
      </c>
      <c r="D952" s="107">
        <f t="array" ref="D952">IF(B952="", "", _xlfn.TEXTJOIN(", ", TRUE, IF('CLIENT DATA'!$A$2:$A$205=B952, 'CLIENT DATA'!$C$2:$F$205, "")))</f>
        <v/>
      </c>
      <c r="E952" s="52" t="n"/>
      <c r="F952" s="52" t="n"/>
      <c r="G952" s="52" t="n"/>
      <c r="H952" s="52" t="n"/>
      <c r="I952" s="52" t="n"/>
      <c r="J952" s="59" t="n"/>
      <c r="K952" s="59" t="n"/>
      <c r="L952" s="59" t="n"/>
      <c r="M952" s="59" t="n"/>
      <c r="N952" s="59" t="n"/>
      <c r="O952" s="297" t="n"/>
      <c r="P952" s="297" t="n"/>
      <c r="Q952" s="297" t="n"/>
      <c r="R952" s="297" t="n"/>
      <c r="S952" s="297" t="n"/>
      <c r="T952" s="297" t="n"/>
      <c r="U952" s="297" t="n"/>
    </row>
    <row r="953">
      <c r="A953" s="195" t="n"/>
      <c r="B953" s="188" t="n"/>
      <c r="C953" s="107">
        <f>IF(B953="", "", VLOOKUP(B953, 'CLIENT DATA'!A:S, 19, FALSE))</f>
        <v/>
      </c>
      <c r="D953" s="107">
        <f t="array" ref="D953">IF(B953="", "", _xlfn.TEXTJOIN(", ", TRUE, IF('CLIENT DATA'!$A$2:$A$205=B953, 'CLIENT DATA'!$C$2:$F$205, "")))</f>
        <v/>
      </c>
      <c r="E953" s="52" t="n"/>
      <c r="F953" s="52" t="n"/>
      <c r="G953" s="52" t="n"/>
      <c r="H953" s="52" t="n"/>
      <c r="I953" s="52" t="n"/>
      <c r="J953" s="59" t="n"/>
      <c r="K953" s="59" t="n"/>
      <c r="L953" s="59" t="n"/>
      <c r="M953" s="59" t="n"/>
      <c r="N953" s="59" t="n"/>
      <c r="O953" s="297" t="n"/>
      <c r="P953" s="297" t="n"/>
      <c r="Q953" s="297" t="n"/>
      <c r="R953" s="297" t="n"/>
      <c r="S953" s="297" t="n"/>
      <c r="T953" s="297" t="n"/>
      <c r="U953" s="297" t="n"/>
    </row>
    <row r="954">
      <c r="A954" s="195" t="n"/>
      <c r="B954" s="188" t="n"/>
      <c r="C954" s="107">
        <f>IF(B954="", "", VLOOKUP(B954, 'CLIENT DATA'!A:S, 19, FALSE))</f>
        <v/>
      </c>
      <c r="D954" s="107">
        <f t="array" ref="D954">IF(B954="", "", _xlfn.TEXTJOIN(", ", TRUE, IF('CLIENT DATA'!$A$2:$A$205=B954, 'CLIENT DATA'!$C$2:$F$205, "")))</f>
        <v/>
      </c>
      <c r="E954" s="52" t="n"/>
      <c r="F954" s="52" t="n"/>
      <c r="G954" s="52" t="n"/>
      <c r="H954" s="52" t="n"/>
      <c r="I954" s="52" t="n"/>
      <c r="J954" s="59" t="n"/>
      <c r="K954" s="59" t="n"/>
      <c r="L954" s="59" t="n"/>
      <c r="M954" s="59" t="n"/>
      <c r="N954" s="59" t="n"/>
      <c r="O954" s="297" t="n"/>
      <c r="P954" s="297" t="n"/>
      <c r="Q954" s="297" t="n"/>
      <c r="R954" s="297" t="n"/>
      <c r="S954" s="297" t="n"/>
      <c r="T954" s="297" t="n"/>
      <c r="U954" s="297" t="n"/>
    </row>
    <row r="955">
      <c r="A955" s="195" t="n"/>
      <c r="B955" s="188" t="n"/>
      <c r="C955" s="107">
        <f>IF(B955="", "", VLOOKUP(B955, 'CLIENT DATA'!A:S, 19, FALSE))</f>
        <v/>
      </c>
      <c r="D955" s="107">
        <f t="array" ref="D955">IF(B955="", "", _xlfn.TEXTJOIN(", ", TRUE, IF('CLIENT DATA'!$A$2:$A$205=B955, 'CLIENT DATA'!$C$2:$F$205, "")))</f>
        <v/>
      </c>
      <c r="E955" s="52" t="n"/>
      <c r="F955" s="52" t="n"/>
      <c r="G955" s="52" t="n"/>
      <c r="H955" s="52" t="n"/>
      <c r="I955" s="52" t="n"/>
      <c r="J955" s="59" t="n"/>
      <c r="K955" s="59" t="n"/>
      <c r="L955" s="59" t="n"/>
      <c r="M955" s="59" t="n"/>
      <c r="N955" s="59" t="n"/>
      <c r="O955" s="297" t="n"/>
      <c r="P955" s="297" t="n"/>
      <c r="Q955" s="297" t="n"/>
      <c r="R955" s="297" t="n"/>
      <c r="S955" s="297" t="n"/>
      <c r="T955" s="297" t="n"/>
      <c r="U955" s="297" t="n"/>
    </row>
    <row r="956">
      <c r="A956" s="195" t="n"/>
      <c r="B956" s="188" t="n"/>
      <c r="C956" s="107">
        <f>IF(B956="", "", VLOOKUP(B956, 'CLIENT DATA'!A:S, 19, FALSE))</f>
        <v/>
      </c>
      <c r="D956" s="107">
        <f t="array" ref="D956">IF(B956="", "", _xlfn.TEXTJOIN(", ", TRUE, IF('CLIENT DATA'!$A$2:$A$205=B956, 'CLIENT DATA'!$C$2:$F$205, "")))</f>
        <v/>
      </c>
      <c r="E956" s="52" t="n"/>
      <c r="F956" s="52" t="n"/>
      <c r="G956" s="52" t="n"/>
      <c r="H956" s="52" t="n"/>
      <c r="I956" s="52" t="n"/>
      <c r="J956" s="59" t="n"/>
      <c r="K956" s="59" t="n"/>
      <c r="L956" s="59" t="n"/>
      <c r="M956" s="59" t="n"/>
      <c r="N956" s="59" t="n"/>
      <c r="O956" s="297" t="n"/>
      <c r="P956" s="297" t="n"/>
      <c r="Q956" s="297" t="n"/>
      <c r="R956" s="297" t="n"/>
      <c r="S956" s="297" t="n"/>
      <c r="T956" s="297" t="n"/>
      <c r="U956" s="297" t="n"/>
    </row>
    <row r="957">
      <c r="A957" s="195" t="n"/>
      <c r="B957" s="188" t="n"/>
      <c r="C957" s="107">
        <f>IF(B957="", "", VLOOKUP(B957, 'CLIENT DATA'!A:S, 19, FALSE))</f>
        <v/>
      </c>
      <c r="D957" s="107">
        <f t="array" ref="D957">IF(B957="", "", _xlfn.TEXTJOIN(", ", TRUE, IF('CLIENT DATA'!$A$2:$A$205=B957, 'CLIENT DATA'!$C$2:$F$205, "")))</f>
        <v/>
      </c>
      <c r="E957" s="52" t="n"/>
      <c r="F957" s="52" t="n"/>
      <c r="G957" s="52" t="n"/>
      <c r="H957" s="52" t="n"/>
      <c r="I957" s="52" t="n"/>
      <c r="J957" s="59" t="n"/>
      <c r="K957" s="59" t="n"/>
      <c r="L957" s="59" t="n"/>
      <c r="M957" s="59" t="n"/>
      <c r="N957" s="59" t="n"/>
      <c r="O957" s="297" t="n"/>
      <c r="P957" s="297" t="n"/>
      <c r="Q957" s="297" t="n"/>
      <c r="R957" s="297" t="n"/>
      <c r="S957" s="297" t="n"/>
      <c r="T957" s="297" t="n"/>
      <c r="U957" s="297" t="n"/>
    </row>
    <row r="958">
      <c r="A958" s="195" t="n"/>
      <c r="B958" s="188" t="n"/>
      <c r="C958" s="107">
        <f>IF(B958="", "", VLOOKUP(B958, 'CLIENT DATA'!A:S, 19, FALSE))</f>
        <v/>
      </c>
      <c r="D958" s="107">
        <f t="array" ref="D958">IF(B958="", "", _xlfn.TEXTJOIN(", ", TRUE, IF('CLIENT DATA'!$A$2:$A$205=B958, 'CLIENT DATA'!$C$2:$F$205, "")))</f>
        <v/>
      </c>
      <c r="E958" s="52" t="n"/>
      <c r="F958" s="52" t="n"/>
      <c r="G958" s="52" t="n"/>
      <c r="H958" s="52" t="n"/>
      <c r="I958" s="52" t="n"/>
      <c r="J958" s="59" t="n"/>
      <c r="K958" s="59" t="n"/>
      <c r="L958" s="59" t="n"/>
      <c r="M958" s="59" t="n"/>
      <c r="N958" s="59" t="n"/>
      <c r="O958" s="297" t="n"/>
      <c r="P958" s="297" t="n"/>
      <c r="Q958" s="297" t="n"/>
      <c r="R958" s="297" t="n"/>
      <c r="S958" s="297" t="n"/>
      <c r="T958" s="297" t="n"/>
      <c r="U958" s="297" t="n"/>
    </row>
    <row r="959">
      <c r="A959" s="195" t="n"/>
      <c r="B959" s="188" t="n"/>
      <c r="C959" s="107">
        <f>IF(B959="", "", VLOOKUP(B959, 'CLIENT DATA'!A:S, 19, FALSE))</f>
        <v/>
      </c>
      <c r="D959" s="107">
        <f t="array" ref="D959">IF(B959="", "", _xlfn.TEXTJOIN(", ", TRUE, IF('CLIENT DATA'!$A$2:$A$205=B959, 'CLIENT DATA'!$C$2:$F$205, "")))</f>
        <v/>
      </c>
      <c r="E959" s="52" t="n"/>
      <c r="F959" s="52" t="n"/>
      <c r="G959" s="52" t="n"/>
      <c r="H959" s="52" t="n"/>
      <c r="I959" s="52" t="n"/>
      <c r="J959" s="59" t="n"/>
      <c r="K959" s="59" t="n"/>
      <c r="L959" s="59" t="n"/>
      <c r="M959" s="59" t="n"/>
      <c r="N959" s="59" t="n"/>
      <c r="O959" s="297" t="n"/>
      <c r="P959" s="297" t="n"/>
      <c r="Q959" s="297" t="n"/>
      <c r="R959" s="297" t="n"/>
      <c r="S959" s="297" t="n"/>
      <c r="T959" s="297" t="n"/>
      <c r="U959" s="297" t="n"/>
    </row>
    <row r="960">
      <c r="A960" s="195" t="n"/>
      <c r="B960" s="188" t="n"/>
      <c r="C960" s="107">
        <f>IF(B960="", "", VLOOKUP(B960, 'CLIENT DATA'!A:S, 19, FALSE))</f>
        <v/>
      </c>
      <c r="D960" s="107">
        <f t="array" ref="D960">IF(B960="", "", _xlfn.TEXTJOIN(", ", TRUE, IF('CLIENT DATA'!$A$2:$A$205=B960, 'CLIENT DATA'!$C$2:$F$205, "")))</f>
        <v/>
      </c>
      <c r="E960" s="52" t="n"/>
      <c r="F960" s="52" t="n"/>
      <c r="G960" s="52" t="n"/>
      <c r="H960" s="52" t="n"/>
      <c r="I960" s="52" t="n"/>
      <c r="J960" s="59" t="n"/>
      <c r="K960" s="59" t="n"/>
      <c r="L960" s="59" t="n"/>
      <c r="M960" s="59" t="n"/>
      <c r="N960" s="59" t="n"/>
      <c r="O960" s="297" t="n"/>
      <c r="P960" s="297" t="n"/>
      <c r="Q960" s="297" t="n"/>
      <c r="R960" s="297" t="n"/>
      <c r="S960" s="297" t="n"/>
      <c r="T960" s="297" t="n"/>
      <c r="U960" s="297" t="n"/>
    </row>
    <row r="961">
      <c r="A961" s="195" t="n"/>
      <c r="B961" s="188" t="n"/>
      <c r="C961" s="107">
        <f>IF(B961="", "", VLOOKUP(B961, 'CLIENT DATA'!A:S, 19, FALSE))</f>
        <v/>
      </c>
      <c r="D961" s="107">
        <f t="array" ref="D961">IF(B961="", "", _xlfn.TEXTJOIN(", ", TRUE, IF('CLIENT DATA'!$A$2:$A$205=B961, 'CLIENT DATA'!$C$2:$F$205, "")))</f>
        <v/>
      </c>
      <c r="E961" s="52" t="n"/>
      <c r="F961" s="52" t="n"/>
      <c r="G961" s="52" t="n"/>
      <c r="H961" s="52" t="n"/>
      <c r="I961" s="52" t="n"/>
      <c r="J961" s="59" t="n"/>
      <c r="K961" s="59" t="n"/>
      <c r="L961" s="59" t="n"/>
      <c r="M961" s="59" t="n"/>
      <c r="N961" s="59" t="n"/>
      <c r="O961" s="297" t="n"/>
      <c r="P961" s="297" t="n"/>
      <c r="Q961" s="297" t="n"/>
      <c r="R961" s="297" t="n"/>
      <c r="S961" s="297" t="n"/>
      <c r="T961" s="297" t="n"/>
      <c r="U961" s="297" t="n"/>
    </row>
    <row r="962">
      <c r="A962" s="195" t="n"/>
      <c r="B962" s="188" t="n"/>
      <c r="C962" s="107">
        <f>IF(B962="", "", VLOOKUP(B962, 'CLIENT DATA'!A:S, 19, FALSE))</f>
        <v/>
      </c>
      <c r="D962" s="107">
        <f t="array" ref="D962">IF(B962="", "", _xlfn.TEXTJOIN(", ", TRUE, IF('CLIENT DATA'!$A$2:$A$205=B962, 'CLIENT DATA'!$C$2:$F$205, "")))</f>
        <v/>
      </c>
      <c r="E962" s="52" t="n"/>
      <c r="F962" s="52" t="n"/>
      <c r="G962" s="52" t="n"/>
      <c r="H962" s="52" t="n"/>
      <c r="I962" s="52" t="n"/>
      <c r="J962" s="59" t="n"/>
      <c r="K962" s="59" t="n"/>
      <c r="L962" s="59" t="n"/>
      <c r="M962" s="59" t="n"/>
      <c r="N962" s="59" t="n"/>
      <c r="O962" s="297" t="n"/>
      <c r="P962" s="297" t="n"/>
      <c r="Q962" s="297" t="n"/>
      <c r="R962" s="297" t="n"/>
      <c r="S962" s="297" t="n"/>
      <c r="T962" s="297" t="n"/>
      <c r="U962" s="297" t="n"/>
    </row>
    <row r="963">
      <c r="A963" s="195" t="n"/>
      <c r="B963" s="188" t="n"/>
      <c r="C963" s="107">
        <f>IF(B963="", "", VLOOKUP(B963, 'CLIENT DATA'!A:S, 19, FALSE))</f>
        <v/>
      </c>
      <c r="D963" s="107">
        <f t="array" ref="D963">IF(B963="", "", _xlfn.TEXTJOIN(", ", TRUE, IF('CLIENT DATA'!$A$2:$A$205=B963, 'CLIENT DATA'!$C$2:$F$205, "")))</f>
        <v/>
      </c>
      <c r="E963" s="52" t="n"/>
      <c r="F963" s="52" t="n"/>
      <c r="G963" s="52" t="n"/>
      <c r="H963" s="52" t="n"/>
      <c r="I963" s="52" t="n"/>
      <c r="J963" s="59" t="n"/>
      <c r="K963" s="59" t="n"/>
      <c r="L963" s="59" t="n"/>
      <c r="M963" s="59" t="n"/>
      <c r="N963" s="59" t="n"/>
      <c r="O963" s="297" t="n"/>
      <c r="P963" s="297" t="n"/>
      <c r="Q963" s="297" t="n"/>
      <c r="R963" s="297" t="n"/>
      <c r="S963" s="297" t="n"/>
      <c r="T963" s="297" t="n"/>
      <c r="U963" s="297" t="n"/>
    </row>
    <row r="964">
      <c r="A964" s="195" t="n"/>
      <c r="B964" s="188" t="n"/>
      <c r="C964" s="107">
        <f>IF(B964="", "", VLOOKUP(B964, 'CLIENT DATA'!A:S, 19, FALSE))</f>
        <v/>
      </c>
      <c r="D964" s="107">
        <f t="array" ref="D964">IF(B964="", "", _xlfn.TEXTJOIN(", ", TRUE, IF('CLIENT DATA'!$A$2:$A$205=B964, 'CLIENT DATA'!$C$2:$F$205, "")))</f>
        <v/>
      </c>
      <c r="E964" s="52" t="n"/>
      <c r="F964" s="52" t="n"/>
      <c r="G964" s="52" t="n"/>
      <c r="H964" s="52" t="n"/>
      <c r="I964" s="52" t="n"/>
      <c r="J964" s="59" t="n"/>
      <c r="K964" s="59" t="n"/>
      <c r="L964" s="59" t="n"/>
      <c r="M964" s="59" t="n"/>
      <c r="N964" s="59" t="n"/>
      <c r="O964" s="297" t="n"/>
      <c r="P964" s="297" t="n"/>
      <c r="Q964" s="297" t="n"/>
      <c r="R964" s="297" t="n"/>
      <c r="S964" s="297" t="n"/>
      <c r="T964" s="297" t="n"/>
      <c r="U964" s="297" t="n"/>
    </row>
    <row r="965">
      <c r="A965" s="195" t="n"/>
      <c r="B965" s="188" t="n"/>
      <c r="C965" s="107">
        <f>IF(B965="", "", VLOOKUP(B965, 'CLIENT DATA'!A:S, 19, FALSE))</f>
        <v/>
      </c>
      <c r="D965" s="107">
        <f t="array" ref="D965">IF(B965="", "", _xlfn.TEXTJOIN(", ", TRUE, IF('CLIENT DATA'!$A$2:$A$205=B965, 'CLIENT DATA'!$C$2:$F$205, "")))</f>
        <v/>
      </c>
      <c r="E965" s="52" t="n"/>
      <c r="F965" s="52" t="n"/>
      <c r="G965" s="52" t="n"/>
      <c r="H965" s="52" t="n"/>
      <c r="I965" s="52" t="n"/>
      <c r="J965" s="59" t="n"/>
      <c r="K965" s="59" t="n"/>
      <c r="L965" s="59" t="n"/>
      <c r="M965" s="59" t="n"/>
      <c r="N965" s="59" t="n"/>
      <c r="O965" s="297" t="n"/>
      <c r="P965" s="297" t="n"/>
      <c r="Q965" s="297" t="n"/>
      <c r="R965" s="297" t="n"/>
      <c r="S965" s="297" t="n"/>
      <c r="T965" s="297" t="n"/>
      <c r="U965" s="297" t="n"/>
    </row>
    <row r="966">
      <c r="A966" s="195" t="n"/>
      <c r="B966" s="188" t="n"/>
      <c r="C966" s="107">
        <f>IF(B966="", "", VLOOKUP(B966, 'CLIENT DATA'!A:S, 19, FALSE))</f>
        <v/>
      </c>
      <c r="D966" s="107">
        <f t="array" ref="D966">IF(B966="", "", _xlfn.TEXTJOIN(", ", TRUE, IF('CLIENT DATA'!$A$2:$A$205=B966, 'CLIENT DATA'!$C$2:$F$205, "")))</f>
        <v/>
      </c>
      <c r="E966" s="52" t="n"/>
      <c r="F966" s="52" t="n"/>
      <c r="G966" s="52" t="n"/>
      <c r="H966" s="52" t="n"/>
      <c r="I966" s="52" t="n"/>
      <c r="J966" s="59" t="n"/>
      <c r="K966" s="59" t="n"/>
      <c r="L966" s="59" t="n"/>
      <c r="M966" s="59" t="n"/>
      <c r="N966" s="59" t="n"/>
      <c r="O966" s="297" t="n"/>
      <c r="P966" s="297" t="n"/>
      <c r="Q966" s="297" t="n"/>
      <c r="R966" s="297" t="n"/>
      <c r="S966" s="297" t="n"/>
      <c r="T966" s="297" t="n"/>
      <c r="U966" s="297" t="n"/>
    </row>
    <row r="967">
      <c r="A967" s="195" t="n"/>
      <c r="B967" s="188" t="n"/>
      <c r="C967" s="107">
        <f>IF(B967="", "", VLOOKUP(B967, 'CLIENT DATA'!A:S, 19, FALSE))</f>
        <v/>
      </c>
      <c r="D967" s="107">
        <f t="array" ref="D967">IF(B967="", "", _xlfn.TEXTJOIN(", ", TRUE, IF('CLIENT DATA'!$A$2:$A$205=B967, 'CLIENT DATA'!$C$2:$F$205, "")))</f>
        <v/>
      </c>
      <c r="E967" s="52" t="n"/>
      <c r="F967" s="52" t="n"/>
      <c r="G967" s="52" t="n"/>
      <c r="H967" s="52" t="n"/>
      <c r="I967" s="52" t="n"/>
      <c r="J967" s="59" t="n"/>
      <c r="K967" s="59" t="n"/>
      <c r="L967" s="59" t="n"/>
      <c r="M967" s="59" t="n"/>
      <c r="N967" s="59" t="n"/>
      <c r="O967" s="297" t="n"/>
      <c r="P967" s="297" t="n"/>
      <c r="Q967" s="297" t="n"/>
      <c r="R967" s="297" t="n"/>
      <c r="S967" s="297" t="n"/>
      <c r="T967" s="297" t="n"/>
      <c r="U967" s="297" t="n"/>
    </row>
    <row r="968">
      <c r="A968" s="195" t="n"/>
      <c r="B968" s="188" t="n"/>
      <c r="C968" s="107">
        <f>IF(B968="", "", VLOOKUP(B968, 'CLIENT DATA'!A:S, 19, FALSE))</f>
        <v/>
      </c>
      <c r="D968" s="107">
        <f t="array" ref="D968">IF(B968="", "", _xlfn.TEXTJOIN(", ", TRUE, IF('CLIENT DATA'!$A$2:$A$205=B968, 'CLIENT DATA'!$C$2:$F$205, "")))</f>
        <v/>
      </c>
      <c r="E968" s="52" t="n"/>
      <c r="F968" s="52" t="n"/>
      <c r="G968" s="52" t="n"/>
      <c r="H968" s="52" t="n"/>
      <c r="I968" s="52" t="n"/>
      <c r="J968" s="59" t="n"/>
      <c r="K968" s="59" t="n"/>
      <c r="L968" s="59" t="n"/>
      <c r="M968" s="59" t="n"/>
      <c r="N968" s="59" t="n"/>
      <c r="O968" s="297" t="n"/>
      <c r="P968" s="297" t="n"/>
      <c r="Q968" s="297" t="n"/>
      <c r="R968" s="297" t="n"/>
      <c r="S968" s="297" t="n"/>
      <c r="T968" s="297" t="n"/>
      <c r="U968" s="297" t="n"/>
    </row>
    <row r="969">
      <c r="A969" s="195" t="n"/>
      <c r="B969" s="188" t="n"/>
      <c r="C969" s="107">
        <f>IF(B969="", "", VLOOKUP(B969, 'CLIENT DATA'!A:S, 19, FALSE))</f>
        <v/>
      </c>
      <c r="D969" s="107">
        <f t="array" ref="D969">IF(B969="", "", _xlfn.TEXTJOIN(", ", TRUE, IF('CLIENT DATA'!$A$2:$A$205=B969, 'CLIENT DATA'!$C$2:$F$205, "")))</f>
        <v/>
      </c>
      <c r="E969" s="52" t="n"/>
      <c r="F969" s="52" t="n"/>
      <c r="G969" s="52" t="n"/>
      <c r="H969" s="52" t="n"/>
      <c r="I969" s="52" t="n"/>
      <c r="J969" s="59" t="n"/>
      <c r="K969" s="59" t="n"/>
      <c r="L969" s="59" t="n"/>
      <c r="M969" s="59" t="n"/>
      <c r="N969" s="59" t="n"/>
      <c r="O969" s="297" t="n"/>
      <c r="P969" s="297" t="n"/>
      <c r="Q969" s="297" t="n"/>
      <c r="R969" s="297" t="n"/>
      <c r="S969" s="297" t="n"/>
      <c r="T969" s="297" t="n"/>
      <c r="U969" s="297" t="n"/>
    </row>
    <row r="970">
      <c r="A970" s="195" t="n"/>
      <c r="B970" s="188" t="n"/>
      <c r="C970" s="107">
        <f>IF(B970="", "", VLOOKUP(B970, 'CLIENT DATA'!A:S, 19, FALSE))</f>
        <v/>
      </c>
      <c r="D970" s="107">
        <f t="array" ref="D970">IF(B970="", "", _xlfn.TEXTJOIN(", ", TRUE, IF('CLIENT DATA'!$A$2:$A$205=B970, 'CLIENT DATA'!$C$2:$F$205, "")))</f>
        <v/>
      </c>
      <c r="E970" s="52" t="n"/>
      <c r="F970" s="52" t="n"/>
      <c r="G970" s="52" t="n"/>
      <c r="H970" s="52" t="n"/>
      <c r="I970" s="52" t="n"/>
      <c r="J970" s="59" t="n"/>
      <c r="K970" s="59" t="n"/>
      <c r="L970" s="59" t="n"/>
      <c r="M970" s="59" t="n"/>
      <c r="N970" s="59" t="n"/>
      <c r="O970" s="297" t="n"/>
      <c r="P970" s="297" t="n"/>
      <c r="Q970" s="297" t="n"/>
      <c r="R970" s="297" t="n"/>
      <c r="S970" s="297" t="n"/>
      <c r="T970" s="297" t="n"/>
      <c r="U970" s="297" t="n"/>
    </row>
    <row r="971">
      <c r="A971" s="195" t="n"/>
      <c r="B971" s="188" t="n"/>
      <c r="C971" s="107">
        <f>IF(B971="", "", VLOOKUP(B971, 'CLIENT DATA'!A:S, 19, FALSE))</f>
        <v/>
      </c>
      <c r="D971" s="107">
        <f t="array" ref="D971">IF(B971="", "", _xlfn.TEXTJOIN(", ", TRUE, IF('CLIENT DATA'!$A$2:$A$205=B971, 'CLIENT DATA'!$C$2:$F$205, "")))</f>
        <v/>
      </c>
      <c r="E971" s="52" t="n"/>
      <c r="F971" s="52" t="n"/>
      <c r="G971" s="52" t="n"/>
      <c r="H971" s="52" t="n"/>
      <c r="I971" s="52" t="n"/>
      <c r="J971" s="59" t="n"/>
      <c r="K971" s="59" t="n"/>
      <c r="L971" s="59" t="n"/>
      <c r="M971" s="59" t="n"/>
      <c r="N971" s="59" t="n"/>
      <c r="O971" s="297" t="n"/>
      <c r="P971" s="297" t="n"/>
      <c r="Q971" s="297" t="n"/>
      <c r="R971" s="297" t="n"/>
      <c r="S971" s="297" t="n"/>
      <c r="T971" s="297" t="n"/>
      <c r="U971" s="297" t="n"/>
    </row>
    <row r="972">
      <c r="A972" s="196" t="n"/>
      <c r="B972" s="188" t="n"/>
      <c r="C972" s="182">
        <f>IF(B972="", "", VLOOKUP(B972, 'CLIENT DATA'!A:S, 19, FALSE))</f>
        <v/>
      </c>
      <c r="D972" s="182">
        <f t="array" ref="D972">IF(B972="", "", _xlfn.TEXTJOIN(", ", TRUE, IF('CLIENT DATA'!$A$2:$A$205=B972, 'CLIENT DATA'!$C$2:$F$205, "")))</f>
        <v/>
      </c>
      <c r="E972" s="183" t="n"/>
      <c r="F972" s="183" t="n"/>
      <c r="G972" s="183" t="n"/>
      <c r="H972" s="183" t="n"/>
      <c r="I972" s="183" t="n"/>
      <c r="J972" s="184" t="n"/>
      <c r="K972" s="184" t="n"/>
      <c r="L972" s="184" t="n"/>
      <c r="M972" s="184" t="n"/>
      <c r="N972" s="184" t="n"/>
      <c r="O972" s="301" t="n"/>
      <c r="P972" s="301" t="n"/>
      <c r="Q972" s="301" t="n"/>
      <c r="R972" s="301" t="n"/>
      <c r="S972" s="301" t="n"/>
      <c r="T972" s="301" t="n"/>
      <c r="U972" s="301" t="n"/>
    </row>
    <row r="973">
      <c r="A973" t="inlineStr">
        <is>
          <t>03/12/2025</t>
        </is>
      </c>
      <c r="B973" t="inlineStr">
        <is>
          <t>mahmoud</t>
        </is>
      </c>
      <c r="E973" t="inlineStr">
        <is>
          <t>1329 Cherry Lane, Nashville, TN 37212</t>
        </is>
      </c>
      <c r="F973" t="inlineStr">
        <is>
          <t>590 Spruce Drive, Boston, MA 02127</t>
        </is>
      </c>
      <c r="G973" t="inlineStr">
        <is>
          <t>590 Spruce Drive, Boston, MA 02127</t>
        </is>
      </c>
    </row>
    <row r="974">
      <c r="A974" t="inlineStr">
        <is>
          <t>03/12/2025</t>
        </is>
      </c>
      <c r="B974" t="inlineStr">
        <is>
          <t>alialia</t>
        </is>
      </c>
      <c r="E974" t="inlineStr">
        <is>
          <t>590 Spruce Drive, Boston, MA 02127</t>
        </is>
      </c>
      <c r="F974" t="inlineStr">
        <is>
          <t>590 Spruce Drive, Boston, MA 02127</t>
        </is>
      </c>
    </row>
    <row r="975">
      <c r="A975" t="inlineStr">
        <is>
          <t>03/12/2025</t>
        </is>
      </c>
      <c r="B975" t="inlineStr">
        <is>
          <t>Jalen Sanders</t>
        </is>
      </c>
      <c r="E975" t="inlineStr">
        <is>
          <t>590 Spruce Drive, Boston, MA 02127</t>
        </is>
      </c>
    </row>
    <row r="976">
      <c r="A976" t="inlineStr">
        <is>
          <t>03/13/2025</t>
        </is>
      </c>
      <c r="B976" t="inlineStr">
        <is>
          <t>Test Name</t>
        </is>
      </c>
      <c r="E976" t="inlineStr">
        <is>
          <t>Test Address</t>
        </is>
      </c>
      <c r="F976" t="inlineStr">
        <is>
          <t>Test Address</t>
        </is>
      </c>
    </row>
  </sheetData>
  <mergeCells count="2">
    <mergeCell ref="O5:U5"/>
    <mergeCell ref="C5:D5"/>
  </mergeCells>
  <printOptions horizontalCentered="1"/>
  <pageMargins left="0.7" right="0.7" top="0.75" bottom="0.75" header="0.3" footer="0.3"/>
  <pageSetup orientation="landscape" scale="27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X125"/>
  <sheetViews>
    <sheetView showGridLines="0" workbookViewId="0">
      <pane ySplit="1" topLeftCell="A106" activePane="bottomLeft" state="frozen"/>
      <selection pane="bottomLeft" activeCell="G119" sqref="G119"/>
    </sheetView>
  </sheetViews>
  <sheetFormatPr baseColWidth="8" defaultColWidth="14.42578125" defaultRowHeight="15" customHeight="1"/>
  <cols>
    <col width="37.7109375" bestFit="1" customWidth="1" style="237" min="1" max="1"/>
    <col width="9.140625" customWidth="1" style="237" min="2" max="4"/>
    <col width="8.7109375" customWidth="1" style="237" min="5" max="19"/>
  </cols>
  <sheetData>
    <row r="1" ht="16.5" customHeight="1" s="237">
      <c r="A1" s="82" t="inlineStr">
        <is>
          <t>Destination</t>
        </is>
      </c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33" customHeight="1" s="237">
      <c r="A2" s="95" t="inlineStr">
        <is>
          <t>18311 W. 10 Mile Rd.
Southfield, MI 48075</t>
        </is>
      </c>
    </row>
    <row r="3" ht="33" customHeight="1" s="237">
      <c r="A3" s="95" t="inlineStr">
        <is>
          <t>29877 Telegraph Rd. 
Southfield, MI 48034</t>
        </is>
      </c>
    </row>
    <row r="4" ht="33" customHeight="1" s="237">
      <c r="A4" s="95" t="inlineStr">
        <is>
          <t>14507 Woodward Ave. 
Highland Park, MI 48203</t>
        </is>
      </c>
    </row>
    <row r="5" ht="33" customHeight="1" s="237">
      <c r="A5" s="95" t="inlineStr">
        <is>
          <t>32270 Telegraph Rd. 
Bingham Farms, MI 48025</t>
        </is>
      </c>
    </row>
    <row r="6" ht="33" customHeight="1" s="237">
      <c r="A6" s="95" t="inlineStr">
        <is>
          <t>20905 Greenfield Rd. 
Southfield, MI 48075</t>
        </is>
      </c>
    </row>
    <row r="7" ht="33" customHeight="1" s="237">
      <c r="A7" s="95" t="inlineStr">
        <is>
          <t>3601 W. 13 Mile Rd. 
Royal Oak, MI 48073</t>
        </is>
      </c>
    </row>
    <row r="8" ht="33" customHeight="1" s="237">
      <c r="A8" s="95" t="inlineStr">
        <is>
          <t>17330 Northland Park Dr.
Southfield, MI 48075</t>
        </is>
      </c>
    </row>
    <row r="9" ht="33" customHeight="1" s="237">
      <c r="A9" s="95" t="inlineStr">
        <is>
          <t>20475 W. 10 Mile Rd. 
Southfield, MI 48075</t>
        </is>
      </c>
    </row>
    <row r="10" ht="33" customHeight="1" s="237">
      <c r="A10" s="95" t="inlineStr">
        <is>
          <t>26300 Evergreen Rd. 
Southfield, MI 48076</t>
        </is>
      </c>
    </row>
    <row r="11" ht="33" customHeight="1" s="237">
      <c r="A11" s="95" t="inlineStr">
        <is>
          <t>22000 Greenfield Rd. 
Oak Park, MI 48237</t>
        </is>
      </c>
    </row>
    <row r="12" ht="33" customHeight="1" s="237">
      <c r="A12" s="95" t="inlineStr">
        <is>
          <t>20270 Middlebelt Rd. 
Livonia, MI 48152</t>
        </is>
      </c>
    </row>
    <row r="13" ht="33" customHeight="1" s="237">
      <c r="A13" s="95" t="inlineStr">
        <is>
          <t>11900 E 12 Mile Rd  
Warren, Mi. 48093</t>
        </is>
      </c>
    </row>
    <row r="14" ht="33" customHeight="1" s="237">
      <c r="A14" s="95" t="inlineStr">
        <is>
          <t>907 S. Main St   
Royal Oak, MI. 48067</t>
        </is>
      </c>
    </row>
    <row r="15" ht="33" customHeight="1" s="237">
      <c r="A15" s="95" t="inlineStr">
        <is>
          <t>13530 Michigan Ave  
Dearborn, Mi. 48126</t>
        </is>
      </c>
    </row>
    <row r="16" ht="33" customHeight="1" s="237">
      <c r="A16" s="95" t="inlineStr">
        <is>
          <t>6001 W Outer Dr  
Detroit, Mi. 48235</t>
        </is>
      </c>
    </row>
    <row r="17" ht="33" customHeight="1" s="237">
      <c r="A17" s="95" t="inlineStr">
        <is>
          <t>27200 Lahser Rd  
Southfield, Mi. 48034</t>
        </is>
      </c>
    </row>
    <row r="18" ht="33" customHeight="1" s="237">
      <c r="A18" s="95" t="inlineStr">
        <is>
          <t>31535 Ford Rd.
Garden City, Mi. 48135</t>
        </is>
      </c>
    </row>
    <row r="19" ht="33" customHeight="1" s="237">
      <c r="A19" s="95" t="inlineStr">
        <is>
          <t>5456 Fifteen Mile Rd.
Sterling Hts, Mi. 48310</t>
        </is>
      </c>
    </row>
    <row r="20" ht="33" customHeight="1" s="237">
      <c r="A20" s="95" t="inlineStr">
        <is>
          <t>821 Milwaukee St. 
Detroit, Mi. 48202</t>
        </is>
      </c>
    </row>
    <row r="21" ht="33" customHeight="1" s="237">
      <c r="A21" s="24" t="inlineStr">
        <is>
          <t>4201 Saint Antoine St
Detroit, Mi. 48201</t>
        </is>
      </c>
    </row>
    <row r="22" ht="33" customHeight="1" s="237">
      <c r="A22" s="95" t="inlineStr">
        <is>
          <t>27501 Woodward Ave. 
Berkley, MI 48072</t>
        </is>
      </c>
    </row>
    <row r="23" ht="33" customHeight="1" s="237">
      <c r="A23" s="95" t="inlineStr">
        <is>
          <t>15510 Livernois Ave, 
Detroit, MI 48238</t>
        </is>
      </c>
    </row>
    <row r="24" ht="33" customHeight="1" s="237">
      <c r="A24" s="95" t="inlineStr">
        <is>
          <t>23832 Southfield Rd, 
Southfield, MI 48075</t>
        </is>
      </c>
    </row>
    <row r="25" ht="33" customHeight="1" s="237">
      <c r="A25" s="95" t="inlineStr">
        <is>
          <t>4845 E 14 Mile Rd,
Sterling Hts., MI 48310</t>
        </is>
      </c>
    </row>
    <row r="26" ht="33" customHeight="1" s="237">
      <c r="A26" s="95" t="inlineStr">
        <is>
          <t>13488 E 11 Mile Rd,
Warren, MI 48089</t>
        </is>
      </c>
    </row>
    <row r="27" ht="33" customHeight="1" s="237">
      <c r="A27" s="95" t="inlineStr">
        <is>
          <t>13488 E 11 Mile Rd,
Warren, MI 48089</t>
        </is>
      </c>
    </row>
    <row r="28" ht="33" customHeight="1" s="237">
      <c r="A28" s="95" t="inlineStr">
        <is>
          <t>26261 Evergreen Rd, 
SouthField, MI 48076</t>
        </is>
      </c>
    </row>
    <row r="29" ht="33" customHeight="1" s="237">
      <c r="A29" s="95" t="inlineStr">
        <is>
          <t>30205 Schoenherr Rd, 
Warren, MI 48088</t>
        </is>
      </c>
    </row>
    <row r="30" ht="33" customHeight="1" s="237">
      <c r="A30" s="95" t="inlineStr">
        <is>
          <t>27301 Schoenherr Rd, 
Warren, MI 48088</t>
        </is>
      </c>
    </row>
    <row r="31" ht="33" customHeight="1" s="237">
      <c r="A31" s="95" t="inlineStr">
        <is>
          <t>17515 W 9 Mile Rd, 
Southfield, Mi. 48075</t>
        </is>
      </c>
    </row>
    <row r="32" ht="33" customHeight="1" s="237">
      <c r="A32" s="95" t="inlineStr">
        <is>
          <t>4160 John R. Rd, 
Detroit, Mi. 48201</t>
        </is>
      </c>
    </row>
    <row r="33" ht="33" customHeight="1" s="237">
      <c r="A33" s="95" t="inlineStr">
        <is>
          <t>31720 Gratiot Ave 
Roseville, Mi. 48066</t>
        </is>
      </c>
    </row>
    <row r="34" ht="33" customHeight="1" s="237">
      <c r="A34" s="95" t="inlineStr">
        <is>
          <t>23077 Greeenfield Rd.
Southfield, Mi. 48075</t>
        </is>
      </c>
    </row>
    <row r="35" ht="33" customHeight="1" s="237">
      <c r="A35" s="95" t="inlineStr">
        <is>
          <t>1041 S. Main St.
Royal Oak, MI.48067</t>
        </is>
      </c>
    </row>
    <row r="36" ht="33" customHeight="1" s="237">
      <c r="A36" s="95" t="inlineStr">
        <is>
          <t>5301 McAuley Dr.
Ypsilaanti, Mi. 48197</t>
        </is>
      </c>
    </row>
    <row r="37" ht="33" customHeight="1" s="237">
      <c r="A37" s="95" t="inlineStr">
        <is>
          <t>25130 Southfield Rd.
Southfield, MI. 48075</t>
        </is>
      </c>
    </row>
    <row r="38" ht="33" customHeight="1" s="237">
      <c r="A38" s="95" t="inlineStr">
        <is>
          <t>6071 W Outer Dr  
Detroit, Mi. 48235</t>
        </is>
      </c>
    </row>
    <row r="39" ht="33" customHeight="1" s="237">
      <c r="A39" s="95" t="inlineStr">
        <is>
          <t>735 John R. Rd. 
Troy, Mi. 48083</t>
        </is>
      </c>
    </row>
    <row r="40" ht="33" customHeight="1" s="237">
      <c r="A40" s="95" t="inlineStr">
        <is>
          <t>350 W Big Beaver
Troy, Mi. 48084</t>
        </is>
      </c>
    </row>
    <row r="41" ht="33" customHeight="1" s="237">
      <c r="A41" s="95" t="inlineStr">
        <is>
          <t>18550 Outer Dr.
Dearborn, MI. 48128</t>
        </is>
      </c>
    </row>
    <row r="42" ht="33" customHeight="1" s="237">
      <c r="A42" s="95" t="inlineStr">
        <is>
          <t>17260 W 10 Mile Rd.
Southfield, Mi. 48075</t>
        </is>
      </c>
    </row>
    <row r="43" ht="33" customHeight="1" s="237">
      <c r="A43" s="95" t="inlineStr">
        <is>
          <t>2799 W. Grand Blvd
Detroit, Mi. 48202</t>
        </is>
      </c>
    </row>
    <row r="44" ht="33" customHeight="1" s="237">
      <c r="A44" s="95" t="inlineStr">
        <is>
          <t>7031 Orchard Lake Rd
W. Bloomfield, Mi. 48322</t>
        </is>
      </c>
    </row>
    <row r="45" ht="33" customHeight="1" s="237">
      <c r="A45" s="95" t="inlineStr">
        <is>
          <t>29275 Northwestern Hwy.
Southfield, Mi. 48034</t>
        </is>
      </c>
    </row>
    <row r="46" ht="33" customHeight="1" s="237">
      <c r="A46" s="95" t="inlineStr">
        <is>
          <t>1041 S. Main St.
Royal Oak, MI. 48067</t>
        </is>
      </c>
    </row>
    <row r="47" ht="33" customHeight="1" s="237">
      <c r="A47" s="95" t="inlineStr">
        <is>
          <t>26400 W 12 Mile Rd.
Southfield, MI. 48034</t>
        </is>
      </c>
    </row>
    <row r="48" ht="33" customHeight="1" s="237">
      <c r="A48" s="95" t="inlineStr">
        <is>
          <t>100 W Big Beaver Rd.
Troy, MI. 48084</t>
        </is>
      </c>
    </row>
    <row r="49" ht="33" customHeight="1" s="237">
      <c r="A49" s="95" t="inlineStr">
        <is>
          <t>18312 Middlebelt Rd.
Livonia, Mi. 48152</t>
        </is>
      </c>
    </row>
    <row r="50" ht="33" customHeight="1" s="237">
      <c r="A50" s="95" t="inlineStr">
        <is>
          <t>5111 Auto Club Dr.
Dearborn, Mi. 48126</t>
        </is>
      </c>
    </row>
    <row r="51" ht="33" customHeight="1" s="237">
      <c r="A51" s="95" t="inlineStr">
        <is>
          <t>27159 Greenfield Rd.,
Southfield, MI 48076</t>
        </is>
      </c>
    </row>
    <row r="52" ht="33" customHeight="1" s="237">
      <c r="A52" s="95" t="inlineStr">
        <is>
          <t>18342 Mack Ave
Gross Pointe Farms, Mi. 48236</t>
        </is>
      </c>
    </row>
    <row r="53" ht="33" customHeight="1" s="237">
      <c r="A53" s="95" t="inlineStr">
        <is>
          <t>34815 Michigan Ave.
Wayne, Mi. 48184</t>
        </is>
      </c>
    </row>
    <row r="54" ht="33" customHeight="1" s="237">
      <c r="A54" s="95" t="inlineStr">
        <is>
          <t>21230 Dequindre Rd.
Warren, Mi. 48091</t>
        </is>
      </c>
    </row>
    <row r="55" ht="33" customHeight="1" s="237">
      <c r="A55" s="95" t="inlineStr">
        <is>
          <t>30521 Schoenherr Rd.
Warren, Mi. 48088</t>
        </is>
      </c>
    </row>
    <row r="56" ht="33" customHeight="1" s="237">
      <c r="A56" s="95" t="inlineStr">
        <is>
          <t>50505 Schoenherr Rd.
Shelby Twp, Mi. 48315</t>
        </is>
      </c>
    </row>
    <row r="57" ht="33" customHeight="1" s="237">
      <c r="A57" s="95" t="inlineStr">
        <is>
          <t>17000 Executive Plaza Dr.
Dearborn, Mi. 48126</t>
        </is>
      </c>
    </row>
    <row r="58" ht="33" customHeight="1" s="237">
      <c r="A58" s="95" t="inlineStr">
        <is>
          <t>24108 Greater Mack Ave
St. Claire Shores, MI. 48080</t>
        </is>
      </c>
    </row>
    <row r="59" ht="33" customHeight="1" s="237">
      <c r="A59" s="95" t="inlineStr">
        <is>
          <t>12169 Joseph Campau Ave
Hamtramck, Mi. 48212</t>
        </is>
      </c>
    </row>
    <row r="60" ht="33" customHeight="1" s="237">
      <c r="A60" s="24" t="inlineStr">
        <is>
          <t>4717 Saint Antoine St. 
Detroit, Mi. 48201</t>
        </is>
      </c>
    </row>
    <row r="61" ht="33" customHeight="1" s="237">
      <c r="A61" s="95" t="inlineStr">
        <is>
          <t>261 Mack Ave 
Detroit, Mi. 48201</t>
        </is>
      </c>
    </row>
    <row r="62" ht="33" customHeight="1" s="237">
      <c r="A62" s="95" t="inlineStr">
        <is>
          <t>14500 W Mcnichols Rd. 
Detroit, Mi. 48235</t>
        </is>
      </c>
    </row>
    <row r="63" ht="33" customHeight="1" s="237">
      <c r="A63" s="95" t="inlineStr">
        <is>
          <t>3990 John R. St.
Detroit, Mi. 48201</t>
        </is>
      </c>
    </row>
    <row r="64" ht="33" customHeight="1" s="237">
      <c r="A64" s="95" t="inlineStr">
        <is>
          <t>39555 Orchard Hills Pl.
Novi, Mi. 48375</t>
        </is>
      </c>
    </row>
    <row r="65" ht="33" customHeight="1" s="237">
      <c r="A65" s="95" t="inlineStr">
        <is>
          <t>1350 Kirts Blvd.
Troy, Mi. 48084</t>
        </is>
      </c>
    </row>
    <row r="66" ht="33" customHeight="1" s="237">
      <c r="A66" s="95" t="inlineStr">
        <is>
          <t>30100 Telegraph Rd.
Franklin , Mi. 48025</t>
        </is>
      </c>
    </row>
    <row r="67" ht="33" customHeight="1" s="237">
      <c r="A67" s="95" t="inlineStr">
        <is>
          <t>43475 Dalcoma Dr.
Clinto Twp, Mi. 48038</t>
        </is>
      </c>
    </row>
    <row r="68" ht="33" customHeight="1" s="237">
      <c r="A68" s="95" t="inlineStr">
        <is>
          <t>5333 McAuley Dr.
Ypsilaanti, Mi. 48197</t>
        </is>
      </c>
    </row>
    <row r="69" ht="33" customHeight="1" s="237">
      <c r="A69" s="95" t="inlineStr">
        <is>
          <t>29444 Northwestern Hwy.
Southfield, Mi. 48034</t>
        </is>
      </c>
    </row>
    <row r="70" ht="33" customHeight="1" s="237">
      <c r="A70" s="95" t="inlineStr">
        <is>
          <t>20675 Mack Ave
Grosse Pointe, Mi. 48236</t>
        </is>
      </c>
    </row>
    <row r="71" ht="33" customHeight="1" s="237">
      <c r="A71" s="95" t="inlineStr">
        <is>
          <t>23711 John R. Rd.
Hazel Park, MI. 48030</t>
        </is>
      </c>
    </row>
    <row r="72" ht="33" customHeight="1" s="237">
      <c r="A72" s="95" t="inlineStr">
        <is>
          <t>12150 Thirty Mile Rd.
Washington, MI. 48095</t>
        </is>
      </c>
    </row>
    <row r="73" ht="33" customHeight="1" s="237">
      <c r="A73" s="95" t="inlineStr">
        <is>
          <t>15565 Northland Dr.
Southfield, Mi. 48075</t>
        </is>
      </c>
    </row>
    <row r="74" ht="33" customHeight="1" s="237">
      <c r="A74" s="95" t="inlineStr">
        <is>
          <t>2050 Chesley Dr.
Sterling Heights, MI 48310</t>
        </is>
      </c>
    </row>
    <row r="75" ht="33" customHeight="1" s="237">
      <c r="A75" s="95" t="inlineStr">
        <is>
          <t>29829 Telegraph Rd.
Southfield, MI 48034</t>
        </is>
      </c>
    </row>
    <row r="76" ht="33" customHeight="1" s="237">
      <c r="A76" s="95" t="inlineStr">
        <is>
          <t>36250 Dequindre Rd.
Sterling Hts, Mi. 48310</t>
        </is>
      </c>
    </row>
    <row r="77" ht="33" customHeight="1" s="237">
      <c r="A77" s="95" t="inlineStr">
        <is>
          <t>28935 Southfield Rd.
Lathrup Village, MI. 48076</t>
        </is>
      </c>
    </row>
    <row r="78" ht="33" customHeight="1" s="237">
      <c r="A78" s="95" t="inlineStr">
        <is>
          <t>15370 Levan Rd.
Livonia, MI. 48154</t>
        </is>
      </c>
    </row>
    <row r="79" ht="33" customHeight="1" s="237">
      <c r="A79" s="95" t="inlineStr">
        <is>
          <t>25900 Greenfield Rd.
Oak Park, Mi. 48237</t>
        </is>
      </c>
    </row>
    <row r="80" ht="33" customHeight="1" s="237">
      <c r="A80" s="95" t="inlineStr">
        <is>
          <t>30055 Northwestern Hwy
Farmington, Hills, MI. 48334</t>
        </is>
      </c>
    </row>
    <row r="81" ht="33" customHeight="1" s="237">
      <c r="A81" s="95" t="inlineStr">
        <is>
          <t>1035 Inkster Rd.
Garden City, Mi. 48135</t>
        </is>
      </c>
    </row>
    <row r="82" ht="33" customHeight="1" s="237">
      <c r="A82" s="95" t="inlineStr">
        <is>
          <t>43475 Dalcoma Dr.
Clinton Twp, Mi. 48038</t>
        </is>
      </c>
    </row>
    <row r="83" ht="33" customHeight="1" s="237">
      <c r="A83" s="95" t="inlineStr">
        <is>
          <t>2221 Livernois Rd.
Troy, MI. 48083</t>
        </is>
      </c>
    </row>
    <row r="84" ht="33" customHeight="1" s="237">
      <c r="A84" s="95" t="inlineStr">
        <is>
          <t>5210 Highland Rd.
Waterford, Mi. 48327</t>
        </is>
      </c>
    </row>
    <row r="85" ht="33" customHeight="1" s="237">
      <c r="A85" s="95" t="inlineStr">
        <is>
          <t>311 Mack Ave
Detroit, Mi. 48201</t>
        </is>
      </c>
    </row>
    <row r="86" ht="33" customHeight="1" s="237">
      <c r="A86" s="95" t="inlineStr">
        <is>
          <t>41941 Garfield Rd.
Clinton Twp, Mi. 48038</t>
        </is>
      </c>
    </row>
    <row r="87" ht="33" customHeight="1" s="237">
      <c r="A87" s="95" t="inlineStr">
        <is>
          <t>42450 Hayes Rd
Clinton Twp, MI. 48038</t>
        </is>
      </c>
    </row>
    <row r="88" ht="33" customHeight="1" s="237">
      <c r="A88" s="95" t="inlineStr">
        <is>
          <t>10551 Allen Rd.
Allen Park, MI. 48101</t>
        </is>
      </c>
    </row>
    <row r="89" ht="33" customHeight="1" s="237">
      <c r="A89" s="95" t="inlineStr">
        <is>
          <t>2930 E. Jefferson 
Detroit, MI. 48201</t>
        </is>
      </c>
    </row>
    <row r="90" ht="33" customHeight="1" s="237">
      <c r="A90" s="95" t="inlineStr">
        <is>
          <t>29355 Northwestern Hwy
Southfield, MI. 48034</t>
        </is>
      </c>
    </row>
    <row r="91" ht="33" customHeight="1" s="237">
      <c r="A91" s="95" t="inlineStr">
        <is>
          <t>15105 Northline Rd.
Southgate, Mi. 48195</t>
        </is>
      </c>
    </row>
    <row r="92" ht="33" customHeight="1" s="237">
      <c r="A92" s="95" t="inlineStr">
        <is>
          <t>2221 Livernois Rd.
Troy, MI. 48083</t>
        </is>
      </c>
    </row>
    <row r="93" ht="33" customHeight="1" s="237">
      <c r="A93" s="95" t="inlineStr">
        <is>
          <t>1041 S. Main St.
Royal Oak, Mi. 48067</t>
        </is>
      </c>
    </row>
    <row r="94" ht="33" customHeight="1" s="237">
      <c r="A94" s="95" t="inlineStr">
        <is>
          <t>3535 E 13 Mile Rd.
Royal Oak, Mi. 48073</t>
        </is>
      </c>
    </row>
    <row r="95" ht="33" customHeight="1" s="237">
      <c r="A95" s="95" t="inlineStr">
        <is>
          <t>32255 Northwestern Hwy
Farmigton Hills, Mi. 48334</t>
        </is>
      </c>
    </row>
    <row r="96" ht="33" customHeight="1" s="237">
      <c r="A96" s="95" t="inlineStr">
        <is>
          <t>22819 Michigan Ave
Dearborn, Mi. 48124</t>
        </is>
      </c>
    </row>
    <row r="97" ht="33" customHeight="1" s="237">
      <c r="A97" s="95" t="inlineStr">
        <is>
          <t>3297 Orchard Lake Rd.
Keego Harbor, MI. 48320</t>
        </is>
      </c>
    </row>
    <row r="98" ht="33" customHeight="1" s="237">
      <c r="A98" s="95" t="inlineStr">
        <is>
          <t>2550 S. Telegraph Rd.
Bloomfield Hills, Mi. 48302</t>
        </is>
      </c>
    </row>
    <row r="99" ht="33" customHeight="1" s="237">
      <c r="A99" s="95" t="inlineStr">
        <is>
          <t>10551 Allen Rd.
Allen Park, MI. 48101</t>
        </is>
      </c>
    </row>
    <row r="100" ht="33" customHeight="1" s="237">
      <c r="A100" s="95" t="inlineStr">
        <is>
          <t>2333 Biddle Ave
Wyandotte, Mi. 48192</t>
        </is>
      </c>
    </row>
    <row r="101" ht="33" customHeight="1" s="237">
      <c r="A101" s="95" t="inlineStr">
        <is>
          <t>43050 Ford Rd.
Canton, MI. 48187</t>
        </is>
      </c>
    </row>
    <row r="102" ht="33" customHeight="1" s="237">
      <c r="A102" s="95" t="inlineStr">
        <is>
          <t>2070 Biddle Ave
Wyandotte, Mi. 48192</t>
        </is>
      </c>
    </row>
    <row r="103" ht="33" customHeight="1" s="237">
      <c r="A103" s="95" t="inlineStr">
        <is>
          <t>4660 Hagadorn Rd.
Lansing, Mi. 48223</t>
        </is>
      </c>
    </row>
    <row r="104" ht="33" customHeight="1" s="237">
      <c r="A104" s="95" t="inlineStr">
        <is>
          <t>1000 Joanne Ct.
Bloomfield, Mi. 48302</t>
        </is>
      </c>
    </row>
    <row r="105" ht="33" customHeight="1" s="237">
      <c r="A105" s="95" t="inlineStr">
        <is>
          <t>31000 Telegraph Rd.
Bingham Farms, Mi. 48205</t>
        </is>
      </c>
    </row>
    <row r="106" ht="33" customHeight="1" s="237">
      <c r="A106" s="95" t="inlineStr">
        <is>
          <t>26631 Southfield Rd. 
Southfield, MI. 48076</t>
        </is>
      </c>
    </row>
    <row r="107" ht="33" customHeight="1" s="237">
      <c r="A107" s="95" t="inlineStr">
        <is>
          <t>2770 Biddle Ave
Wyandotte, Mi. 48192</t>
        </is>
      </c>
    </row>
    <row r="108" ht="33" customHeight="1" s="237">
      <c r="A108" s="95" t="inlineStr">
        <is>
          <t>6079 W Maple Rd
West Bloomfield Twp, Mi. 48322</t>
        </is>
      </c>
    </row>
    <row r="109" ht="33" customHeight="1" s="237">
      <c r="A109" s="95" t="inlineStr">
        <is>
          <t>32770 Franklin Rd.
Franklin, MI. 48025</t>
        </is>
      </c>
    </row>
    <row r="110" ht="33" customHeight="1" s="237">
      <c r="A110" s="95" t="inlineStr">
        <is>
          <t>28875 Plymouth Rd.
Livonia, Mi. 48150</t>
        </is>
      </c>
    </row>
    <row r="111" ht="33" customHeight="1" s="237">
      <c r="A111" s="95" t="inlineStr">
        <is>
          <t>26400 Lahser Rd.
Southfield, MI. 48033</t>
        </is>
      </c>
    </row>
    <row r="112" ht="33" customHeight="1" s="237">
      <c r="A112" s="95" t="inlineStr">
        <is>
          <t>17625 Joy Rd.
Detroit, MI. 48228</t>
        </is>
      </c>
    </row>
    <row r="113" ht="33" customHeight="1" s="237">
      <c r="A113" s="95" t="inlineStr">
        <is>
          <t>24420 Ford Rd.
Dearborn Hts. Mi. 48127</t>
        </is>
      </c>
    </row>
    <row r="114" ht="33" customHeight="1" s="237">
      <c r="A114" s="95" t="inlineStr">
        <is>
          <t>624 E. 9 Miles Rd.
Hazel Park, MI. 48030</t>
        </is>
      </c>
    </row>
    <row r="115" ht="33" customHeight="1" s="237">
      <c r="A115" s="95" t="inlineStr">
        <is>
          <t>14855 Galleon Court
Plymouth, Mi. 48170</t>
        </is>
      </c>
    </row>
    <row r="116" ht="33" customHeight="1" s="237">
      <c r="A116" s="95" t="inlineStr">
        <is>
          <t>50154 Schoenherr Rd.
Shelby Twp, MI. 48315</t>
        </is>
      </c>
    </row>
    <row r="117" ht="33" customHeight="1" s="237">
      <c r="A117" s="95" t="inlineStr">
        <is>
          <t>1505 W. Holmes Rd.
Lansing, Mi. 48910</t>
        </is>
      </c>
    </row>
    <row r="118" ht="33" customHeight="1" s="237">
      <c r="A118" s="95" t="inlineStr">
        <is>
          <t>3204 Rochester  Rd.
Royal Oak, Mi. 48073</t>
        </is>
      </c>
    </row>
    <row r="119" ht="33" customHeight="1" s="237">
      <c r="A119" s="95" t="inlineStr">
        <is>
          <t>2243 E. Twelve Mile Rd.
Warren/ Mi. 48092</t>
        </is>
      </c>
    </row>
    <row r="120" ht="33" customHeight="1" s="237">
      <c r="A120" s="95" t="inlineStr">
        <is>
          <t>14855 Galleon Dr.
Plymouth, Mi. 48170</t>
        </is>
      </c>
    </row>
    <row r="121" ht="33" customHeight="1" s="237">
      <c r="A121" s="95" t="inlineStr">
        <is>
          <t>670 Chene St.
Detroit, Mi. 48207</t>
        </is>
      </c>
    </row>
    <row r="122" ht="33" customHeight="1" s="237">
      <c r="A122" s="95" t="inlineStr">
        <is>
          <t>43475 Dalcoma Dr.
Clinton Twp., Mi. 48038</t>
        </is>
      </c>
    </row>
    <row r="123" ht="33" customHeight="1" s="237">
      <c r="A123" s="95" t="inlineStr">
        <is>
          <t>5210 Highland Rd.
Waterford, Mi. 48327</t>
        </is>
      </c>
    </row>
    <row r="124" ht="30.75" customHeight="1" s="237">
      <c r="A124" s="166" t="inlineStr">
        <is>
          <t>44245 Ford Rd.
Canton, Mi. 48187</t>
        </is>
      </c>
    </row>
    <row r="125" ht="33.75" customHeight="1" s="237">
      <c r="A125" s="166" t="inlineStr">
        <is>
          <t>25500 Meadowbrook Rd.
Novi, MI. 48375</t>
        </is>
      </c>
    </row>
    <row r="126" ht="15.75" customHeight="1" s="237"/>
    <row r="127" ht="15.75" customHeight="1" s="237"/>
    <row r="128" ht="15.75" customHeight="1" s="237"/>
    <row r="129" ht="15.75" customHeight="1" s="237"/>
    <row r="130" ht="15.75" customHeight="1" s="237"/>
    <row r="131" ht="15.75" customHeight="1" s="237"/>
    <row r="132" ht="15.75" customHeight="1" s="237"/>
    <row r="133" ht="15.75" customHeight="1" s="237"/>
    <row r="134" ht="15.75" customHeight="1" s="237"/>
    <row r="135" ht="15.75" customHeight="1" s="237"/>
    <row r="136" ht="15.75" customHeight="1" s="237"/>
    <row r="137" ht="15.75" customHeight="1" s="237"/>
    <row r="138" ht="15.75" customHeight="1" s="237"/>
    <row r="139" ht="15.75" customHeight="1" s="237"/>
    <row r="140" ht="15.75" customHeight="1" s="237"/>
    <row r="141" ht="15.75" customHeight="1" s="237"/>
    <row r="142" ht="15.75" customHeight="1" s="237"/>
    <row r="143" ht="15.75" customHeight="1" s="237"/>
    <row r="144" ht="15.75" customHeight="1" s="237"/>
    <row r="145" ht="15.75" customHeight="1" s="237"/>
    <row r="146" ht="15.75" customHeight="1" s="237"/>
    <row r="147" ht="15.75" customHeight="1" s="237"/>
    <row r="148" ht="15.75" customHeight="1" s="237"/>
    <row r="149" ht="15.75" customHeight="1" s="237"/>
    <row r="150" ht="15.75" customHeight="1" s="237"/>
    <row r="151" ht="15.75" customHeight="1" s="237"/>
    <row r="152" ht="15.75" customHeight="1" s="237"/>
    <row r="153" ht="15.75" customHeight="1" s="237"/>
    <row r="154" ht="15.75" customHeight="1" s="237"/>
    <row r="155" ht="15.75" customHeight="1" s="237"/>
    <row r="156" ht="15.75" customHeight="1" s="237"/>
    <row r="157" ht="15.75" customHeight="1" s="237"/>
    <row r="158" ht="15.75" customHeight="1" s="237"/>
    <row r="159" ht="15.75" customHeight="1" s="237"/>
    <row r="160" ht="15.75" customHeight="1" s="237"/>
    <row r="161" ht="15.75" customHeight="1" s="237"/>
    <row r="162" ht="15.75" customHeight="1" s="237"/>
    <row r="163" ht="15.75" customHeight="1" s="237"/>
    <row r="164" ht="15.75" customHeight="1" s="237"/>
    <row r="165" ht="15.75" customHeight="1" s="237"/>
    <row r="166" ht="15.75" customHeight="1" s="237"/>
    <row r="167" ht="15.75" customHeight="1" s="237"/>
    <row r="168" ht="15.75" customHeight="1" s="237"/>
    <row r="169" ht="15.75" customHeight="1" s="237"/>
    <row r="170" ht="15.75" customHeight="1" s="237"/>
    <row r="171" ht="15.75" customHeight="1" s="237"/>
    <row r="172" ht="15.75" customHeight="1" s="237"/>
    <row r="173" ht="15.75" customHeight="1" s="237"/>
    <row r="174" ht="15.75" customHeight="1" s="237"/>
    <row r="175" ht="15.75" customHeight="1" s="237"/>
    <row r="176" ht="15.75" customHeight="1" s="237"/>
    <row r="177" ht="15.75" customHeight="1" s="237"/>
    <row r="178" ht="15.75" customHeight="1" s="237"/>
    <row r="179" ht="15.75" customHeight="1" s="237"/>
    <row r="180" ht="15.75" customHeight="1" s="237"/>
    <row r="181" ht="15.75" customHeight="1" s="237"/>
    <row r="182" ht="15.75" customHeight="1" s="237"/>
    <row r="183" ht="15.75" customHeight="1" s="237"/>
    <row r="184" ht="15.75" customHeight="1" s="237"/>
    <row r="185" ht="15.75" customHeight="1" s="237"/>
    <row r="186" ht="15.75" customHeight="1" s="237"/>
    <row r="187" ht="15.75" customHeight="1" s="237"/>
    <row r="188" ht="15.75" customHeight="1" s="237"/>
    <row r="189" ht="15.75" customHeight="1" s="237"/>
    <row r="190" ht="15.75" customHeight="1" s="237"/>
    <row r="191" ht="15.75" customHeight="1" s="237"/>
    <row r="192" ht="15.75" customHeight="1" s="237"/>
    <row r="193" ht="15.75" customHeight="1" s="237"/>
    <row r="194" ht="15.75" customHeight="1" s="237"/>
    <row r="195" ht="15.75" customHeight="1" s="237"/>
    <row r="196" ht="15.75" customHeight="1" s="237"/>
    <row r="197" ht="15.75" customHeight="1" s="237"/>
    <row r="198" ht="15.75" customHeight="1" s="237"/>
    <row r="199" ht="15.75" customHeight="1" s="237"/>
    <row r="200" ht="15.75" customHeight="1" s="237"/>
    <row r="201" ht="15.75" customHeight="1" s="237"/>
    <row r="202" ht="15.75" customHeight="1" s="237"/>
    <row r="203" ht="15.75" customHeight="1" s="237"/>
    <row r="204" ht="15.75" customHeight="1" s="237"/>
    <row r="205" ht="15.75" customHeight="1" s="237"/>
    <row r="206" ht="15.75" customHeight="1" s="237"/>
    <row r="207" ht="15.75" customHeight="1" s="237"/>
    <row r="208" ht="15.75" customHeight="1" s="237"/>
    <row r="209" ht="15.75" customHeight="1" s="237"/>
    <row r="210" ht="15.75" customHeight="1" s="237"/>
    <row r="211" ht="15.75" customHeight="1" s="237"/>
    <row r="212" ht="15.75" customHeight="1" s="237"/>
    <row r="213" ht="15.75" customHeight="1" s="237"/>
    <row r="214" ht="15.75" customHeight="1" s="237"/>
    <row r="215" ht="15.75" customHeight="1" s="237"/>
    <row r="216" ht="15.75" customHeight="1" s="237"/>
    <row r="217" ht="15.75" customHeight="1" s="237"/>
    <row r="218" ht="15.75" customHeight="1" s="237"/>
    <row r="219" ht="15.75" customHeight="1" s="237"/>
    <row r="220" ht="15.75" customHeight="1" s="237"/>
    <row r="221" ht="15.75" customHeight="1" s="237"/>
    <row r="222" ht="15.75" customHeight="1" s="237"/>
    <row r="223" ht="15.75" customHeight="1" s="237"/>
    <row r="224" ht="15.75" customHeight="1" s="237"/>
    <row r="225" ht="15.75" customHeight="1" s="237"/>
    <row r="226" ht="15.75" customHeight="1" s="237"/>
    <row r="227" ht="15.75" customHeight="1" s="237"/>
    <row r="228" ht="15.75" customHeight="1" s="237"/>
    <row r="229" ht="15.75" customHeight="1" s="237"/>
    <row r="230" ht="15.75" customHeight="1" s="237"/>
    <row r="231" ht="15.75" customHeight="1" s="237"/>
    <row r="232" ht="15.75" customHeight="1" s="237"/>
    <row r="233" ht="15.75" customHeight="1" s="237"/>
    <row r="234" ht="15.75" customHeight="1" s="237"/>
    <row r="235" ht="15.75" customHeight="1" s="237"/>
    <row r="236" ht="15.75" customHeight="1" s="237"/>
    <row r="237" ht="15.75" customHeight="1" s="237"/>
    <row r="238" ht="15.75" customHeight="1" s="237"/>
    <row r="239" ht="15.75" customHeight="1" s="237"/>
    <row r="240" ht="15.75" customHeight="1" s="237"/>
    <row r="241" ht="15.75" customHeight="1" s="237"/>
    <row r="242" ht="15.75" customHeight="1" s="237"/>
    <row r="243" ht="15.75" customHeight="1" s="237"/>
    <row r="244" ht="15.75" customHeight="1" s="237"/>
    <row r="245" ht="15.75" customHeight="1" s="237"/>
    <row r="246" ht="15.75" customHeight="1" s="237"/>
    <row r="247" ht="15.75" customHeight="1" s="237"/>
    <row r="248" ht="15.75" customHeight="1" s="237"/>
    <row r="249" ht="15.75" customHeight="1" s="237"/>
    <row r="250" ht="15.75" customHeight="1" s="237"/>
    <row r="251" ht="15.75" customHeight="1" s="237"/>
    <row r="252" ht="15.75" customHeight="1" s="237"/>
    <row r="253" ht="15.75" customHeight="1" s="237"/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</sheetData>
  <conditionalFormatting sqref="A21">
    <cfRule type="expression" priority="1" dxfId="17">
      <formula>$U21="Billed"</formula>
    </cfRule>
  </conditionalFormatting>
  <conditionalFormatting sqref="A60">
    <cfRule type="expression" priority="2" dxfId="17">
      <formula>$U60="Billed"</formula>
    </cfRule>
  </conditionalFormatting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 fitToPage="1"/>
  </sheetPr>
  <dimension ref="A1:X997"/>
  <sheetViews>
    <sheetView showGridLines="0" workbookViewId="0">
      <pane ySplit="1" topLeftCell="A2" activePane="bottomLeft" state="frozen"/>
      <selection pane="bottomLeft" activeCell="A12" sqref="A12:XFD12"/>
    </sheetView>
  </sheetViews>
  <sheetFormatPr baseColWidth="8" defaultColWidth="14.42578125" defaultRowHeight="15" customHeight="1"/>
  <cols>
    <col width="28.5703125" customWidth="1" style="237" min="1" max="1"/>
    <col width="37.5703125" bestFit="1" customWidth="1" style="237" min="2" max="2"/>
    <col width="19.42578125" customWidth="1" style="237" min="3" max="3"/>
    <col width="15.7109375" customWidth="1" style="237" min="4" max="5"/>
    <col width="17.5703125" customWidth="1" style="165" min="6" max="6"/>
    <col width="26.85546875" customWidth="1" style="237" min="7" max="7"/>
    <col width="8.7109375" customWidth="1" style="237" min="8" max="24"/>
  </cols>
  <sheetData>
    <row r="1" ht="16.5" customHeight="1" s="237">
      <c r="A1" s="83" t="inlineStr">
        <is>
          <t>Insurance</t>
        </is>
      </c>
      <c r="B1" s="84" t="inlineStr">
        <is>
          <t>Address</t>
        </is>
      </c>
      <c r="C1" s="84" t="inlineStr">
        <is>
          <t>City</t>
        </is>
      </c>
      <c r="D1" s="84" t="inlineStr">
        <is>
          <t>State</t>
        </is>
      </c>
      <c r="E1" s="84" t="inlineStr">
        <is>
          <t>Zip Code</t>
        </is>
      </c>
      <c r="F1" s="85" t="inlineStr">
        <is>
          <t>Fax</t>
        </is>
      </c>
      <c r="G1" s="86" t="inlineStr">
        <is>
          <t>Alternate  Phone#</t>
        </is>
      </c>
      <c r="H1" s="6" t="n"/>
      <c r="I1" s="6" t="n"/>
      <c r="J1" s="6" t="n"/>
      <c r="K1" s="6" t="n"/>
      <c r="L1" s="6" t="n"/>
      <c r="M1" s="6" t="n"/>
      <c r="N1" s="6" t="n"/>
      <c r="O1" s="6" t="n"/>
      <c r="P1" s="6" t="n"/>
      <c r="Q1" s="6" t="n"/>
      <c r="R1" s="6" t="n"/>
      <c r="S1" s="6" t="n"/>
      <c r="T1" s="6" t="n"/>
      <c r="U1" s="6" t="n"/>
      <c r="V1" s="6" t="n"/>
      <c r="W1" s="6" t="n"/>
      <c r="X1" s="6" t="n"/>
    </row>
    <row r="2" ht="16.5" customHeight="1" s="237">
      <c r="A2" s="23" t="inlineStr">
        <is>
          <t>AAA</t>
        </is>
      </c>
      <c r="B2" s="23" t="inlineStr">
        <is>
          <t>P.O. Box 2946</t>
        </is>
      </c>
      <c r="C2" s="96" t="inlineStr">
        <is>
          <t>Clinton</t>
        </is>
      </c>
      <c r="D2" s="97" t="inlineStr">
        <is>
          <t>IA</t>
        </is>
      </c>
      <c r="E2" s="97" t="n">
        <v>52733</v>
      </c>
      <c r="F2" s="161" t="n">
        <v>8883214622</v>
      </c>
      <c r="G2" s="280" t="inlineStr">
        <is>
          <t>N/A</t>
        </is>
      </c>
      <c r="H2" s="6" t="n"/>
      <c r="I2" s="6" t="n"/>
      <c r="J2" s="6" t="n"/>
      <c r="K2" s="6" t="n"/>
      <c r="L2" s="6" t="n"/>
      <c r="M2" s="6" t="n"/>
      <c r="N2" s="6" t="n"/>
      <c r="O2" s="6" t="n"/>
      <c r="P2" s="6" t="n"/>
      <c r="Q2" s="6" t="n"/>
      <c r="R2" s="6" t="n"/>
      <c r="S2" s="6" t="n"/>
      <c r="T2" s="6" t="n"/>
      <c r="U2" s="6" t="n"/>
      <c r="V2" s="6" t="n"/>
      <c r="W2" s="6" t="n"/>
      <c r="X2" s="6" t="n"/>
    </row>
    <row r="3" ht="16.5" customHeight="1" s="237">
      <c r="A3" s="98" t="inlineStr">
        <is>
          <t>All State</t>
        </is>
      </c>
      <c r="B3" s="98" t="inlineStr">
        <is>
          <t>P.O. Box 2874</t>
        </is>
      </c>
      <c r="C3" s="96" t="inlineStr">
        <is>
          <t>Clinton</t>
        </is>
      </c>
      <c r="D3" s="99" t="inlineStr">
        <is>
          <t>IA</t>
        </is>
      </c>
      <c r="E3" s="99" t="n">
        <v>52733</v>
      </c>
      <c r="F3" s="162" t="n">
        <v>6083737383</v>
      </c>
      <c r="G3" s="280" t="n">
        <v>8662800402</v>
      </c>
      <c r="H3" s="6" t="n"/>
      <c r="I3" s="6" t="n"/>
      <c r="J3" s="6" t="n"/>
      <c r="K3" s="6" t="n"/>
      <c r="L3" s="6" t="n"/>
      <c r="M3" s="6" t="n"/>
      <c r="N3" s="6" t="n"/>
      <c r="O3" s="6" t="n"/>
      <c r="P3" s="6" t="n"/>
      <c r="Q3" s="6" t="n"/>
      <c r="R3" s="6" t="n"/>
      <c r="S3" s="6" t="n"/>
      <c r="T3" s="6" t="n"/>
      <c r="U3" s="6" t="n"/>
      <c r="V3" s="6" t="n"/>
      <c r="W3" s="6" t="n"/>
      <c r="X3" s="6" t="n"/>
    </row>
    <row r="4" ht="16.5" customHeight="1" s="237">
      <c r="A4" s="98" t="inlineStr">
        <is>
          <t>ASU Group</t>
        </is>
      </c>
      <c r="B4" s="98" t="inlineStr">
        <is>
          <t>P.O. Box 77</t>
        </is>
      </c>
      <c r="C4" s="96" t="inlineStr">
        <is>
          <t>Okemos</t>
        </is>
      </c>
      <c r="D4" s="99" t="inlineStr">
        <is>
          <t>MI</t>
        </is>
      </c>
      <c r="E4" s="99" t="n">
        <v>48805</v>
      </c>
      <c r="F4" s="162" t="n"/>
      <c r="G4" s="280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  <c r="Q4" s="6" t="n"/>
      <c r="R4" s="6" t="n"/>
      <c r="S4" s="6" t="n"/>
      <c r="T4" s="6" t="n"/>
      <c r="U4" s="6" t="n"/>
      <c r="V4" s="6" t="n"/>
      <c r="W4" s="6" t="n"/>
      <c r="X4" s="6" t="n"/>
    </row>
    <row r="5" ht="16.5" customHeight="1" s="237">
      <c r="A5" s="98" t="inlineStr">
        <is>
          <t>Auto Owners</t>
        </is>
      </c>
      <c r="B5" s="98" t="inlineStr">
        <is>
          <t>P.O. Box 30512</t>
        </is>
      </c>
      <c r="C5" s="96" t="inlineStr">
        <is>
          <t>Lansing</t>
        </is>
      </c>
      <c r="D5" s="99" t="inlineStr">
        <is>
          <t>MI</t>
        </is>
      </c>
      <c r="E5" s="99" t="n">
        <v>30512</v>
      </c>
      <c r="F5" s="162" t="n">
        <v>8888751531</v>
      </c>
      <c r="G5" s="280" t="inlineStr">
        <is>
          <t>N/A</t>
        </is>
      </c>
      <c r="H5" s="6" t="n"/>
      <c r="I5" s="6" t="n"/>
      <c r="J5" s="6" t="n"/>
      <c r="K5" s="6" t="n"/>
      <c r="L5" s="6" t="n"/>
      <c r="M5" s="6" t="n"/>
      <c r="N5" s="6" t="n"/>
      <c r="O5" s="6" t="n"/>
      <c r="P5" s="6" t="n"/>
      <c r="Q5" s="6" t="n"/>
      <c r="R5" s="6" t="n"/>
      <c r="S5" s="6" t="n"/>
      <c r="T5" s="6" t="n"/>
      <c r="U5" s="6" t="n"/>
      <c r="V5" s="6" t="n"/>
      <c r="W5" s="6" t="n"/>
      <c r="X5" s="6" t="n"/>
    </row>
    <row r="6" ht="16.5" customHeight="1" s="237">
      <c r="A6" s="98" t="inlineStr">
        <is>
          <t>Berkley Prime Transportation</t>
        </is>
      </c>
      <c r="B6" s="98" t="inlineStr">
        <is>
          <t>4800 Deerwood Campus Parkway</t>
        </is>
      </c>
      <c r="C6" s="96" t="inlineStr">
        <is>
          <t>Jacksonville</t>
        </is>
      </c>
      <c r="D6" s="99" t="inlineStr">
        <is>
          <t>FL</t>
        </is>
      </c>
      <c r="E6" s="99" t="n">
        <v>32246</v>
      </c>
      <c r="F6" s="162" t="n">
        <v>9043638098</v>
      </c>
      <c r="G6" s="280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  <c r="Q6" s="6" t="n"/>
      <c r="R6" s="6" t="n"/>
      <c r="S6" s="6" t="n"/>
      <c r="T6" s="6" t="n"/>
      <c r="U6" s="6" t="n"/>
      <c r="V6" s="6" t="n"/>
      <c r="W6" s="6" t="n"/>
      <c r="X6" s="6" t="n"/>
    </row>
    <row r="7" ht="16.5" customHeight="1" s="237">
      <c r="A7" s="98" t="inlineStr">
        <is>
          <t>Bluestar</t>
        </is>
      </c>
      <c r="B7" s="98" t="inlineStr">
        <is>
          <t>21001 N. Tatum Blvd.</t>
        </is>
      </c>
      <c r="C7" s="96" t="inlineStr">
        <is>
          <t>Phoenix</t>
        </is>
      </c>
      <c r="D7" s="99" t="inlineStr">
        <is>
          <t>AZ</t>
        </is>
      </c>
      <c r="E7" s="99" t="n">
        <v>85080</v>
      </c>
      <c r="F7" s="162" t="n">
        <v>4805792476</v>
      </c>
      <c r="G7" s="280" t="inlineStr">
        <is>
          <t>N/A</t>
        </is>
      </c>
      <c r="H7" s="6" t="n"/>
      <c r="I7" s="6" t="n"/>
      <c r="J7" s="6" t="n"/>
      <c r="K7" s="6" t="n"/>
      <c r="L7" s="6" t="n"/>
      <c r="M7" s="6" t="n"/>
      <c r="N7" s="6" t="n"/>
      <c r="O7" s="6" t="n"/>
      <c r="P7" s="6" t="n"/>
      <c r="Q7" s="6" t="n"/>
      <c r="R7" s="6" t="n"/>
      <c r="S7" s="6" t="n"/>
      <c r="T7" s="6" t="n"/>
      <c r="U7" s="6" t="n"/>
      <c r="V7" s="6" t="n"/>
      <c r="W7" s="6" t="n"/>
      <c r="X7" s="6" t="n"/>
    </row>
    <row r="8" ht="16.5" customHeight="1" s="237">
      <c r="A8" s="98" t="inlineStr">
        <is>
          <t>Central Insurance</t>
        </is>
      </c>
      <c r="B8" s="98" t="inlineStr">
        <is>
          <t>P.O. Box 353 Van Wert</t>
        </is>
      </c>
      <c r="C8" s="96" t="inlineStr">
        <is>
          <t>Northville</t>
        </is>
      </c>
      <c r="D8" s="99" t="inlineStr">
        <is>
          <t>OH</t>
        </is>
      </c>
      <c r="E8" s="99" t="n">
        <v>45891</v>
      </c>
      <c r="F8" s="162" t="n">
        <v>8007367026</v>
      </c>
      <c r="G8" s="280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  <c r="Q8" s="6" t="n"/>
      <c r="R8" s="6" t="n"/>
      <c r="S8" s="6" t="n"/>
      <c r="T8" s="6" t="n"/>
      <c r="U8" s="6" t="n"/>
      <c r="V8" s="6" t="n"/>
      <c r="W8" s="6" t="n"/>
      <c r="X8" s="6" t="n"/>
    </row>
    <row r="9" ht="16.5" customHeight="1" s="237">
      <c r="A9" s="23" t="inlineStr">
        <is>
          <t>Citizens Insurance</t>
        </is>
      </c>
      <c r="B9" s="24" t="inlineStr">
        <is>
          <t>P.O. Box 151460</t>
        </is>
      </c>
      <c r="C9" s="16" t="inlineStr">
        <is>
          <t>Worcester</t>
        </is>
      </c>
      <c r="D9" s="25" t="inlineStr">
        <is>
          <t>MA</t>
        </is>
      </c>
      <c r="E9" s="25" t="inlineStr">
        <is>
          <t>01615</t>
        </is>
      </c>
      <c r="F9" s="161" t="n">
        <v>8884810545</v>
      </c>
      <c r="G9" s="280" t="n">
        <v>8666655009</v>
      </c>
      <c r="H9" s="6" t="n"/>
      <c r="I9" s="6" t="n"/>
      <c r="J9" s="6" t="n"/>
      <c r="K9" s="6" t="n"/>
      <c r="L9" s="6" t="n"/>
      <c r="M9" s="6" t="n"/>
      <c r="N9" s="6" t="n"/>
      <c r="O9" s="6" t="n"/>
      <c r="P9" s="6" t="n"/>
      <c r="Q9" s="6" t="n"/>
      <c r="R9" s="6" t="n"/>
      <c r="S9" s="6" t="n"/>
      <c r="T9" s="6" t="n"/>
      <c r="U9" s="6" t="n"/>
      <c r="V9" s="6" t="n"/>
      <c r="W9" s="6" t="n"/>
      <c r="X9" s="6" t="n"/>
    </row>
    <row r="10" ht="16.5" customHeight="1" s="237">
      <c r="A10" s="98" t="inlineStr">
        <is>
          <t xml:space="preserve">Cure Auto </t>
        </is>
      </c>
      <c r="B10" s="98" t="inlineStr">
        <is>
          <t>300 American Metro Blvd</t>
        </is>
      </c>
      <c r="C10" s="96" t="inlineStr">
        <is>
          <t>New Jersey</t>
        </is>
      </c>
      <c r="D10" s="99" t="inlineStr">
        <is>
          <t>MI</t>
        </is>
      </c>
      <c r="E10" s="100" t="inlineStr">
        <is>
          <t>08619</t>
        </is>
      </c>
      <c r="F10" s="162" t="n">
        <v>8569102501</v>
      </c>
      <c r="G10" s="280" t="inlineStr">
        <is>
          <t>N/A</t>
        </is>
      </c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</row>
    <row r="11" ht="16.5" customHeight="1" s="237">
      <c r="A11" s="98" t="inlineStr">
        <is>
          <t>Esurance</t>
        </is>
      </c>
      <c r="B11" s="98" t="inlineStr">
        <is>
          <t>P.O. Box 660637</t>
        </is>
      </c>
      <c r="C11" s="96" t="inlineStr">
        <is>
          <t>Dallas</t>
        </is>
      </c>
      <c r="D11" s="99" t="inlineStr">
        <is>
          <t>TX</t>
        </is>
      </c>
      <c r="E11" s="99" t="n">
        <v>5266</v>
      </c>
      <c r="F11" s="162" t="n"/>
      <c r="G11" s="280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</row>
    <row r="12" ht="16.5" customHeight="1" s="237">
      <c r="A12" s="98" t="inlineStr">
        <is>
          <t>Farm Bureau</t>
        </is>
      </c>
      <c r="B12" s="98" t="inlineStr">
        <is>
          <t>P.O. Box 30100</t>
        </is>
      </c>
      <c r="C12" s="96" t="inlineStr">
        <is>
          <t>Lansing</t>
        </is>
      </c>
      <c r="D12" s="99" t="inlineStr">
        <is>
          <t>MI</t>
        </is>
      </c>
      <c r="E12" s="99" t="n">
        <v>48909</v>
      </c>
      <c r="F12" s="162" t="n">
        <v>6082996680</v>
      </c>
      <c r="G12" s="280" t="n">
        <v>5173236724</v>
      </c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  <c r="S12" s="6" t="n"/>
      <c r="T12" s="6" t="n"/>
      <c r="U12" s="6" t="n"/>
      <c r="V12" s="6" t="n"/>
      <c r="W12" s="6" t="n"/>
      <c r="X12" s="6" t="n"/>
    </row>
    <row r="13" ht="16.5" customHeight="1" s="237">
      <c r="A13" s="98" t="inlineStr">
        <is>
          <t>Farmers</t>
        </is>
      </c>
      <c r="B13" s="98" t="inlineStr">
        <is>
          <t>P.O. Box 268993</t>
        </is>
      </c>
      <c r="C13" s="96" t="inlineStr">
        <is>
          <t>Oklahoma City</t>
        </is>
      </c>
      <c r="D13" s="99" t="inlineStr">
        <is>
          <t>OK</t>
        </is>
      </c>
      <c r="E13" s="99" t="n">
        <v>73126</v>
      </c>
      <c r="F13" s="162" t="n">
        <v>8004357764</v>
      </c>
      <c r="G13" s="280" t="inlineStr">
        <is>
          <t>N/A</t>
        </is>
      </c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</row>
    <row r="14" ht="16.5" customHeight="1" s="237">
      <c r="A14" s="98" t="inlineStr">
        <is>
          <t>Geico</t>
        </is>
      </c>
      <c r="B14" s="98" t="inlineStr">
        <is>
          <t>N/A</t>
        </is>
      </c>
      <c r="C14" s="96" t="inlineStr">
        <is>
          <t>N/A</t>
        </is>
      </c>
      <c r="D14" s="99" t="inlineStr">
        <is>
          <t>N/A</t>
        </is>
      </c>
      <c r="E14" s="99" t="inlineStr">
        <is>
          <t>N/A</t>
        </is>
      </c>
      <c r="F14" s="162" t="n">
        <v>4182389189</v>
      </c>
      <c r="G14" s="280" t="inlineStr">
        <is>
          <t>N/A</t>
        </is>
      </c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</row>
    <row r="15" ht="16.5" customHeight="1" s="237">
      <c r="A15" s="98" t="inlineStr">
        <is>
          <t>Haggerty Insurance</t>
        </is>
      </c>
      <c r="B15" s="98" t="inlineStr">
        <is>
          <t>P.O. Box 87</t>
        </is>
      </c>
      <c r="C15" s="96" t="inlineStr">
        <is>
          <t>Traverse city</t>
        </is>
      </c>
      <c r="D15" s="99" t="inlineStr">
        <is>
          <t>MI</t>
        </is>
      </c>
      <c r="E15" s="99" t="n">
        <v>49685</v>
      </c>
      <c r="F15" s="162" t="n">
        <v>8883218020</v>
      </c>
      <c r="G15" s="280" t="inlineStr">
        <is>
          <t>N/A</t>
        </is>
      </c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</row>
    <row r="16" ht="16.5" customHeight="1" s="237">
      <c r="A16" s="98" t="inlineStr">
        <is>
          <t>Hanover</t>
        </is>
      </c>
      <c r="B16" s="98" t="inlineStr">
        <is>
          <t>P.O. Box 62409</t>
        </is>
      </c>
      <c r="C16" s="96" t="inlineStr">
        <is>
          <t>Irvine</t>
        </is>
      </c>
      <c r="D16" s="99" t="inlineStr">
        <is>
          <t>CA</t>
        </is>
      </c>
      <c r="E16" s="99" t="n">
        <v>92602</v>
      </c>
      <c r="F16" s="162" t="inlineStr">
        <is>
          <t>(508)-326-5660</t>
        </is>
      </c>
      <c r="G16" s="280" t="inlineStr">
        <is>
          <t>N/A</t>
        </is>
      </c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</row>
    <row r="17" ht="16.5" customHeight="1" s="237">
      <c r="A17" s="98" t="inlineStr">
        <is>
          <t>Liberty Mutual</t>
        </is>
      </c>
      <c r="B17" s="98" t="inlineStr">
        <is>
          <t>P.O. Box 5014</t>
        </is>
      </c>
      <c r="C17" s="96" t="inlineStr">
        <is>
          <t>Scranton</t>
        </is>
      </c>
      <c r="D17" s="99" t="inlineStr">
        <is>
          <t>PA</t>
        </is>
      </c>
      <c r="E17" s="99" t="n">
        <v>18505</v>
      </c>
      <c r="F17" s="162" t="n">
        <v>8882688840</v>
      </c>
      <c r="G17" s="280" t="inlineStr">
        <is>
          <t>N/A</t>
        </is>
      </c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</row>
    <row r="18" ht="16.5" customHeight="1" s="237">
      <c r="A18" s="98" t="inlineStr">
        <is>
          <t>Mackinaw Team</t>
        </is>
      </c>
      <c r="B18" s="98" t="inlineStr">
        <is>
          <t>21500 Haggerty Rd Ste. 250</t>
        </is>
      </c>
      <c r="C18" s="96" t="inlineStr">
        <is>
          <t>Northville</t>
        </is>
      </c>
      <c r="D18" s="99" t="inlineStr">
        <is>
          <t>MI</t>
        </is>
      </c>
      <c r="E18" s="99" t="n">
        <v>48167</v>
      </c>
      <c r="F18" s="162" t="n">
        <v>2483057055</v>
      </c>
      <c r="G18" s="280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</row>
    <row r="19" ht="16.5" customHeight="1" s="237">
      <c r="A19" s="98" t="inlineStr">
        <is>
          <t>MACP</t>
        </is>
      </c>
      <c r="B19" s="98" t="n"/>
      <c r="C19" s="96" t="n"/>
      <c r="D19" s="99" t="n"/>
      <c r="E19" s="99" t="n"/>
      <c r="F19" s="162" t="n"/>
      <c r="G19" s="280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</row>
    <row r="20" ht="16.5" customHeight="1" s="237">
      <c r="A20" s="98" t="inlineStr">
        <is>
          <t>N/A</t>
        </is>
      </c>
      <c r="B20" s="98" t="inlineStr">
        <is>
          <t>N/A</t>
        </is>
      </c>
      <c r="C20" s="96" t="inlineStr">
        <is>
          <t>N/A</t>
        </is>
      </c>
      <c r="D20" s="99" t="inlineStr">
        <is>
          <t>N/A</t>
        </is>
      </c>
      <c r="E20" s="99" t="inlineStr">
        <is>
          <t>N/A</t>
        </is>
      </c>
      <c r="F20" s="162" t="inlineStr">
        <is>
          <t>N/A</t>
        </is>
      </c>
      <c r="G20" s="280" t="inlineStr">
        <is>
          <t>N/A</t>
        </is>
      </c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</row>
    <row r="21" ht="16.5" customHeight="1" s="237">
      <c r="A21" s="98" t="inlineStr">
        <is>
          <t>Nationwide</t>
        </is>
      </c>
      <c r="B21" s="98" t="inlineStr">
        <is>
          <t>P.O. Box 182068</t>
        </is>
      </c>
      <c r="C21" s="96" t="inlineStr">
        <is>
          <t>Columbus</t>
        </is>
      </c>
      <c r="D21" s="99" t="inlineStr">
        <is>
          <t>OH</t>
        </is>
      </c>
      <c r="E21" s="99" t="n">
        <v>43218</v>
      </c>
      <c r="F21" s="162" t="n">
        <v>8662589369</v>
      </c>
      <c r="G21" s="280" t="inlineStr">
        <is>
          <t>N/A</t>
        </is>
      </c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</row>
    <row r="22" ht="16.5" customHeight="1" s="237">
      <c r="A22" s="98" t="inlineStr">
        <is>
          <t xml:space="preserve">Progressive </t>
        </is>
      </c>
      <c r="B22" s="98" t="inlineStr">
        <is>
          <t>P.O. Box 2930</t>
        </is>
      </c>
      <c r="C22" s="96" t="inlineStr">
        <is>
          <t>Clinton</t>
        </is>
      </c>
      <c r="D22" s="99" t="inlineStr">
        <is>
          <t>IA</t>
        </is>
      </c>
      <c r="E22" s="99" t="n">
        <v>52733</v>
      </c>
      <c r="F22" s="162" t="n">
        <v>8772137258</v>
      </c>
      <c r="G22" s="280" t="n">
        <v>8886226658</v>
      </c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</row>
    <row r="23" ht="16.5" customHeight="1" s="237">
      <c r="A23" s="98" t="inlineStr">
        <is>
          <t>Sedgwick</t>
        </is>
      </c>
      <c r="B23" s="98" t="inlineStr">
        <is>
          <t>P.O. Box 14841</t>
        </is>
      </c>
      <c r="C23" s="96" t="inlineStr">
        <is>
          <t>Lexington</t>
        </is>
      </c>
      <c r="D23" s="99" t="inlineStr">
        <is>
          <t>KY</t>
        </is>
      </c>
      <c r="E23" s="99" t="n">
        <v>40512</v>
      </c>
      <c r="F23" s="162" t="n">
        <v>8009217683</v>
      </c>
      <c r="G23" s="280" t="inlineStr">
        <is>
          <t>N/A</t>
        </is>
      </c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</row>
    <row r="24" ht="16.5" customHeight="1" s="237">
      <c r="A24" s="98" t="inlineStr">
        <is>
          <t>State Farm</t>
        </is>
      </c>
      <c r="B24" s="98" t="inlineStr">
        <is>
          <t>P.O. Box 106170</t>
        </is>
      </c>
      <c r="C24" s="96" t="inlineStr">
        <is>
          <t>Atlanta</t>
        </is>
      </c>
      <c r="D24" s="99" t="inlineStr">
        <is>
          <t>GA</t>
        </is>
      </c>
      <c r="E24" s="99" t="n">
        <v>30348</v>
      </c>
      <c r="F24" s="162" t="n">
        <v>8442181140</v>
      </c>
      <c r="G24" s="280" t="inlineStr">
        <is>
          <t>N/A</t>
        </is>
      </c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</row>
    <row r="25" ht="16.5" customHeight="1" s="237">
      <c r="A25" s="98" t="inlineStr">
        <is>
          <t>The Hartford</t>
        </is>
      </c>
      <c r="B25" s="98" t="inlineStr">
        <is>
          <t>P.O. Box 14269</t>
        </is>
      </c>
      <c r="C25" s="96" t="inlineStr">
        <is>
          <t>Lexington</t>
        </is>
      </c>
      <c r="D25" s="99" t="inlineStr">
        <is>
          <t>KY</t>
        </is>
      </c>
      <c r="E25" s="99" t="n">
        <v>40512</v>
      </c>
      <c r="F25" s="162" t="n">
        <v>8668099795</v>
      </c>
      <c r="G25" s="280" t="inlineStr">
        <is>
          <t>N/A</t>
        </is>
      </c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</row>
    <row r="26" ht="16.5" customHeight="1" s="237">
      <c r="A26" s="98" t="inlineStr">
        <is>
          <t>Titan Insurance</t>
        </is>
      </c>
      <c r="B26" s="98" t="inlineStr">
        <is>
          <t>P.O. Box 26005</t>
        </is>
      </c>
      <c r="C26" s="96" t="inlineStr">
        <is>
          <t>Daphne</t>
        </is>
      </c>
      <c r="D26" s="99" t="inlineStr">
        <is>
          <t>AL</t>
        </is>
      </c>
      <c r="E26" s="99" t="n">
        <v>36526</v>
      </c>
      <c r="F26" s="162" t="n">
        <v>8775908188</v>
      </c>
      <c r="G26" s="280" t="n">
        <v>8004213535</v>
      </c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</row>
    <row r="27" ht="16.5" customHeight="1" s="237">
      <c r="A27" s="98" t="inlineStr">
        <is>
          <t>Travelers</t>
        </is>
      </c>
      <c r="B27" s="98" t="inlineStr">
        <is>
          <t>P.O. Box 660317</t>
        </is>
      </c>
      <c r="C27" s="96" t="inlineStr">
        <is>
          <t>Dallas</t>
        </is>
      </c>
      <c r="D27" s="99" t="inlineStr">
        <is>
          <t>TX</t>
        </is>
      </c>
      <c r="E27" s="99" t="n">
        <v>75266</v>
      </c>
      <c r="F27" s="162" t="inlineStr">
        <is>
          <t>N/A</t>
        </is>
      </c>
      <c r="G27" s="280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</row>
    <row r="28" ht="16.5" customHeight="1" s="237">
      <c r="A28" s="98" t="inlineStr">
        <is>
          <t>United HealthCare</t>
        </is>
      </c>
      <c r="B28" s="98" t="inlineStr">
        <is>
          <t>P.O. Box 1459</t>
        </is>
      </c>
      <c r="C28" s="96" t="inlineStr">
        <is>
          <t>Minneapolis</t>
        </is>
      </c>
      <c r="D28" s="99" t="inlineStr">
        <is>
          <t>MN</t>
        </is>
      </c>
      <c r="E28" s="99" t="n">
        <v>55343</v>
      </c>
      <c r="F28" s="162" t="n"/>
      <c r="G28" s="280" t="inlineStr">
        <is>
          <t>N/A</t>
        </is>
      </c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</row>
    <row r="29" ht="15" customHeight="1" s="237">
      <c r="A29" s="23" t="inlineStr">
        <is>
          <t>USAA</t>
        </is>
      </c>
      <c r="B29" s="23" t="inlineStr">
        <is>
          <t>P.O. Box 5000</t>
        </is>
      </c>
      <c r="C29" s="96" t="inlineStr">
        <is>
          <t>Daphne</t>
        </is>
      </c>
      <c r="D29" s="97" t="inlineStr">
        <is>
          <t>AL</t>
        </is>
      </c>
      <c r="E29" s="97" t="n">
        <v>36526</v>
      </c>
      <c r="F29" s="161" t="n">
        <v>8882721255</v>
      </c>
      <c r="G29" s="280" t="n">
        <v>8666733443</v>
      </c>
    </row>
    <row r="30" ht="16.5" customHeight="1" s="237">
      <c r="A30" s="101" t="inlineStr">
        <is>
          <t>WestField</t>
        </is>
      </c>
      <c r="B30" s="101" t="inlineStr">
        <is>
          <t>P.O. Box 6813</t>
        </is>
      </c>
      <c r="C30" s="102" t="inlineStr">
        <is>
          <t>Scranton</t>
        </is>
      </c>
      <c r="D30" s="103" t="inlineStr">
        <is>
          <t>PA</t>
        </is>
      </c>
      <c r="E30" s="103" t="n">
        <v>18505</v>
      </c>
      <c r="F30" s="163" t="n">
        <v>8665208766</v>
      </c>
      <c r="G30" s="286" t="n">
        <v>8663703258</v>
      </c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</row>
    <row r="31" ht="16.5" customHeight="1" s="237">
      <c r="A31" s="6" t="n"/>
      <c r="B31" s="6" t="n"/>
      <c r="C31" s="12" t="n"/>
      <c r="D31" s="10" t="n"/>
      <c r="E31" s="10" t="n"/>
      <c r="F31" s="164" t="n"/>
      <c r="G31" s="288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</row>
    <row r="33" ht="16.5" customHeight="1" s="237">
      <c r="A33" s="6" t="n"/>
      <c r="B33" s="6" t="n"/>
      <c r="C33" s="12" t="n"/>
      <c r="D33" s="10" t="n"/>
      <c r="E33" s="10" t="n"/>
      <c r="F33" s="164" t="n"/>
      <c r="G33" s="288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</row>
    <row r="34" ht="16.5" customHeight="1" s="237">
      <c r="A34" s="6" t="n"/>
      <c r="B34" s="6" t="n"/>
      <c r="C34" s="12" t="n"/>
      <c r="D34" s="10" t="n"/>
      <c r="E34" s="10" t="n"/>
      <c r="F34" s="164" t="n"/>
      <c r="G34" s="288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</row>
    <row r="35" ht="16.5" customHeight="1" s="237">
      <c r="A35" s="6" t="n"/>
      <c r="B35" s="6" t="n"/>
      <c r="C35" s="12" t="n"/>
      <c r="D35" s="10" t="n"/>
      <c r="E35" s="10" t="n"/>
      <c r="F35" s="164" t="n"/>
      <c r="G35" s="288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</row>
    <row r="36" ht="16.5" customHeight="1" s="237">
      <c r="A36" s="6" t="n"/>
      <c r="B36" s="6" t="n"/>
      <c r="C36" s="12" t="n"/>
      <c r="D36" s="10" t="n"/>
      <c r="E36" s="10" t="n"/>
      <c r="F36" s="164" t="n"/>
      <c r="G36" s="288" t="n"/>
      <c r="H36" s="6" t="n"/>
      <c r="I36" s="6" t="n"/>
      <c r="J36" s="6" t="n"/>
      <c r="K36" s="6" t="n"/>
      <c r="L36" s="6" t="n"/>
      <c r="M36" s="6" t="n"/>
      <c r="N36" s="6" t="n"/>
      <c r="O36" s="6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</row>
    <row r="37" ht="16.5" customHeight="1" s="237">
      <c r="A37" s="6" t="n"/>
      <c r="B37" s="6" t="n"/>
      <c r="C37" s="12" t="n"/>
      <c r="D37" s="10" t="n"/>
      <c r="E37" s="10" t="n"/>
      <c r="F37" s="164" t="n"/>
      <c r="G37" s="288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  <c r="Q37" s="6" t="n"/>
      <c r="R37" s="6" t="n"/>
      <c r="S37" s="6" t="n"/>
      <c r="T37" s="6" t="n"/>
      <c r="U37" s="6" t="n"/>
      <c r="V37" s="6" t="n"/>
      <c r="W37" s="6" t="n"/>
      <c r="X37" s="6" t="n"/>
    </row>
    <row r="38" ht="16.5" customHeight="1" s="237">
      <c r="A38" s="6" t="n"/>
      <c r="B38" s="6" t="n"/>
      <c r="C38" s="12" t="n"/>
      <c r="D38" s="10" t="n"/>
      <c r="E38" s="10" t="n"/>
      <c r="F38" s="164" t="n"/>
      <c r="G38" s="288" t="n"/>
      <c r="H38" s="6" t="n"/>
      <c r="I38" s="6" t="n"/>
      <c r="J38" s="6" t="n"/>
      <c r="K38" s="6" t="n"/>
      <c r="L38" s="6" t="n"/>
      <c r="M38" s="6" t="n"/>
      <c r="N38" s="6" t="n"/>
      <c r="O38" s="6" t="n"/>
      <c r="P38" s="6" t="n"/>
      <c r="Q38" s="6" t="n"/>
      <c r="R38" s="6" t="n"/>
      <c r="S38" s="6" t="n"/>
      <c r="T38" s="6" t="n"/>
      <c r="U38" s="6" t="n"/>
      <c r="V38" s="6" t="n"/>
      <c r="W38" s="6" t="n"/>
      <c r="X38" s="6" t="n"/>
    </row>
    <row r="39" ht="16.5" customHeight="1" s="237">
      <c r="A39" s="6" t="n"/>
      <c r="B39" s="6" t="n"/>
      <c r="C39" s="12" t="n"/>
      <c r="D39" s="10" t="n"/>
      <c r="E39" s="10" t="n"/>
      <c r="F39" s="164" t="n"/>
      <c r="G39" s="288" t="n"/>
      <c r="H39" s="6" t="n"/>
      <c r="I39" s="6" t="n"/>
      <c r="J39" s="6" t="n"/>
      <c r="K39" s="6" t="n"/>
      <c r="L39" s="6" t="n"/>
      <c r="M39" s="6" t="n"/>
      <c r="N39" s="6" t="n"/>
      <c r="O39" s="6" t="n"/>
      <c r="P39" s="6" t="n"/>
      <c r="Q39" s="6" t="n"/>
      <c r="R39" s="6" t="n"/>
      <c r="S39" s="6" t="n"/>
      <c r="T39" s="6" t="n"/>
      <c r="U39" s="6" t="n"/>
      <c r="V39" s="6" t="n"/>
      <c r="W39" s="6" t="n"/>
      <c r="X39" s="6" t="n"/>
    </row>
    <row r="40" ht="16.5" customHeight="1" s="237">
      <c r="A40" s="6" t="n"/>
      <c r="B40" s="6" t="n"/>
      <c r="C40" s="12" t="n"/>
      <c r="D40" s="10" t="n"/>
      <c r="E40" s="10" t="n"/>
      <c r="F40" s="164" t="n"/>
      <c r="G40" s="288" t="n"/>
      <c r="H40" s="6" t="n"/>
      <c r="I40" s="6" t="n"/>
      <c r="J40" s="6" t="n"/>
      <c r="K40" s="6" t="n"/>
      <c r="L40" s="6" t="n"/>
      <c r="M40" s="6" t="n"/>
      <c r="N40" s="6" t="n"/>
      <c r="O40" s="6" t="n"/>
      <c r="P40" s="6" t="n"/>
      <c r="Q40" s="6" t="n"/>
      <c r="R40" s="6" t="n"/>
      <c r="S40" s="6" t="n"/>
      <c r="T40" s="6" t="n"/>
      <c r="U40" s="6" t="n"/>
      <c r="V40" s="6" t="n"/>
      <c r="W40" s="6" t="n"/>
      <c r="X40" s="6" t="n"/>
    </row>
    <row r="41" ht="16.5" customHeight="1" s="237">
      <c r="A41" s="6" t="n"/>
      <c r="B41" s="6" t="n"/>
      <c r="C41" s="12" t="n"/>
      <c r="D41" s="10" t="n"/>
      <c r="E41" s="10" t="n"/>
      <c r="F41" s="164" t="n"/>
      <c r="G41" s="288" t="n"/>
      <c r="H41" s="6" t="n"/>
      <c r="I41" s="6" t="n"/>
      <c r="J41" s="6" t="n"/>
      <c r="K41" s="6" t="n"/>
      <c r="L41" s="6" t="n"/>
      <c r="M41" s="6" t="n"/>
      <c r="N41" s="6" t="n"/>
      <c r="O41" s="6" t="n"/>
      <c r="P41" s="6" t="n"/>
      <c r="Q41" s="6" t="n"/>
      <c r="R41" s="6" t="n"/>
      <c r="S41" s="6" t="n"/>
      <c r="T41" s="6" t="n"/>
      <c r="U41" s="6" t="n"/>
      <c r="V41" s="6" t="n"/>
      <c r="W41" s="6" t="n"/>
      <c r="X41" s="6" t="n"/>
    </row>
    <row r="42" ht="16.5" customHeight="1" s="237">
      <c r="A42" s="6" t="n"/>
      <c r="B42" s="6" t="n"/>
      <c r="C42" s="12" t="n"/>
      <c r="D42" s="10" t="n"/>
      <c r="E42" s="10" t="n"/>
      <c r="F42" s="164" t="n"/>
      <c r="G42" s="288" t="n"/>
      <c r="H42" s="6" t="n"/>
      <c r="I42" s="6" t="n"/>
      <c r="J42" s="6" t="n"/>
      <c r="K42" s="6" t="n"/>
      <c r="L42" s="6" t="n"/>
      <c r="M42" s="6" t="n"/>
      <c r="N42" s="6" t="n"/>
      <c r="O42" s="6" t="n"/>
      <c r="P42" s="6" t="n"/>
      <c r="Q42" s="6" t="n"/>
      <c r="R42" s="6" t="n"/>
      <c r="S42" s="6" t="n"/>
      <c r="T42" s="6" t="n"/>
      <c r="U42" s="6" t="n"/>
      <c r="V42" s="6" t="n"/>
      <c r="W42" s="6" t="n"/>
      <c r="X42" s="6" t="n"/>
    </row>
    <row r="43" ht="16.5" customHeight="1" s="237">
      <c r="A43" s="6" t="n"/>
      <c r="B43" s="6" t="n"/>
      <c r="C43" s="12" t="n"/>
      <c r="D43" s="10" t="n"/>
      <c r="E43" s="10" t="n"/>
      <c r="F43" s="164" t="n"/>
      <c r="G43" s="288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  <c r="Q43" s="6" t="n"/>
      <c r="R43" s="6" t="n"/>
      <c r="S43" s="6" t="n"/>
      <c r="T43" s="6" t="n"/>
      <c r="U43" s="6" t="n"/>
      <c r="V43" s="6" t="n"/>
      <c r="W43" s="6" t="n"/>
      <c r="X43" s="6" t="n"/>
    </row>
    <row r="44" ht="16.5" customHeight="1" s="237">
      <c r="A44" s="6" t="n"/>
      <c r="B44" s="6" t="n"/>
      <c r="C44" s="12" t="n"/>
      <c r="D44" s="10" t="n"/>
      <c r="E44" s="10" t="n"/>
      <c r="F44" s="164" t="n"/>
      <c r="G44" s="288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  <c r="Q44" s="6" t="n"/>
      <c r="R44" s="6" t="n"/>
      <c r="S44" s="6" t="n"/>
      <c r="T44" s="6" t="n"/>
      <c r="U44" s="6" t="n"/>
      <c r="V44" s="6" t="n"/>
      <c r="W44" s="6" t="n"/>
      <c r="X44" s="6" t="n"/>
    </row>
    <row r="45" ht="16.5" customHeight="1" s="237">
      <c r="A45" s="6" t="n"/>
      <c r="B45" s="6" t="n"/>
      <c r="C45" s="12" t="n"/>
      <c r="D45" s="10" t="n"/>
      <c r="E45" s="10" t="n"/>
      <c r="F45" s="164" t="n"/>
      <c r="G45" s="288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</row>
    <row r="46" ht="16.5" customHeight="1" s="237">
      <c r="A46" s="6" t="n"/>
      <c r="B46" s="6" t="n"/>
      <c r="C46" s="12" t="n"/>
      <c r="D46" s="10" t="n"/>
      <c r="E46" s="10" t="n"/>
      <c r="F46" s="164" t="n"/>
      <c r="G46" s="288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</row>
    <row r="47" ht="16.5" customHeight="1" s="237">
      <c r="A47" s="6" t="n"/>
      <c r="B47" s="6" t="n"/>
      <c r="C47" s="12" t="n"/>
      <c r="D47" s="10" t="n"/>
      <c r="E47" s="10" t="n"/>
      <c r="F47" s="164" t="n"/>
      <c r="G47" s="288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</row>
    <row r="48" ht="16.5" customHeight="1" s="237">
      <c r="A48" s="6" t="n"/>
      <c r="B48" s="6" t="n"/>
      <c r="C48" s="12" t="n"/>
      <c r="D48" s="10" t="n"/>
      <c r="E48" s="10" t="n"/>
      <c r="F48" s="164" t="n"/>
      <c r="G48" s="288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</row>
    <row r="49" ht="16.5" customHeight="1" s="237">
      <c r="A49" s="6" t="n"/>
      <c r="B49" s="6" t="n"/>
      <c r="C49" s="12" t="n"/>
      <c r="D49" s="10" t="n"/>
      <c r="E49" s="10" t="n"/>
      <c r="F49" s="164" t="n"/>
      <c r="G49" s="288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</row>
    <row r="50" ht="16.5" customHeight="1" s="237">
      <c r="A50" s="6" t="n"/>
      <c r="B50" s="6" t="n"/>
      <c r="C50" s="12" t="n"/>
      <c r="D50" s="10" t="n"/>
      <c r="E50" s="10" t="n"/>
      <c r="F50" s="164" t="n"/>
      <c r="G50" s="288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</row>
    <row r="51" ht="16.5" customHeight="1" s="237">
      <c r="A51" s="6" t="n"/>
      <c r="B51" s="6" t="n"/>
      <c r="C51" s="12" t="n"/>
      <c r="D51" s="10" t="n"/>
      <c r="E51" s="10" t="n"/>
      <c r="F51" s="164" t="n"/>
      <c r="G51" s="288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</row>
    <row r="52" ht="16.5" customHeight="1" s="237">
      <c r="A52" s="6" t="n"/>
      <c r="B52" s="6" t="n"/>
      <c r="C52" s="12" t="n"/>
      <c r="D52" s="10" t="n"/>
      <c r="E52" s="10" t="n"/>
      <c r="F52" s="164" t="n"/>
      <c r="G52" s="288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</row>
    <row r="53" ht="16.5" customHeight="1" s="237">
      <c r="A53" s="6" t="n"/>
      <c r="B53" s="6" t="n"/>
      <c r="C53" s="12" t="n"/>
      <c r="D53" s="10" t="n"/>
      <c r="E53" s="10" t="n"/>
      <c r="F53" s="164" t="n"/>
      <c r="G53" s="288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</row>
    <row r="54" ht="16.5" customHeight="1" s="237">
      <c r="A54" s="6" t="n"/>
      <c r="B54" s="6" t="n"/>
      <c r="C54" s="12" t="n"/>
      <c r="D54" s="10" t="n"/>
      <c r="E54" s="10" t="n"/>
      <c r="F54" s="164" t="n"/>
      <c r="G54" s="288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</row>
    <row r="55" ht="16.5" customHeight="1" s="237">
      <c r="A55" s="6" t="n"/>
      <c r="B55" s="6" t="n"/>
      <c r="C55" s="12" t="n"/>
      <c r="D55" s="10" t="n"/>
      <c r="E55" s="10" t="n"/>
      <c r="F55" s="164" t="n"/>
      <c r="G55" s="288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</row>
    <row r="56" ht="16.5" customHeight="1" s="237">
      <c r="A56" s="6" t="n"/>
      <c r="B56" s="6" t="n"/>
      <c r="C56" s="12" t="n"/>
      <c r="D56" s="10" t="n"/>
      <c r="E56" s="10" t="n"/>
      <c r="F56" s="164" t="n"/>
      <c r="G56" s="288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</row>
    <row r="57" ht="16.5" customHeight="1" s="237">
      <c r="A57" s="6" t="n"/>
      <c r="B57" s="6" t="n"/>
      <c r="C57" s="12" t="n"/>
      <c r="D57" s="10" t="n"/>
      <c r="E57" s="10" t="n"/>
      <c r="F57" s="164" t="n"/>
      <c r="G57" s="288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</row>
    <row r="58" ht="16.5" customHeight="1" s="237">
      <c r="A58" s="6" t="n"/>
      <c r="B58" s="6" t="n"/>
      <c r="C58" s="12" t="n"/>
      <c r="D58" s="10" t="n"/>
      <c r="E58" s="10" t="n"/>
      <c r="F58" s="164" t="n"/>
      <c r="G58" s="288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</row>
    <row r="59" ht="16.5" customHeight="1" s="237">
      <c r="A59" s="6" t="n"/>
      <c r="B59" s="6" t="n"/>
      <c r="C59" s="12" t="n"/>
      <c r="D59" s="10" t="n"/>
      <c r="E59" s="10" t="n"/>
      <c r="F59" s="164" t="n"/>
      <c r="G59" s="288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</row>
    <row r="60" ht="16.5" customHeight="1" s="237">
      <c r="A60" s="6" t="n"/>
      <c r="B60" s="6" t="n"/>
      <c r="C60" s="12" t="n"/>
      <c r="D60" s="10" t="n"/>
      <c r="E60" s="10" t="n"/>
      <c r="F60" s="164" t="n"/>
      <c r="G60" s="288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</row>
    <row r="61" ht="16.5" customHeight="1" s="237">
      <c r="A61" s="6" t="n"/>
      <c r="B61" s="6" t="n"/>
      <c r="C61" s="12" t="n"/>
      <c r="D61" s="10" t="n"/>
      <c r="E61" s="10" t="n"/>
      <c r="F61" s="164" t="n"/>
      <c r="G61" s="288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</row>
    <row r="62" ht="16.5" customHeight="1" s="237">
      <c r="A62" s="6" t="n"/>
      <c r="B62" s="6" t="n"/>
      <c r="C62" s="12" t="n"/>
      <c r="D62" s="10" t="n"/>
      <c r="E62" s="10" t="n"/>
      <c r="F62" s="164" t="n"/>
      <c r="G62" s="288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</row>
    <row r="63" ht="16.5" customHeight="1" s="237">
      <c r="A63" s="6" t="n"/>
      <c r="B63" s="6" t="n"/>
      <c r="C63" s="12" t="n"/>
      <c r="D63" s="10" t="n"/>
      <c r="E63" s="10" t="n"/>
      <c r="F63" s="164" t="n"/>
      <c r="G63" s="288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</row>
    <row r="64" ht="16.5" customHeight="1" s="237">
      <c r="A64" s="6" t="n"/>
      <c r="B64" s="6" t="n"/>
      <c r="C64" s="12" t="n"/>
      <c r="D64" s="10" t="n"/>
      <c r="E64" s="10" t="n"/>
      <c r="F64" s="164" t="n"/>
      <c r="G64" s="288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</row>
    <row r="65" ht="16.5" customHeight="1" s="237">
      <c r="A65" s="6" t="n"/>
      <c r="B65" s="6" t="n"/>
      <c r="C65" s="12" t="n"/>
      <c r="D65" s="10" t="n"/>
      <c r="E65" s="10" t="n"/>
      <c r="F65" s="164" t="n"/>
      <c r="G65" s="288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</row>
    <row r="66" ht="16.5" customHeight="1" s="237">
      <c r="A66" s="6" t="n"/>
      <c r="B66" s="6" t="n"/>
      <c r="C66" s="12" t="n"/>
      <c r="D66" s="10" t="n"/>
      <c r="E66" s="10" t="n"/>
      <c r="F66" s="164" t="n"/>
      <c r="G66" s="288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</row>
    <row r="67" ht="16.5" customHeight="1" s="237">
      <c r="A67" s="6" t="n"/>
      <c r="B67" s="6" t="n"/>
      <c r="C67" s="12" t="n"/>
      <c r="D67" s="10" t="n"/>
      <c r="E67" s="10" t="n"/>
      <c r="F67" s="164" t="n"/>
      <c r="G67" s="288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</row>
    <row r="68" ht="16.5" customHeight="1" s="237">
      <c r="A68" s="6" t="n"/>
      <c r="B68" s="6" t="n"/>
      <c r="C68" s="12" t="n"/>
      <c r="D68" s="10" t="n"/>
      <c r="E68" s="10" t="n"/>
      <c r="F68" s="164" t="n"/>
      <c r="G68" s="288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</row>
    <row r="69" ht="16.5" customHeight="1" s="237">
      <c r="A69" s="6" t="n"/>
      <c r="B69" s="6" t="n"/>
      <c r="C69" s="12" t="n"/>
      <c r="D69" s="10" t="n"/>
      <c r="E69" s="10" t="n"/>
      <c r="F69" s="164" t="n"/>
      <c r="G69" s="288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</row>
    <row r="70" ht="16.5" customHeight="1" s="237">
      <c r="A70" s="6" t="n"/>
      <c r="B70" s="6" t="n"/>
      <c r="C70" s="12" t="n"/>
      <c r="D70" s="10" t="n"/>
      <c r="E70" s="10" t="n"/>
      <c r="F70" s="164" t="n"/>
      <c r="G70" s="288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</row>
    <row r="71" ht="16.5" customHeight="1" s="237">
      <c r="A71" s="6" t="n"/>
      <c r="B71" s="6" t="n"/>
      <c r="C71" s="12" t="n"/>
      <c r="D71" s="10" t="n"/>
      <c r="E71" s="10" t="n"/>
      <c r="F71" s="164" t="n"/>
      <c r="G71" s="288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</row>
    <row r="72" ht="16.5" customHeight="1" s="237">
      <c r="A72" s="6" t="n"/>
      <c r="B72" s="6" t="n"/>
      <c r="C72" s="12" t="n"/>
      <c r="D72" s="10" t="n"/>
      <c r="E72" s="10" t="n"/>
      <c r="F72" s="164" t="n"/>
      <c r="G72" s="288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</row>
    <row r="73" ht="16.5" customHeight="1" s="237">
      <c r="A73" s="6" t="n"/>
      <c r="B73" s="6" t="n"/>
      <c r="C73" s="12" t="n"/>
      <c r="D73" s="10" t="n"/>
      <c r="E73" s="10" t="n"/>
      <c r="F73" s="164" t="n"/>
      <c r="G73" s="288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</row>
    <row r="74" ht="16.5" customHeight="1" s="237">
      <c r="A74" s="6" t="n"/>
      <c r="B74" s="6" t="n"/>
      <c r="C74" s="12" t="n"/>
      <c r="D74" s="10" t="n"/>
      <c r="E74" s="10" t="n"/>
      <c r="F74" s="164" t="n"/>
      <c r="G74" s="288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</row>
    <row r="75" ht="16.5" customHeight="1" s="237">
      <c r="A75" s="6" t="n"/>
      <c r="B75" s="6" t="n"/>
      <c r="C75" s="12" t="n"/>
      <c r="D75" s="10" t="n"/>
      <c r="E75" s="10" t="n"/>
      <c r="F75" s="164" t="n"/>
      <c r="G75" s="288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</row>
    <row r="76" ht="16.5" customHeight="1" s="237">
      <c r="A76" s="6" t="n"/>
      <c r="B76" s="6" t="n"/>
      <c r="C76" s="12" t="n"/>
      <c r="D76" s="10" t="n"/>
      <c r="E76" s="10" t="n"/>
      <c r="F76" s="164" t="n"/>
      <c r="G76" s="288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</row>
    <row r="77" ht="16.5" customHeight="1" s="237">
      <c r="A77" s="6" t="n"/>
      <c r="B77" s="6" t="n"/>
      <c r="C77" s="12" t="n"/>
      <c r="D77" s="10" t="n"/>
      <c r="E77" s="10" t="n"/>
      <c r="F77" s="164" t="n"/>
      <c r="G77" s="288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</row>
    <row r="78" ht="16.5" customHeight="1" s="237">
      <c r="A78" s="6" t="n"/>
      <c r="B78" s="6" t="n"/>
      <c r="C78" s="12" t="n"/>
      <c r="D78" s="10" t="n"/>
      <c r="E78" s="10" t="n"/>
      <c r="F78" s="164" t="n"/>
      <c r="G78" s="288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</row>
    <row r="79" ht="16.5" customHeight="1" s="237">
      <c r="A79" s="6" t="n"/>
      <c r="B79" s="6" t="n"/>
      <c r="C79" s="12" t="n"/>
      <c r="D79" s="10" t="n"/>
      <c r="E79" s="10" t="n"/>
      <c r="F79" s="164" t="n"/>
      <c r="G79" s="288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</row>
    <row r="80" ht="16.5" customHeight="1" s="237">
      <c r="A80" s="6" t="n"/>
      <c r="B80" s="6" t="n"/>
      <c r="C80" s="12" t="n"/>
      <c r="D80" s="10" t="n"/>
      <c r="E80" s="10" t="n"/>
      <c r="F80" s="164" t="n"/>
      <c r="G80" s="288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</row>
    <row r="81" ht="16.5" customHeight="1" s="237">
      <c r="A81" s="6" t="n"/>
      <c r="B81" s="6" t="n"/>
      <c r="C81" s="12" t="n"/>
      <c r="D81" s="10" t="n"/>
      <c r="E81" s="10" t="n"/>
      <c r="F81" s="164" t="n"/>
      <c r="G81" s="288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</row>
    <row r="82" ht="16.5" customHeight="1" s="237">
      <c r="A82" s="6" t="n"/>
      <c r="B82" s="6" t="n"/>
      <c r="C82" s="12" t="n"/>
      <c r="D82" s="10" t="n"/>
      <c r="E82" s="10" t="n"/>
      <c r="F82" s="164" t="n"/>
      <c r="G82" s="288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</row>
    <row r="83" ht="16.5" customHeight="1" s="237">
      <c r="A83" s="6" t="n"/>
      <c r="B83" s="6" t="n"/>
      <c r="C83" s="12" t="n"/>
      <c r="D83" s="10" t="n"/>
      <c r="E83" s="10" t="n"/>
      <c r="F83" s="164" t="n"/>
      <c r="G83" s="288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</row>
    <row r="84" ht="16.5" customHeight="1" s="237">
      <c r="A84" s="6" t="n"/>
      <c r="B84" s="6" t="n"/>
      <c r="C84" s="12" t="n"/>
      <c r="D84" s="10" t="n"/>
      <c r="E84" s="10" t="n"/>
      <c r="F84" s="164" t="n"/>
      <c r="G84" s="288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</row>
    <row r="85" ht="16.5" customHeight="1" s="237">
      <c r="A85" s="6" t="n"/>
      <c r="B85" s="6" t="n"/>
      <c r="C85" s="12" t="n"/>
      <c r="D85" s="10" t="n"/>
      <c r="E85" s="10" t="n"/>
      <c r="F85" s="164" t="n"/>
      <c r="G85" s="288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</row>
    <row r="86" ht="16.5" customHeight="1" s="237">
      <c r="A86" s="6" t="n"/>
      <c r="B86" s="6" t="n"/>
      <c r="C86" s="12" t="n"/>
      <c r="D86" s="10" t="n"/>
      <c r="E86" s="10" t="n"/>
      <c r="F86" s="164" t="n"/>
      <c r="G86" s="288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</row>
    <row r="87" ht="16.5" customHeight="1" s="237">
      <c r="A87" s="6" t="n"/>
      <c r="B87" s="6" t="n"/>
      <c r="C87" s="12" t="n"/>
      <c r="D87" s="10" t="n"/>
      <c r="E87" s="10" t="n"/>
      <c r="F87" s="164" t="n"/>
      <c r="G87" s="288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</row>
    <row r="88" ht="16.5" customHeight="1" s="237">
      <c r="A88" s="6" t="n"/>
      <c r="B88" s="6" t="n"/>
      <c r="C88" s="12" t="n"/>
      <c r="D88" s="10" t="n"/>
      <c r="E88" s="10" t="n"/>
      <c r="F88" s="164" t="n"/>
      <c r="G88" s="288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</row>
    <row r="89" ht="16.5" customHeight="1" s="237">
      <c r="A89" s="6" t="n"/>
      <c r="B89" s="6" t="n"/>
      <c r="C89" s="12" t="n"/>
      <c r="D89" s="10" t="n"/>
      <c r="E89" s="10" t="n"/>
      <c r="F89" s="164" t="n"/>
      <c r="G89" s="288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</row>
    <row r="90" ht="16.5" customHeight="1" s="237">
      <c r="A90" s="6" t="n"/>
      <c r="B90" s="6" t="n"/>
      <c r="C90" s="12" t="n"/>
      <c r="D90" s="10" t="n"/>
      <c r="E90" s="10" t="n"/>
      <c r="F90" s="164" t="n"/>
      <c r="G90" s="288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</row>
    <row r="91" ht="16.5" customHeight="1" s="237">
      <c r="A91" s="6" t="n"/>
      <c r="B91" s="6" t="n"/>
      <c r="C91" s="12" t="n"/>
      <c r="D91" s="10" t="n"/>
      <c r="E91" s="10" t="n"/>
      <c r="F91" s="164" t="n"/>
      <c r="G91" s="288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</row>
    <row r="92" ht="16.5" customHeight="1" s="237">
      <c r="A92" s="6" t="n"/>
      <c r="B92" s="6" t="n"/>
      <c r="C92" s="12" t="n"/>
      <c r="D92" s="10" t="n"/>
      <c r="E92" s="10" t="n"/>
      <c r="F92" s="164" t="n"/>
      <c r="G92" s="288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</row>
    <row r="93" ht="16.5" customHeight="1" s="237">
      <c r="A93" s="6" t="n"/>
      <c r="B93" s="6" t="n"/>
      <c r="C93" s="12" t="n"/>
      <c r="D93" s="10" t="n"/>
      <c r="E93" s="10" t="n"/>
      <c r="F93" s="164" t="n"/>
      <c r="G93" s="288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</row>
    <row r="94" ht="16.5" customHeight="1" s="237">
      <c r="A94" s="6" t="n"/>
      <c r="B94" s="6" t="n"/>
      <c r="C94" s="12" t="n"/>
      <c r="D94" s="10" t="n"/>
      <c r="E94" s="10" t="n"/>
      <c r="F94" s="164" t="n"/>
      <c r="G94" s="288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</row>
    <row r="95" ht="16.5" customHeight="1" s="237">
      <c r="A95" s="6" t="n"/>
      <c r="B95" s="6" t="n"/>
      <c r="C95" s="12" t="n"/>
      <c r="D95" s="10" t="n"/>
      <c r="E95" s="10" t="n"/>
      <c r="F95" s="164" t="n"/>
      <c r="G95" s="288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</row>
    <row r="96" ht="16.5" customHeight="1" s="237">
      <c r="A96" s="6" t="n"/>
      <c r="B96" s="6" t="n"/>
      <c r="C96" s="12" t="n"/>
      <c r="D96" s="10" t="n"/>
      <c r="E96" s="10" t="n"/>
      <c r="F96" s="164" t="n"/>
      <c r="G96" s="288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</row>
    <row r="97" ht="16.5" customHeight="1" s="237">
      <c r="A97" s="6" t="n"/>
      <c r="B97" s="6" t="n"/>
      <c r="C97" s="12" t="n"/>
      <c r="D97" s="10" t="n"/>
      <c r="E97" s="10" t="n"/>
      <c r="F97" s="164" t="n"/>
      <c r="G97" s="288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</row>
    <row r="98" ht="16.5" customHeight="1" s="237">
      <c r="A98" s="6" t="n"/>
      <c r="B98" s="6" t="n"/>
      <c r="C98" s="12" t="n"/>
      <c r="D98" s="10" t="n"/>
      <c r="E98" s="10" t="n"/>
      <c r="F98" s="164" t="n"/>
      <c r="G98" s="288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</row>
    <row r="99" ht="16.5" customHeight="1" s="237">
      <c r="A99" s="6" t="n"/>
      <c r="B99" s="6" t="n"/>
      <c r="C99" s="12" t="n"/>
      <c r="D99" s="10" t="n"/>
      <c r="E99" s="10" t="n"/>
      <c r="F99" s="164" t="n"/>
      <c r="G99" s="288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</row>
    <row r="100" ht="16.5" customHeight="1" s="237">
      <c r="A100" s="6" t="n"/>
      <c r="B100" s="6" t="n"/>
      <c r="C100" s="12" t="n"/>
      <c r="D100" s="10" t="n"/>
      <c r="E100" s="10" t="n"/>
      <c r="F100" s="164" t="n"/>
      <c r="G100" s="288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</row>
    <row r="101" ht="16.5" customHeight="1" s="237">
      <c r="A101" s="6" t="n"/>
      <c r="B101" s="6" t="n"/>
      <c r="C101" s="12" t="n"/>
      <c r="D101" s="10" t="n"/>
      <c r="E101" s="10" t="n"/>
      <c r="F101" s="164" t="n"/>
      <c r="G101" s="288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</row>
    <row r="102" ht="16.5" customHeight="1" s="237">
      <c r="A102" s="6" t="n"/>
      <c r="B102" s="6" t="n"/>
      <c r="C102" s="12" t="n"/>
      <c r="D102" s="10" t="n"/>
      <c r="E102" s="10" t="n"/>
      <c r="F102" s="164" t="n"/>
      <c r="G102" s="288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</row>
    <row r="103" ht="16.5" customHeight="1" s="237">
      <c r="A103" s="6" t="n"/>
      <c r="B103" s="6" t="n"/>
      <c r="C103" s="12" t="n"/>
      <c r="D103" s="10" t="n"/>
      <c r="E103" s="10" t="n"/>
      <c r="F103" s="164" t="n"/>
      <c r="G103" s="288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</row>
    <row r="104" ht="16.5" customHeight="1" s="237">
      <c r="A104" s="6" t="n"/>
      <c r="B104" s="6" t="n"/>
      <c r="C104" s="12" t="n"/>
      <c r="D104" s="10" t="n"/>
      <c r="E104" s="10" t="n"/>
      <c r="F104" s="164" t="n"/>
      <c r="G104" s="288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</row>
    <row r="105" ht="16.5" customHeight="1" s="237">
      <c r="A105" s="6" t="n"/>
      <c r="B105" s="6" t="n"/>
      <c r="C105" s="12" t="n"/>
      <c r="D105" s="10" t="n"/>
      <c r="E105" s="10" t="n"/>
      <c r="F105" s="164" t="n"/>
      <c r="G105" s="288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</row>
    <row r="106" ht="16.5" customHeight="1" s="237">
      <c r="A106" s="6" t="n"/>
      <c r="B106" s="6" t="n"/>
      <c r="C106" s="12" t="n"/>
      <c r="D106" s="10" t="n"/>
      <c r="E106" s="10" t="n"/>
      <c r="F106" s="164" t="n"/>
      <c r="G106" s="288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</row>
    <row r="107" ht="16.5" customHeight="1" s="237">
      <c r="A107" s="6" t="n"/>
      <c r="B107" s="6" t="n"/>
      <c r="C107" s="12" t="n"/>
      <c r="D107" s="10" t="n"/>
      <c r="E107" s="10" t="n"/>
      <c r="F107" s="164" t="n"/>
      <c r="G107" s="288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</row>
    <row r="108" ht="16.5" customHeight="1" s="237">
      <c r="A108" s="6" t="n"/>
      <c r="B108" s="6" t="n"/>
      <c r="C108" s="12" t="n"/>
      <c r="D108" s="10" t="n"/>
      <c r="E108" s="10" t="n"/>
      <c r="F108" s="164" t="n"/>
      <c r="G108" s="288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</row>
    <row r="109" ht="16.5" customHeight="1" s="237">
      <c r="A109" s="6" t="n"/>
      <c r="B109" s="6" t="n"/>
      <c r="C109" s="12" t="n"/>
      <c r="D109" s="10" t="n"/>
      <c r="E109" s="10" t="n"/>
      <c r="F109" s="164" t="n"/>
      <c r="G109" s="288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</row>
    <row r="110" ht="16.5" customHeight="1" s="237">
      <c r="A110" s="6" t="n"/>
      <c r="B110" s="6" t="n"/>
      <c r="C110" s="12" t="n"/>
      <c r="D110" s="10" t="n"/>
      <c r="E110" s="10" t="n"/>
      <c r="F110" s="164" t="n"/>
      <c r="G110" s="288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</row>
    <row r="111" ht="16.5" customHeight="1" s="237">
      <c r="A111" s="6" t="n"/>
      <c r="B111" s="6" t="n"/>
      <c r="C111" s="12" t="n"/>
      <c r="D111" s="10" t="n"/>
      <c r="E111" s="10" t="n"/>
      <c r="F111" s="164" t="n"/>
      <c r="G111" s="288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</row>
    <row r="112" ht="16.5" customHeight="1" s="237">
      <c r="A112" s="6" t="n"/>
      <c r="B112" s="6" t="n"/>
      <c r="C112" s="12" t="n"/>
      <c r="D112" s="10" t="n"/>
      <c r="E112" s="10" t="n"/>
      <c r="F112" s="164" t="n"/>
      <c r="G112" s="288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</row>
    <row r="113" ht="16.5" customHeight="1" s="237">
      <c r="A113" s="6" t="n"/>
      <c r="B113" s="6" t="n"/>
      <c r="C113" s="12" t="n"/>
      <c r="D113" s="10" t="n"/>
      <c r="E113" s="10" t="n"/>
      <c r="F113" s="164" t="n"/>
      <c r="G113" s="288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</row>
    <row r="114" ht="16.5" customHeight="1" s="237">
      <c r="A114" s="6" t="n"/>
      <c r="B114" s="6" t="n"/>
      <c r="C114" s="12" t="n"/>
      <c r="D114" s="10" t="n"/>
      <c r="E114" s="10" t="n"/>
      <c r="F114" s="164" t="n"/>
      <c r="G114" s="288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</row>
    <row r="115" ht="16.5" customHeight="1" s="237">
      <c r="A115" s="6" t="n"/>
      <c r="B115" s="6" t="n"/>
      <c r="C115" s="12" t="n"/>
      <c r="D115" s="10" t="n"/>
      <c r="E115" s="10" t="n"/>
      <c r="F115" s="164" t="n"/>
      <c r="G115" s="288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</row>
    <row r="116" ht="16.5" customHeight="1" s="237">
      <c r="A116" s="6" t="n"/>
      <c r="B116" s="6" t="n"/>
      <c r="C116" s="12" t="n"/>
      <c r="D116" s="10" t="n"/>
      <c r="E116" s="10" t="n"/>
      <c r="F116" s="164" t="n"/>
      <c r="G116" s="288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</row>
    <row r="117" ht="16.5" customHeight="1" s="237">
      <c r="A117" s="6" t="n"/>
      <c r="B117" s="6" t="n"/>
      <c r="C117" s="12" t="n"/>
      <c r="D117" s="10" t="n"/>
      <c r="E117" s="10" t="n"/>
      <c r="F117" s="164" t="n"/>
      <c r="G117" s="288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</row>
    <row r="118" ht="16.5" customHeight="1" s="237">
      <c r="A118" s="6" t="n"/>
      <c r="B118" s="6" t="n"/>
      <c r="C118" s="12" t="n"/>
      <c r="D118" s="10" t="n"/>
      <c r="E118" s="10" t="n"/>
      <c r="F118" s="164" t="n"/>
      <c r="G118" s="288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</row>
    <row r="119" ht="16.5" customHeight="1" s="237">
      <c r="A119" s="6" t="n"/>
      <c r="B119" s="6" t="n"/>
      <c r="C119" s="12" t="n"/>
      <c r="D119" s="10" t="n"/>
      <c r="E119" s="10" t="n"/>
      <c r="F119" s="164" t="n"/>
      <c r="G119" s="288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</row>
    <row r="120" ht="16.5" customHeight="1" s="237">
      <c r="A120" s="6" t="n"/>
      <c r="B120" s="6" t="n"/>
      <c r="C120" s="12" t="n"/>
      <c r="D120" s="10" t="n"/>
      <c r="E120" s="10" t="n"/>
      <c r="F120" s="164" t="n"/>
      <c r="G120" s="288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</row>
    <row r="121" ht="16.5" customHeight="1" s="237">
      <c r="A121" s="6" t="n"/>
      <c r="B121" s="6" t="n"/>
      <c r="C121" s="12" t="n"/>
      <c r="D121" s="10" t="n"/>
      <c r="E121" s="10" t="n"/>
      <c r="F121" s="164" t="n"/>
      <c r="G121" s="288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</row>
    <row r="122" ht="16.5" customHeight="1" s="237">
      <c r="A122" s="6" t="n"/>
      <c r="B122" s="6" t="n"/>
      <c r="C122" s="12" t="n"/>
      <c r="D122" s="10" t="n"/>
      <c r="E122" s="10" t="n"/>
      <c r="F122" s="164" t="n"/>
      <c r="G122" s="288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</row>
    <row r="123" ht="16.5" customHeight="1" s="237">
      <c r="A123" s="6" t="n"/>
      <c r="B123" s="6" t="n"/>
      <c r="C123" s="12" t="n"/>
      <c r="D123" s="10" t="n"/>
      <c r="E123" s="10" t="n"/>
      <c r="F123" s="164" t="n"/>
      <c r="G123" s="288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</row>
    <row r="124" ht="16.5" customHeight="1" s="237">
      <c r="A124" s="6" t="n"/>
      <c r="B124" s="6" t="n"/>
      <c r="C124" s="12" t="n"/>
      <c r="D124" s="10" t="n"/>
      <c r="E124" s="10" t="n"/>
      <c r="F124" s="164" t="n"/>
      <c r="G124" s="288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</row>
    <row r="125" ht="16.5" customHeight="1" s="237">
      <c r="A125" s="6" t="n"/>
      <c r="B125" s="6" t="n"/>
      <c r="C125" s="12" t="n"/>
      <c r="D125" s="10" t="n"/>
      <c r="E125" s="10" t="n"/>
      <c r="F125" s="164" t="n"/>
      <c r="G125" s="288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</row>
    <row r="126" ht="16.5" customHeight="1" s="237">
      <c r="A126" s="6" t="n"/>
      <c r="B126" s="6" t="n"/>
      <c r="C126" s="12" t="n"/>
      <c r="D126" s="10" t="n"/>
      <c r="E126" s="10" t="n"/>
      <c r="F126" s="164" t="n"/>
      <c r="G126" s="288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</row>
    <row r="127" ht="16.5" customHeight="1" s="237">
      <c r="A127" s="6" t="n"/>
      <c r="B127" s="6" t="n"/>
      <c r="C127" s="12" t="n"/>
      <c r="D127" s="10" t="n"/>
      <c r="E127" s="10" t="n"/>
      <c r="F127" s="164" t="n"/>
      <c r="G127" s="288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</row>
    <row r="128" ht="16.5" customHeight="1" s="237">
      <c r="A128" s="6" t="n"/>
      <c r="B128" s="6" t="n"/>
      <c r="C128" s="12" t="n"/>
      <c r="D128" s="10" t="n"/>
      <c r="E128" s="10" t="n"/>
      <c r="F128" s="164" t="n"/>
      <c r="G128" s="288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</row>
    <row r="129" ht="16.5" customHeight="1" s="237">
      <c r="A129" s="6" t="n"/>
      <c r="B129" s="6" t="n"/>
      <c r="C129" s="12" t="n"/>
      <c r="D129" s="10" t="n"/>
      <c r="E129" s="10" t="n"/>
      <c r="F129" s="164" t="n"/>
      <c r="G129" s="288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</row>
    <row r="130" ht="16.5" customHeight="1" s="237">
      <c r="A130" s="6" t="n"/>
      <c r="B130" s="6" t="n"/>
      <c r="C130" s="12" t="n"/>
      <c r="D130" s="10" t="n"/>
      <c r="E130" s="10" t="n"/>
      <c r="F130" s="164" t="n"/>
      <c r="G130" s="288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</row>
    <row r="131" ht="16.5" customHeight="1" s="237">
      <c r="A131" s="6" t="n"/>
      <c r="B131" s="6" t="n"/>
      <c r="C131" s="12" t="n"/>
      <c r="D131" s="10" t="n"/>
      <c r="E131" s="10" t="n"/>
      <c r="F131" s="164" t="n"/>
      <c r="G131" s="288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</row>
    <row r="132" ht="16.5" customHeight="1" s="237">
      <c r="A132" s="6" t="n"/>
      <c r="B132" s="6" t="n"/>
      <c r="C132" s="12" t="n"/>
      <c r="D132" s="10" t="n"/>
      <c r="E132" s="10" t="n"/>
      <c r="F132" s="164" t="n"/>
      <c r="G132" s="288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</row>
    <row r="133" ht="16.5" customHeight="1" s="237">
      <c r="A133" s="6" t="n"/>
      <c r="B133" s="6" t="n"/>
      <c r="C133" s="12" t="n"/>
      <c r="D133" s="10" t="n"/>
      <c r="E133" s="10" t="n"/>
      <c r="F133" s="164" t="n"/>
      <c r="G133" s="288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</row>
    <row r="134" ht="16.5" customHeight="1" s="237">
      <c r="A134" s="6" t="n"/>
      <c r="B134" s="6" t="n"/>
      <c r="C134" s="12" t="n"/>
      <c r="D134" s="10" t="n"/>
      <c r="E134" s="10" t="n"/>
      <c r="F134" s="164" t="n"/>
      <c r="G134" s="288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</row>
    <row r="135" ht="16.5" customHeight="1" s="237">
      <c r="A135" s="6" t="n"/>
      <c r="B135" s="6" t="n"/>
      <c r="C135" s="12" t="n"/>
      <c r="D135" s="10" t="n"/>
      <c r="E135" s="10" t="n"/>
      <c r="F135" s="164" t="n"/>
      <c r="G135" s="288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</row>
    <row r="136" ht="16.5" customHeight="1" s="237">
      <c r="A136" s="6" t="n"/>
      <c r="B136" s="6" t="n"/>
      <c r="C136" s="12" t="n"/>
      <c r="D136" s="10" t="n"/>
      <c r="E136" s="10" t="n"/>
      <c r="F136" s="164" t="n"/>
      <c r="G136" s="288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</row>
    <row r="137" ht="16.5" customHeight="1" s="237">
      <c r="A137" s="6" t="n"/>
      <c r="B137" s="6" t="n"/>
      <c r="C137" s="12" t="n"/>
      <c r="D137" s="10" t="n"/>
      <c r="E137" s="10" t="n"/>
      <c r="F137" s="164" t="n"/>
      <c r="G137" s="288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</row>
    <row r="138" ht="16.5" customHeight="1" s="237">
      <c r="A138" s="6" t="n"/>
      <c r="B138" s="6" t="n"/>
      <c r="C138" s="12" t="n"/>
      <c r="D138" s="10" t="n"/>
      <c r="E138" s="10" t="n"/>
      <c r="F138" s="164" t="n"/>
      <c r="G138" s="288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</row>
    <row r="139" ht="16.5" customHeight="1" s="237">
      <c r="A139" s="6" t="n"/>
      <c r="B139" s="6" t="n"/>
      <c r="C139" s="12" t="n"/>
      <c r="D139" s="10" t="n"/>
      <c r="E139" s="10" t="n"/>
      <c r="F139" s="164" t="n"/>
      <c r="G139" s="288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</row>
    <row r="140" ht="16.5" customHeight="1" s="237">
      <c r="A140" s="6" t="n"/>
      <c r="B140" s="6" t="n"/>
      <c r="C140" s="12" t="n"/>
      <c r="D140" s="10" t="n"/>
      <c r="E140" s="10" t="n"/>
      <c r="F140" s="164" t="n"/>
      <c r="G140" s="288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</row>
    <row r="141" ht="16.5" customHeight="1" s="237">
      <c r="A141" s="6" t="n"/>
      <c r="B141" s="6" t="n"/>
      <c r="C141" s="12" t="n"/>
      <c r="D141" s="10" t="n"/>
      <c r="E141" s="10" t="n"/>
      <c r="F141" s="164" t="n"/>
      <c r="G141" s="288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</row>
    <row r="142" ht="16.5" customHeight="1" s="237">
      <c r="A142" s="6" t="n"/>
      <c r="B142" s="6" t="n"/>
      <c r="C142" s="12" t="n"/>
      <c r="D142" s="10" t="n"/>
      <c r="E142" s="10" t="n"/>
      <c r="F142" s="164" t="n"/>
      <c r="G142" s="288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</row>
    <row r="143" ht="16.5" customHeight="1" s="237">
      <c r="A143" s="6" t="n"/>
      <c r="B143" s="6" t="n"/>
      <c r="C143" s="12" t="n"/>
      <c r="D143" s="10" t="n"/>
      <c r="E143" s="10" t="n"/>
      <c r="F143" s="164" t="n"/>
      <c r="G143" s="288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</row>
    <row r="144" ht="16.5" customHeight="1" s="237">
      <c r="A144" s="6" t="n"/>
      <c r="B144" s="6" t="n"/>
      <c r="C144" s="12" t="n"/>
      <c r="D144" s="10" t="n"/>
      <c r="E144" s="10" t="n"/>
      <c r="F144" s="164" t="n"/>
      <c r="G144" s="288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</row>
    <row r="145" ht="16.5" customHeight="1" s="237">
      <c r="A145" s="6" t="n"/>
      <c r="B145" s="6" t="n"/>
      <c r="C145" s="12" t="n"/>
      <c r="D145" s="10" t="n"/>
      <c r="E145" s="10" t="n"/>
      <c r="F145" s="164" t="n"/>
      <c r="G145" s="288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</row>
    <row r="146" ht="16.5" customHeight="1" s="237">
      <c r="A146" s="6" t="n"/>
      <c r="B146" s="6" t="n"/>
      <c r="C146" s="12" t="n"/>
      <c r="D146" s="10" t="n"/>
      <c r="E146" s="10" t="n"/>
      <c r="F146" s="164" t="n"/>
      <c r="G146" s="288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</row>
    <row r="147" ht="16.5" customHeight="1" s="237">
      <c r="A147" s="6" t="n"/>
      <c r="B147" s="6" t="n"/>
      <c r="C147" s="12" t="n"/>
      <c r="D147" s="10" t="n"/>
      <c r="E147" s="10" t="n"/>
      <c r="F147" s="164" t="n"/>
      <c r="G147" s="288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</row>
    <row r="148" ht="16.5" customHeight="1" s="237">
      <c r="A148" s="6" t="n"/>
      <c r="B148" s="6" t="n"/>
      <c r="C148" s="12" t="n"/>
      <c r="D148" s="10" t="n"/>
      <c r="E148" s="10" t="n"/>
      <c r="F148" s="164" t="n"/>
      <c r="G148" s="288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</row>
    <row r="149" ht="16.5" customHeight="1" s="237">
      <c r="A149" s="6" t="n"/>
      <c r="B149" s="6" t="n"/>
      <c r="C149" s="12" t="n"/>
      <c r="D149" s="10" t="n"/>
      <c r="E149" s="10" t="n"/>
      <c r="F149" s="164" t="n"/>
      <c r="G149" s="288" t="n"/>
      <c r="H149" s="6" t="n"/>
      <c r="I149" s="6" t="n"/>
      <c r="J149" s="6" t="n"/>
      <c r="K149" s="6" t="n"/>
      <c r="L149" s="6" t="n"/>
      <c r="M149" s="6" t="n"/>
      <c r="N149" s="6" t="n"/>
      <c r="O149" s="6" t="n"/>
      <c r="P149" s="6" t="n"/>
      <c r="Q149" s="6" t="n"/>
      <c r="R149" s="6" t="n"/>
      <c r="S149" s="6" t="n"/>
      <c r="T149" s="6" t="n"/>
      <c r="U149" s="6" t="n"/>
      <c r="V149" s="6" t="n"/>
      <c r="W149" s="6" t="n"/>
      <c r="X149" s="6" t="n"/>
    </row>
    <row r="150" ht="16.5" customHeight="1" s="237">
      <c r="A150" s="6" t="n"/>
      <c r="B150" s="6" t="n"/>
      <c r="C150" s="12" t="n"/>
      <c r="D150" s="10" t="n"/>
      <c r="E150" s="10" t="n"/>
      <c r="F150" s="164" t="n"/>
      <c r="G150" s="288" t="n"/>
      <c r="H150" s="6" t="n"/>
      <c r="I150" s="6" t="n"/>
      <c r="J150" s="6" t="n"/>
      <c r="K150" s="6" t="n"/>
      <c r="L150" s="6" t="n"/>
      <c r="M150" s="6" t="n"/>
      <c r="N150" s="6" t="n"/>
      <c r="O150" s="6" t="n"/>
      <c r="P150" s="6" t="n"/>
      <c r="Q150" s="6" t="n"/>
      <c r="R150" s="6" t="n"/>
      <c r="S150" s="6" t="n"/>
      <c r="T150" s="6" t="n"/>
      <c r="U150" s="6" t="n"/>
      <c r="V150" s="6" t="n"/>
      <c r="W150" s="6" t="n"/>
      <c r="X150" s="6" t="n"/>
    </row>
    <row r="151" ht="16.5" customHeight="1" s="237">
      <c r="A151" s="6" t="n"/>
      <c r="B151" s="6" t="n"/>
      <c r="C151" s="12" t="n"/>
      <c r="D151" s="10" t="n"/>
      <c r="E151" s="10" t="n"/>
      <c r="F151" s="164" t="n"/>
      <c r="G151" s="288" t="n"/>
      <c r="H151" s="6" t="n"/>
      <c r="I151" s="6" t="n"/>
      <c r="J151" s="6" t="n"/>
      <c r="K151" s="6" t="n"/>
      <c r="L151" s="6" t="n"/>
      <c r="M151" s="6" t="n"/>
      <c r="N151" s="6" t="n"/>
      <c r="O151" s="6" t="n"/>
      <c r="P151" s="6" t="n"/>
      <c r="Q151" s="6" t="n"/>
      <c r="R151" s="6" t="n"/>
      <c r="S151" s="6" t="n"/>
      <c r="T151" s="6" t="n"/>
      <c r="U151" s="6" t="n"/>
      <c r="V151" s="6" t="n"/>
      <c r="W151" s="6" t="n"/>
      <c r="X151" s="6" t="n"/>
    </row>
    <row r="152" ht="16.5" customHeight="1" s="237">
      <c r="A152" s="6" t="n"/>
      <c r="B152" s="6" t="n"/>
      <c r="C152" s="12" t="n"/>
      <c r="D152" s="10" t="n"/>
      <c r="E152" s="10" t="n"/>
      <c r="F152" s="164" t="n"/>
      <c r="G152" s="288" t="n"/>
      <c r="H152" s="6" t="n"/>
      <c r="I152" s="6" t="n"/>
      <c r="J152" s="6" t="n"/>
      <c r="K152" s="6" t="n"/>
      <c r="L152" s="6" t="n"/>
      <c r="M152" s="6" t="n"/>
      <c r="N152" s="6" t="n"/>
      <c r="O152" s="6" t="n"/>
      <c r="P152" s="6" t="n"/>
      <c r="Q152" s="6" t="n"/>
      <c r="R152" s="6" t="n"/>
      <c r="S152" s="6" t="n"/>
      <c r="T152" s="6" t="n"/>
      <c r="U152" s="6" t="n"/>
      <c r="V152" s="6" t="n"/>
      <c r="W152" s="6" t="n"/>
      <c r="X152" s="6" t="n"/>
    </row>
    <row r="153" ht="16.5" customHeight="1" s="237">
      <c r="A153" s="6" t="n"/>
      <c r="B153" s="6" t="n"/>
      <c r="C153" s="12" t="n"/>
      <c r="D153" s="10" t="n"/>
      <c r="E153" s="10" t="n"/>
      <c r="F153" s="164" t="n"/>
      <c r="G153" s="288" t="n"/>
      <c r="H153" s="6" t="n"/>
      <c r="I153" s="6" t="n"/>
      <c r="J153" s="6" t="n"/>
      <c r="K153" s="6" t="n"/>
      <c r="L153" s="6" t="n"/>
      <c r="M153" s="6" t="n"/>
      <c r="N153" s="6" t="n"/>
      <c r="O153" s="6" t="n"/>
      <c r="P153" s="6" t="n"/>
      <c r="Q153" s="6" t="n"/>
      <c r="R153" s="6" t="n"/>
      <c r="S153" s="6" t="n"/>
      <c r="T153" s="6" t="n"/>
      <c r="U153" s="6" t="n"/>
      <c r="V153" s="6" t="n"/>
      <c r="W153" s="6" t="n"/>
      <c r="X153" s="6" t="n"/>
    </row>
    <row r="154" ht="16.5" customHeight="1" s="237">
      <c r="A154" s="6" t="n"/>
      <c r="B154" s="6" t="n"/>
      <c r="C154" s="12" t="n"/>
      <c r="D154" s="10" t="n"/>
      <c r="E154" s="10" t="n"/>
      <c r="F154" s="164" t="n"/>
      <c r="G154" s="288" t="n"/>
      <c r="H154" s="6" t="n"/>
      <c r="I154" s="6" t="n"/>
      <c r="J154" s="6" t="n"/>
      <c r="K154" s="6" t="n"/>
      <c r="L154" s="6" t="n"/>
      <c r="M154" s="6" t="n"/>
      <c r="N154" s="6" t="n"/>
      <c r="O154" s="6" t="n"/>
      <c r="P154" s="6" t="n"/>
      <c r="Q154" s="6" t="n"/>
      <c r="R154" s="6" t="n"/>
      <c r="S154" s="6" t="n"/>
      <c r="T154" s="6" t="n"/>
      <c r="U154" s="6" t="n"/>
      <c r="V154" s="6" t="n"/>
      <c r="W154" s="6" t="n"/>
      <c r="X154" s="6" t="n"/>
    </row>
    <row r="155" ht="16.5" customHeight="1" s="237">
      <c r="A155" s="6" t="n"/>
      <c r="B155" s="6" t="n"/>
      <c r="C155" s="12" t="n"/>
      <c r="D155" s="10" t="n"/>
      <c r="E155" s="10" t="n"/>
      <c r="F155" s="164" t="n"/>
      <c r="G155" s="288" t="n"/>
      <c r="H155" s="6" t="n"/>
      <c r="I155" s="6" t="n"/>
      <c r="J155" s="6" t="n"/>
      <c r="K155" s="6" t="n"/>
      <c r="L155" s="6" t="n"/>
      <c r="M155" s="6" t="n"/>
      <c r="N155" s="6" t="n"/>
      <c r="O155" s="6" t="n"/>
      <c r="P155" s="6" t="n"/>
      <c r="Q155" s="6" t="n"/>
      <c r="R155" s="6" t="n"/>
      <c r="S155" s="6" t="n"/>
      <c r="T155" s="6" t="n"/>
      <c r="U155" s="6" t="n"/>
      <c r="V155" s="6" t="n"/>
      <c r="W155" s="6" t="n"/>
      <c r="X155" s="6" t="n"/>
    </row>
    <row r="156" ht="16.5" customHeight="1" s="237">
      <c r="A156" s="6" t="n"/>
      <c r="B156" s="6" t="n"/>
      <c r="C156" s="12" t="n"/>
      <c r="D156" s="10" t="n"/>
      <c r="E156" s="10" t="n"/>
      <c r="F156" s="164" t="n"/>
      <c r="G156" s="288" t="n"/>
      <c r="H156" s="6" t="n"/>
      <c r="I156" s="6" t="n"/>
      <c r="J156" s="6" t="n"/>
      <c r="K156" s="6" t="n"/>
      <c r="L156" s="6" t="n"/>
      <c r="M156" s="6" t="n"/>
      <c r="N156" s="6" t="n"/>
      <c r="O156" s="6" t="n"/>
      <c r="P156" s="6" t="n"/>
      <c r="Q156" s="6" t="n"/>
      <c r="R156" s="6" t="n"/>
      <c r="S156" s="6" t="n"/>
      <c r="T156" s="6" t="n"/>
      <c r="U156" s="6" t="n"/>
      <c r="V156" s="6" t="n"/>
      <c r="W156" s="6" t="n"/>
      <c r="X156" s="6" t="n"/>
    </row>
    <row r="157" ht="16.5" customHeight="1" s="237">
      <c r="A157" s="6" t="n"/>
      <c r="B157" s="6" t="n"/>
      <c r="C157" s="12" t="n"/>
      <c r="D157" s="10" t="n"/>
      <c r="E157" s="10" t="n"/>
      <c r="F157" s="164" t="n"/>
      <c r="G157" s="288" t="n"/>
      <c r="H157" s="6" t="n"/>
      <c r="I157" s="6" t="n"/>
      <c r="J157" s="6" t="n"/>
      <c r="K157" s="6" t="n"/>
      <c r="L157" s="6" t="n"/>
      <c r="M157" s="6" t="n"/>
      <c r="N157" s="6" t="n"/>
      <c r="O157" s="6" t="n"/>
      <c r="P157" s="6" t="n"/>
      <c r="Q157" s="6" t="n"/>
      <c r="R157" s="6" t="n"/>
      <c r="S157" s="6" t="n"/>
      <c r="T157" s="6" t="n"/>
      <c r="U157" s="6" t="n"/>
      <c r="V157" s="6" t="n"/>
      <c r="W157" s="6" t="n"/>
      <c r="X157" s="6" t="n"/>
    </row>
    <row r="158" ht="16.5" customHeight="1" s="237">
      <c r="A158" s="6" t="n"/>
      <c r="B158" s="6" t="n"/>
      <c r="C158" s="12" t="n"/>
      <c r="D158" s="10" t="n"/>
      <c r="E158" s="10" t="n"/>
      <c r="F158" s="164" t="n"/>
      <c r="G158" s="288" t="n"/>
      <c r="H158" s="6" t="n"/>
      <c r="I158" s="6" t="n"/>
      <c r="J158" s="6" t="n"/>
      <c r="K158" s="6" t="n"/>
      <c r="L158" s="6" t="n"/>
      <c r="M158" s="6" t="n"/>
      <c r="N158" s="6" t="n"/>
      <c r="O158" s="6" t="n"/>
      <c r="P158" s="6" t="n"/>
      <c r="Q158" s="6" t="n"/>
      <c r="R158" s="6" t="n"/>
      <c r="S158" s="6" t="n"/>
      <c r="T158" s="6" t="n"/>
      <c r="U158" s="6" t="n"/>
      <c r="V158" s="6" t="n"/>
      <c r="W158" s="6" t="n"/>
      <c r="X158" s="6" t="n"/>
    </row>
    <row r="159" ht="16.5" customHeight="1" s="237">
      <c r="A159" s="6" t="n"/>
      <c r="B159" s="6" t="n"/>
      <c r="C159" s="12" t="n"/>
      <c r="D159" s="10" t="n"/>
      <c r="E159" s="10" t="n"/>
      <c r="F159" s="164" t="n"/>
      <c r="G159" s="288" t="n"/>
      <c r="H159" s="6" t="n"/>
      <c r="I159" s="6" t="n"/>
      <c r="J159" s="6" t="n"/>
      <c r="K159" s="6" t="n"/>
      <c r="L159" s="6" t="n"/>
      <c r="M159" s="6" t="n"/>
      <c r="N159" s="6" t="n"/>
      <c r="O159" s="6" t="n"/>
      <c r="P159" s="6" t="n"/>
      <c r="Q159" s="6" t="n"/>
      <c r="R159" s="6" t="n"/>
      <c r="S159" s="6" t="n"/>
      <c r="T159" s="6" t="n"/>
      <c r="U159" s="6" t="n"/>
      <c r="V159" s="6" t="n"/>
      <c r="W159" s="6" t="n"/>
      <c r="X159" s="6" t="n"/>
    </row>
    <row r="160" ht="16.5" customHeight="1" s="237">
      <c r="A160" s="6" t="n"/>
      <c r="B160" s="6" t="n"/>
      <c r="C160" s="12" t="n"/>
      <c r="D160" s="10" t="n"/>
      <c r="E160" s="10" t="n"/>
      <c r="F160" s="164" t="n"/>
      <c r="G160" s="288" t="n"/>
      <c r="H160" s="6" t="n"/>
      <c r="I160" s="6" t="n"/>
      <c r="J160" s="6" t="n"/>
      <c r="K160" s="6" t="n"/>
      <c r="L160" s="6" t="n"/>
      <c r="M160" s="6" t="n"/>
      <c r="N160" s="6" t="n"/>
      <c r="O160" s="6" t="n"/>
      <c r="P160" s="6" t="n"/>
      <c r="Q160" s="6" t="n"/>
      <c r="R160" s="6" t="n"/>
      <c r="S160" s="6" t="n"/>
      <c r="T160" s="6" t="n"/>
      <c r="U160" s="6" t="n"/>
      <c r="V160" s="6" t="n"/>
      <c r="W160" s="6" t="n"/>
      <c r="X160" s="6" t="n"/>
    </row>
    <row r="161" ht="16.5" customHeight="1" s="237">
      <c r="A161" s="6" t="n"/>
      <c r="B161" s="6" t="n"/>
      <c r="C161" s="12" t="n"/>
      <c r="D161" s="10" t="n"/>
      <c r="E161" s="10" t="n"/>
      <c r="F161" s="164" t="n"/>
      <c r="G161" s="288" t="n"/>
      <c r="H161" s="6" t="n"/>
      <c r="I161" s="6" t="n"/>
      <c r="J161" s="6" t="n"/>
      <c r="K161" s="6" t="n"/>
      <c r="L161" s="6" t="n"/>
      <c r="M161" s="6" t="n"/>
      <c r="N161" s="6" t="n"/>
      <c r="O161" s="6" t="n"/>
      <c r="P161" s="6" t="n"/>
      <c r="Q161" s="6" t="n"/>
      <c r="R161" s="6" t="n"/>
      <c r="S161" s="6" t="n"/>
      <c r="T161" s="6" t="n"/>
      <c r="U161" s="6" t="n"/>
      <c r="V161" s="6" t="n"/>
      <c r="W161" s="6" t="n"/>
      <c r="X161" s="6" t="n"/>
    </row>
    <row r="162" ht="16.5" customHeight="1" s="237">
      <c r="A162" s="6" t="n"/>
      <c r="B162" s="6" t="n"/>
      <c r="C162" s="12" t="n"/>
      <c r="D162" s="10" t="n"/>
      <c r="E162" s="10" t="n"/>
      <c r="F162" s="164" t="n"/>
      <c r="G162" s="288" t="n"/>
      <c r="H162" s="6" t="n"/>
      <c r="I162" s="6" t="n"/>
      <c r="J162" s="6" t="n"/>
      <c r="K162" s="6" t="n"/>
      <c r="L162" s="6" t="n"/>
      <c r="M162" s="6" t="n"/>
      <c r="N162" s="6" t="n"/>
      <c r="O162" s="6" t="n"/>
      <c r="P162" s="6" t="n"/>
      <c r="Q162" s="6" t="n"/>
      <c r="R162" s="6" t="n"/>
      <c r="S162" s="6" t="n"/>
      <c r="T162" s="6" t="n"/>
      <c r="U162" s="6" t="n"/>
      <c r="V162" s="6" t="n"/>
      <c r="W162" s="6" t="n"/>
      <c r="X162" s="6" t="n"/>
    </row>
    <row r="163" ht="16.5" customHeight="1" s="237">
      <c r="A163" s="6" t="n"/>
      <c r="B163" s="6" t="n"/>
      <c r="C163" s="12" t="n"/>
      <c r="D163" s="10" t="n"/>
      <c r="E163" s="10" t="n"/>
      <c r="F163" s="164" t="n"/>
      <c r="G163" s="288" t="n"/>
      <c r="H163" s="6" t="n"/>
      <c r="I163" s="6" t="n"/>
      <c r="J163" s="6" t="n"/>
      <c r="K163" s="6" t="n"/>
      <c r="L163" s="6" t="n"/>
      <c r="M163" s="6" t="n"/>
      <c r="N163" s="6" t="n"/>
      <c r="O163" s="6" t="n"/>
      <c r="P163" s="6" t="n"/>
      <c r="Q163" s="6" t="n"/>
      <c r="R163" s="6" t="n"/>
      <c r="S163" s="6" t="n"/>
      <c r="T163" s="6" t="n"/>
      <c r="U163" s="6" t="n"/>
      <c r="V163" s="6" t="n"/>
      <c r="W163" s="6" t="n"/>
      <c r="X163" s="6" t="n"/>
    </row>
    <row r="164" ht="16.5" customHeight="1" s="237">
      <c r="A164" s="6" t="n"/>
      <c r="B164" s="6" t="n"/>
      <c r="C164" s="12" t="n"/>
      <c r="D164" s="10" t="n"/>
      <c r="E164" s="10" t="n"/>
      <c r="F164" s="164" t="n"/>
      <c r="G164" s="288" t="n"/>
      <c r="H164" s="6" t="n"/>
      <c r="I164" s="6" t="n"/>
      <c r="J164" s="6" t="n"/>
      <c r="K164" s="6" t="n"/>
      <c r="L164" s="6" t="n"/>
      <c r="M164" s="6" t="n"/>
      <c r="N164" s="6" t="n"/>
      <c r="O164" s="6" t="n"/>
      <c r="P164" s="6" t="n"/>
      <c r="Q164" s="6" t="n"/>
      <c r="R164" s="6" t="n"/>
      <c r="S164" s="6" t="n"/>
      <c r="T164" s="6" t="n"/>
      <c r="U164" s="6" t="n"/>
      <c r="V164" s="6" t="n"/>
      <c r="W164" s="6" t="n"/>
      <c r="X164" s="6" t="n"/>
    </row>
    <row r="165" ht="16.5" customHeight="1" s="237">
      <c r="A165" s="6" t="n"/>
      <c r="B165" s="6" t="n"/>
      <c r="C165" s="12" t="n"/>
      <c r="D165" s="10" t="n"/>
      <c r="E165" s="10" t="n"/>
      <c r="F165" s="164" t="n"/>
      <c r="G165" s="288" t="n"/>
      <c r="H165" s="6" t="n"/>
      <c r="I165" s="6" t="n"/>
      <c r="J165" s="6" t="n"/>
      <c r="K165" s="6" t="n"/>
      <c r="L165" s="6" t="n"/>
      <c r="M165" s="6" t="n"/>
      <c r="N165" s="6" t="n"/>
      <c r="O165" s="6" t="n"/>
      <c r="P165" s="6" t="n"/>
      <c r="Q165" s="6" t="n"/>
      <c r="R165" s="6" t="n"/>
      <c r="S165" s="6" t="n"/>
      <c r="T165" s="6" t="n"/>
      <c r="U165" s="6" t="n"/>
      <c r="V165" s="6" t="n"/>
      <c r="W165" s="6" t="n"/>
      <c r="X165" s="6" t="n"/>
    </row>
    <row r="166" ht="16.5" customHeight="1" s="237">
      <c r="A166" s="6" t="n"/>
      <c r="B166" s="6" t="n"/>
      <c r="C166" s="12" t="n"/>
      <c r="D166" s="10" t="n"/>
      <c r="E166" s="10" t="n"/>
      <c r="F166" s="164" t="n"/>
      <c r="G166" s="288" t="n"/>
      <c r="H166" s="6" t="n"/>
      <c r="I166" s="6" t="n"/>
      <c r="J166" s="6" t="n"/>
      <c r="K166" s="6" t="n"/>
      <c r="L166" s="6" t="n"/>
      <c r="M166" s="6" t="n"/>
      <c r="N166" s="6" t="n"/>
      <c r="O166" s="6" t="n"/>
      <c r="P166" s="6" t="n"/>
      <c r="Q166" s="6" t="n"/>
      <c r="R166" s="6" t="n"/>
      <c r="S166" s="6" t="n"/>
      <c r="T166" s="6" t="n"/>
      <c r="U166" s="6" t="n"/>
      <c r="V166" s="6" t="n"/>
      <c r="W166" s="6" t="n"/>
      <c r="X166" s="6" t="n"/>
    </row>
    <row r="167" ht="16.5" customHeight="1" s="237">
      <c r="A167" s="6" t="n"/>
      <c r="B167" s="6" t="n"/>
      <c r="C167" s="12" t="n"/>
      <c r="D167" s="10" t="n"/>
      <c r="E167" s="10" t="n"/>
      <c r="F167" s="164" t="n"/>
      <c r="G167" s="288" t="n"/>
      <c r="H167" s="6" t="n"/>
      <c r="I167" s="6" t="n"/>
      <c r="J167" s="6" t="n"/>
      <c r="K167" s="6" t="n"/>
      <c r="L167" s="6" t="n"/>
      <c r="M167" s="6" t="n"/>
      <c r="N167" s="6" t="n"/>
      <c r="O167" s="6" t="n"/>
      <c r="P167" s="6" t="n"/>
      <c r="Q167" s="6" t="n"/>
      <c r="R167" s="6" t="n"/>
      <c r="S167" s="6" t="n"/>
      <c r="T167" s="6" t="n"/>
      <c r="U167" s="6" t="n"/>
      <c r="V167" s="6" t="n"/>
      <c r="W167" s="6" t="n"/>
      <c r="X167" s="6" t="n"/>
    </row>
    <row r="168" ht="16.5" customHeight="1" s="237">
      <c r="A168" s="6" t="n"/>
      <c r="B168" s="6" t="n"/>
      <c r="C168" s="12" t="n"/>
      <c r="D168" s="10" t="n"/>
      <c r="E168" s="10" t="n"/>
      <c r="F168" s="164" t="n"/>
      <c r="G168" s="288" t="n"/>
      <c r="H168" s="6" t="n"/>
      <c r="I168" s="6" t="n"/>
      <c r="J168" s="6" t="n"/>
      <c r="K168" s="6" t="n"/>
      <c r="L168" s="6" t="n"/>
      <c r="M168" s="6" t="n"/>
      <c r="N168" s="6" t="n"/>
      <c r="O168" s="6" t="n"/>
      <c r="P168" s="6" t="n"/>
      <c r="Q168" s="6" t="n"/>
      <c r="R168" s="6" t="n"/>
      <c r="S168" s="6" t="n"/>
      <c r="T168" s="6" t="n"/>
      <c r="U168" s="6" t="n"/>
      <c r="V168" s="6" t="n"/>
      <c r="W168" s="6" t="n"/>
      <c r="X168" s="6" t="n"/>
    </row>
    <row r="169" ht="16.5" customHeight="1" s="237">
      <c r="A169" s="6" t="n"/>
      <c r="B169" s="6" t="n"/>
      <c r="C169" s="12" t="n"/>
      <c r="D169" s="10" t="n"/>
      <c r="E169" s="10" t="n"/>
      <c r="F169" s="164" t="n"/>
      <c r="G169" s="288" t="n"/>
      <c r="H169" s="6" t="n"/>
      <c r="I169" s="6" t="n"/>
      <c r="J169" s="6" t="n"/>
      <c r="K169" s="6" t="n"/>
      <c r="L169" s="6" t="n"/>
      <c r="M169" s="6" t="n"/>
      <c r="N169" s="6" t="n"/>
      <c r="O169" s="6" t="n"/>
      <c r="P169" s="6" t="n"/>
      <c r="Q169" s="6" t="n"/>
      <c r="R169" s="6" t="n"/>
      <c r="S169" s="6" t="n"/>
      <c r="T169" s="6" t="n"/>
      <c r="U169" s="6" t="n"/>
      <c r="V169" s="6" t="n"/>
      <c r="W169" s="6" t="n"/>
      <c r="X169" s="6" t="n"/>
    </row>
    <row r="170" ht="16.5" customHeight="1" s="237">
      <c r="A170" s="6" t="n"/>
      <c r="B170" s="6" t="n"/>
      <c r="C170" s="12" t="n"/>
      <c r="D170" s="10" t="n"/>
      <c r="E170" s="10" t="n"/>
      <c r="F170" s="164" t="n"/>
      <c r="G170" s="288" t="n"/>
      <c r="H170" s="6" t="n"/>
      <c r="I170" s="6" t="n"/>
      <c r="J170" s="6" t="n"/>
      <c r="K170" s="6" t="n"/>
      <c r="L170" s="6" t="n"/>
      <c r="M170" s="6" t="n"/>
      <c r="N170" s="6" t="n"/>
      <c r="O170" s="6" t="n"/>
      <c r="P170" s="6" t="n"/>
      <c r="Q170" s="6" t="n"/>
      <c r="R170" s="6" t="n"/>
      <c r="S170" s="6" t="n"/>
      <c r="T170" s="6" t="n"/>
      <c r="U170" s="6" t="n"/>
      <c r="V170" s="6" t="n"/>
      <c r="W170" s="6" t="n"/>
      <c r="X170" s="6" t="n"/>
    </row>
    <row r="171" ht="16.5" customHeight="1" s="237">
      <c r="A171" s="6" t="n"/>
      <c r="B171" s="6" t="n"/>
      <c r="C171" s="12" t="n"/>
      <c r="D171" s="10" t="n"/>
      <c r="E171" s="10" t="n"/>
      <c r="F171" s="164" t="n"/>
      <c r="G171" s="288" t="n"/>
      <c r="H171" s="6" t="n"/>
      <c r="I171" s="6" t="n"/>
      <c r="J171" s="6" t="n"/>
      <c r="K171" s="6" t="n"/>
      <c r="L171" s="6" t="n"/>
      <c r="M171" s="6" t="n"/>
      <c r="N171" s="6" t="n"/>
      <c r="O171" s="6" t="n"/>
      <c r="P171" s="6" t="n"/>
      <c r="Q171" s="6" t="n"/>
      <c r="R171" s="6" t="n"/>
      <c r="S171" s="6" t="n"/>
      <c r="T171" s="6" t="n"/>
      <c r="U171" s="6" t="n"/>
      <c r="V171" s="6" t="n"/>
      <c r="W171" s="6" t="n"/>
      <c r="X171" s="6" t="n"/>
    </row>
    <row r="172" ht="16.5" customHeight="1" s="237">
      <c r="A172" s="6" t="n"/>
      <c r="B172" s="6" t="n"/>
      <c r="C172" s="12" t="n"/>
      <c r="D172" s="10" t="n"/>
      <c r="E172" s="10" t="n"/>
      <c r="F172" s="164" t="n"/>
      <c r="G172" s="288" t="n"/>
      <c r="H172" s="6" t="n"/>
      <c r="I172" s="6" t="n"/>
      <c r="J172" s="6" t="n"/>
      <c r="K172" s="6" t="n"/>
      <c r="L172" s="6" t="n"/>
      <c r="M172" s="6" t="n"/>
      <c r="N172" s="6" t="n"/>
      <c r="O172" s="6" t="n"/>
      <c r="P172" s="6" t="n"/>
      <c r="Q172" s="6" t="n"/>
      <c r="R172" s="6" t="n"/>
      <c r="S172" s="6" t="n"/>
      <c r="T172" s="6" t="n"/>
      <c r="U172" s="6" t="n"/>
      <c r="V172" s="6" t="n"/>
      <c r="W172" s="6" t="n"/>
      <c r="X172" s="6" t="n"/>
    </row>
    <row r="173" ht="16.5" customHeight="1" s="237">
      <c r="A173" s="6" t="n"/>
      <c r="B173" s="6" t="n"/>
      <c r="C173" s="12" t="n"/>
      <c r="D173" s="10" t="n"/>
      <c r="E173" s="10" t="n"/>
      <c r="F173" s="164" t="n"/>
      <c r="G173" s="288" t="n"/>
      <c r="H173" s="6" t="n"/>
      <c r="I173" s="6" t="n"/>
      <c r="J173" s="6" t="n"/>
      <c r="K173" s="6" t="n"/>
      <c r="L173" s="6" t="n"/>
      <c r="M173" s="6" t="n"/>
      <c r="N173" s="6" t="n"/>
      <c r="O173" s="6" t="n"/>
      <c r="P173" s="6" t="n"/>
      <c r="Q173" s="6" t="n"/>
      <c r="R173" s="6" t="n"/>
      <c r="S173" s="6" t="n"/>
      <c r="T173" s="6" t="n"/>
      <c r="U173" s="6" t="n"/>
      <c r="V173" s="6" t="n"/>
      <c r="W173" s="6" t="n"/>
      <c r="X173" s="6" t="n"/>
    </row>
    <row r="174" ht="16.5" customHeight="1" s="237">
      <c r="A174" s="6" t="n"/>
      <c r="B174" s="6" t="n"/>
      <c r="C174" s="12" t="n"/>
      <c r="D174" s="10" t="n"/>
      <c r="E174" s="10" t="n"/>
      <c r="F174" s="164" t="n"/>
      <c r="G174" s="288" t="n"/>
      <c r="H174" s="6" t="n"/>
      <c r="I174" s="6" t="n"/>
      <c r="J174" s="6" t="n"/>
      <c r="K174" s="6" t="n"/>
      <c r="L174" s="6" t="n"/>
      <c r="M174" s="6" t="n"/>
      <c r="N174" s="6" t="n"/>
      <c r="O174" s="6" t="n"/>
      <c r="P174" s="6" t="n"/>
      <c r="Q174" s="6" t="n"/>
      <c r="R174" s="6" t="n"/>
      <c r="S174" s="6" t="n"/>
      <c r="T174" s="6" t="n"/>
      <c r="U174" s="6" t="n"/>
      <c r="V174" s="6" t="n"/>
      <c r="W174" s="6" t="n"/>
      <c r="X174" s="6" t="n"/>
    </row>
    <row r="175" ht="16.5" customHeight="1" s="237">
      <c r="A175" s="6" t="n"/>
      <c r="B175" s="6" t="n"/>
      <c r="C175" s="12" t="n"/>
      <c r="D175" s="10" t="n"/>
      <c r="E175" s="10" t="n"/>
      <c r="F175" s="164" t="n"/>
      <c r="G175" s="288" t="n"/>
      <c r="H175" s="6" t="n"/>
      <c r="I175" s="6" t="n"/>
      <c r="J175" s="6" t="n"/>
      <c r="K175" s="6" t="n"/>
      <c r="L175" s="6" t="n"/>
      <c r="M175" s="6" t="n"/>
      <c r="N175" s="6" t="n"/>
      <c r="O175" s="6" t="n"/>
      <c r="P175" s="6" t="n"/>
      <c r="Q175" s="6" t="n"/>
      <c r="R175" s="6" t="n"/>
      <c r="S175" s="6" t="n"/>
      <c r="T175" s="6" t="n"/>
      <c r="U175" s="6" t="n"/>
      <c r="V175" s="6" t="n"/>
      <c r="W175" s="6" t="n"/>
      <c r="X175" s="6" t="n"/>
    </row>
    <row r="176" ht="16.5" customHeight="1" s="237">
      <c r="A176" s="6" t="n"/>
      <c r="B176" s="6" t="n"/>
      <c r="C176" s="12" t="n"/>
      <c r="D176" s="10" t="n"/>
      <c r="E176" s="10" t="n"/>
      <c r="F176" s="164" t="n"/>
      <c r="G176" s="288" t="n"/>
      <c r="H176" s="6" t="n"/>
      <c r="I176" s="6" t="n"/>
      <c r="J176" s="6" t="n"/>
      <c r="K176" s="6" t="n"/>
      <c r="L176" s="6" t="n"/>
      <c r="M176" s="6" t="n"/>
      <c r="N176" s="6" t="n"/>
      <c r="O176" s="6" t="n"/>
      <c r="P176" s="6" t="n"/>
      <c r="Q176" s="6" t="n"/>
      <c r="R176" s="6" t="n"/>
      <c r="S176" s="6" t="n"/>
      <c r="T176" s="6" t="n"/>
      <c r="U176" s="6" t="n"/>
      <c r="V176" s="6" t="n"/>
      <c r="W176" s="6" t="n"/>
      <c r="X176" s="6" t="n"/>
    </row>
    <row r="177" ht="16.5" customHeight="1" s="237">
      <c r="A177" s="6" t="n"/>
      <c r="B177" s="6" t="n"/>
      <c r="C177" s="12" t="n"/>
      <c r="D177" s="10" t="n"/>
      <c r="E177" s="10" t="n"/>
      <c r="F177" s="164" t="n"/>
      <c r="G177" s="288" t="n"/>
      <c r="H177" s="6" t="n"/>
      <c r="I177" s="6" t="n"/>
      <c r="J177" s="6" t="n"/>
      <c r="K177" s="6" t="n"/>
      <c r="L177" s="6" t="n"/>
      <c r="M177" s="6" t="n"/>
      <c r="N177" s="6" t="n"/>
      <c r="O177" s="6" t="n"/>
      <c r="P177" s="6" t="n"/>
      <c r="Q177" s="6" t="n"/>
      <c r="R177" s="6" t="n"/>
      <c r="S177" s="6" t="n"/>
      <c r="T177" s="6" t="n"/>
      <c r="U177" s="6" t="n"/>
      <c r="V177" s="6" t="n"/>
      <c r="W177" s="6" t="n"/>
      <c r="X177" s="6" t="n"/>
    </row>
    <row r="178" ht="16.5" customHeight="1" s="237">
      <c r="A178" s="6" t="n"/>
      <c r="B178" s="6" t="n"/>
      <c r="C178" s="12" t="n"/>
      <c r="D178" s="10" t="n"/>
      <c r="E178" s="10" t="n"/>
      <c r="F178" s="164" t="n"/>
      <c r="G178" s="288" t="n"/>
      <c r="H178" s="6" t="n"/>
      <c r="I178" s="6" t="n"/>
      <c r="J178" s="6" t="n"/>
      <c r="K178" s="6" t="n"/>
      <c r="L178" s="6" t="n"/>
      <c r="M178" s="6" t="n"/>
      <c r="N178" s="6" t="n"/>
      <c r="O178" s="6" t="n"/>
      <c r="P178" s="6" t="n"/>
      <c r="Q178" s="6" t="n"/>
      <c r="R178" s="6" t="n"/>
      <c r="S178" s="6" t="n"/>
      <c r="T178" s="6" t="n"/>
      <c r="U178" s="6" t="n"/>
      <c r="V178" s="6" t="n"/>
      <c r="W178" s="6" t="n"/>
      <c r="X178" s="6" t="n"/>
    </row>
    <row r="179" ht="16.5" customHeight="1" s="237">
      <c r="A179" s="6" t="n"/>
      <c r="B179" s="6" t="n"/>
      <c r="C179" s="12" t="n"/>
      <c r="D179" s="10" t="n"/>
      <c r="E179" s="10" t="n"/>
      <c r="F179" s="164" t="n"/>
      <c r="G179" s="288" t="n"/>
      <c r="H179" s="6" t="n"/>
      <c r="I179" s="6" t="n"/>
      <c r="J179" s="6" t="n"/>
      <c r="K179" s="6" t="n"/>
      <c r="L179" s="6" t="n"/>
      <c r="M179" s="6" t="n"/>
      <c r="N179" s="6" t="n"/>
      <c r="O179" s="6" t="n"/>
      <c r="P179" s="6" t="n"/>
      <c r="Q179" s="6" t="n"/>
      <c r="R179" s="6" t="n"/>
      <c r="S179" s="6" t="n"/>
      <c r="T179" s="6" t="n"/>
      <c r="U179" s="6" t="n"/>
      <c r="V179" s="6" t="n"/>
      <c r="W179" s="6" t="n"/>
      <c r="X179" s="6" t="n"/>
    </row>
    <row r="180" ht="16.5" customHeight="1" s="237">
      <c r="A180" s="6" t="n"/>
      <c r="B180" s="6" t="n"/>
      <c r="C180" s="12" t="n"/>
      <c r="D180" s="10" t="n"/>
      <c r="E180" s="10" t="n"/>
      <c r="F180" s="164" t="n"/>
      <c r="G180" s="288" t="n"/>
      <c r="H180" s="6" t="n"/>
      <c r="I180" s="6" t="n"/>
      <c r="J180" s="6" t="n"/>
      <c r="K180" s="6" t="n"/>
      <c r="L180" s="6" t="n"/>
      <c r="M180" s="6" t="n"/>
      <c r="N180" s="6" t="n"/>
      <c r="O180" s="6" t="n"/>
      <c r="P180" s="6" t="n"/>
      <c r="Q180" s="6" t="n"/>
      <c r="R180" s="6" t="n"/>
      <c r="S180" s="6" t="n"/>
      <c r="T180" s="6" t="n"/>
      <c r="U180" s="6" t="n"/>
      <c r="V180" s="6" t="n"/>
      <c r="W180" s="6" t="n"/>
      <c r="X180" s="6" t="n"/>
    </row>
    <row r="181" ht="16.5" customHeight="1" s="237">
      <c r="A181" s="6" t="n"/>
      <c r="B181" s="6" t="n"/>
      <c r="C181" s="12" t="n"/>
      <c r="D181" s="10" t="n"/>
      <c r="E181" s="10" t="n"/>
      <c r="F181" s="164" t="n"/>
      <c r="G181" s="288" t="n"/>
      <c r="H181" s="6" t="n"/>
      <c r="I181" s="6" t="n"/>
      <c r="J181" s="6" t="n"/>
      <c r="K181" s="6" t="n"/>
      <c r="L181" s="6" t="n"/>
      <c r="M181" s="6" t="n"/>
      <c r="N181" s="6" t="n"/>
      <c r="O181" s="6" t="n"/>
      <c r="P181" s="6" t="n"/>
      <c r="Q181" s="6" t="n"/>
      <c r="R181" s="6" t="n"/>
      <c r="S181" s="6" t="n"/>
      <c r="T181" s="6" t="n"/>
      <c r="U181" s="6" t="n"/>
      <c r="V181" s="6" t="n"/>
      <c r="W181" s="6" t="n"/>
      <c r="X181" s="6" t="n"/>
    </row>
    <row r="182" ht="16.5" customHeight="1" s="237">
      <c r="A182" s="6" t="n"/>
      <c r="B182" s="6" t="n"/>
      <c r="C182" s="12" t="n"/>
      <c r="D182" s="10" t="n"/>
      <c r="E182" s="10" t="n"/>
      <c r="F182" s="164" t="n"/>
      <c r="G182" s="288" t="n"/>
      <c r="H182" s="6" t="n"/>
      <c r="I182" s="6" t="n"/>
      <c r="J182" s="6" t="n"/>
      <c r="K182" s="6" t="n"/>
      <c r="L182" s="6" t="n"/>
      <c r="M182" s="6" t="n"/>
      <c r="N182" s="6" t="n"/>
      <c r="O182" s="6" t="n"/>
      <c r="P182" s="6" t="n"/>
      <c r="Q182" s="6" t="n"/>
      <c r="R182" s="6" t="n"/>
      <c r="S182" s="6" t="n"/>
      <c r="T182" s="6" t="n"/>
      <c r="U182" s="6" t="n"/>
      <c r="V182" s="6" t="n"/>
      <c r="W182" s="6" t="n"/>
      <c r="X182" s="6" t="n"/>
    </row>
    <row r="183" ht="16.5" customHeight="1" s="237">
      <c r="A183" s="6" t="n"/>
      <c r="B183" s="6" t="n"/>
      <c r="C183" s="12" t="n"/>
      <c r="D183" s="10" t="n"/>
      <c r="E183" s="10" t="n"/>
      <c r="F183" s="164" t="n"/>
      <c r="G183" s="288" t="n"/>
      <c r="H183" s="6" t="n"/>
      <c r="I183" s="6" t="n"/>
      <c r="J183" s="6" t="n"/>
      <c r="K183" s="6" t="n"/>
      <c r="L183" s="6" t="n"/>
      <c r="M183" s="6" t="n"/>
      <c r="N183" s="6" t="n"/>
      <c r="O183" s="6" t="n"/>
      <c r="P183" s="6" t="n"/>
      <c r="Q183" s="6" t="n"/>
      <c r="R183" s="6" t="n"/>
      <c r="S183" s="6" t="n"/>
      <c r="T183" s="6" t="n"/>
      <c r="U183" s="6" t="n"/>
      <c r="V183" s="6" t="n"/>
      <c r="W183" s="6" t="n"/>
      <c r="X183" s="6" t="n"/>
    </row>
    <row r="184" ht="16.5" customHeight="1" s="237">
      <c r="A184" s="6" t="n"/>
      <c r="B184" s="6" t="n"/>
      <c r="C184" s="12" t="n"/>
      <c r="D184" s="10" t="n"/>
      <c r="E184" s="10" t="n"/>
      <c r="F184" s="164" t="n"/>
      <c r="G184" s="288" t="n"/>
      <c r="H184" s="6" t="n"/>
      <c r="I184" s="6" t="n"/>
      <c r="J184" s="6" t="n"/>
      <c r="K184" s="6" t="n"/>
      <c r="L184" s="6" t="n"/>
      <c r="M184" s="6" t="n"/>
      <c r="N184" s="6" t="n"/>
      <c r="O184" s="6" t="n"/>
      <c r="P184" s="6" t="n"/>
      <c r="Q184" s="6" t="n"/>
      <c r="R184" s="6" t="n"/>
      <c r="S184" s="6" t="n"/>
      <c r="T184" s="6" t="n"/>
      <c r="U184" s="6" t="n"/>
      <c r="V184" s="6" t="n"/>
      <c r="W184" s="6" t="n"/>
      <c r="X184" s="6" t="n"/>
    </row>
    <row r="185" ht="16.5" customHeight="1" s="237">
      <c r="A185" s="6" t="n"/>
      <c r="B185" s="6" t="n"/>
      <c r="C185" s="12" t="n"/>
      <c r="D185" s="10" t="n"/>
      <c r="E185" s="10" t="n"/>
      <c r="F185" s="164" t="n"/>
      <c r="G185" s="288" t="n"/>
      <c r="H185" s="6" t="n"/>
      <c r="I185" s="6" t="n"/>
      <c r="J185" s="6" t="n"/>
      <c r="K185" s="6" t="n"/>
      <c r="L185" s="6" t="n"/>
      <c r="M185" s="6" t="n"/>
      <c r="N185" s="6" t="n"/>
      <c r="O185" s="6" t="n"/>
      <c r="P185" s="6" t="n"/>
      <c r="Q185" s="6" t="n"/>
      <c r="R185" s="6" t="n"/>
      <c r="S185" s="6" t="n"/>
      <c r="T185" s="6" t="n"/>
      <c r="U185" s="6" t="n"/>
      <c r="V185" s="6" t="n"/>
      <c r="W185" s="6" t="n"/>
      <c r="X185" s="6" t="n"/>
    </row>
    <row r="186" ht="16.5" customHeight="1" s="237">
      <c r="A186" s="6" t="n"/>
      <c r="B186" s="6" t="n"/>
      <c r="C186" s="12" t="n"/>
      <c r="D186" s="10" t="n"/>
      <c r="E186" s="10" t="n"/>
      <c r="F186" s="164" t="n"/>
      <c r="G186" s="288" t="n"/>
      <c r="H186" s="6" t="n"/>
      <c r="I186" s="6" t="n"/>
      <c r="J186" s="6" t="n"/>
      <c r="K186" s="6" t="n"/>
      <c r="L186" s="6" t="n"/>
      <c r="M186" s="6" t="n"/>
      <c r="N186" s="6" t="n"/>
      <c r="O186" s="6" t="n"/>
      <c r="P186" s="6" t="n"/>
      <c r="Q186" s="6" t="n"/>
      <c r="R186" s="6" t="n"/>
      <c r="S186" s="6" t="n"/>
      <c r="T186" s="6" t="n"/>
      <c r="U186" s="6" t="n"/>
      <c r="V186" s="6" t="n"/>
      <c r="W186" s="6" t="n"/>
      <c r="X186" s="6" t="n"/>
    </row>
    <row r="187" ht="16.5" customHeight="1" s="237">
      <c r="A187" s="6" t="n"/>
      <c r="B187" s="6" t="n"/>
      <c r="C187" s="12" t="n"/>
      <c r="D187" s="10" t="n"/>
      <c r="E187" s="10" t="n"/>
      <c r="F187" s="164" t="n"/>
      <c r="G187" s="288" t="n"/>
      <c r="H187" s="6" t="n"/>
      <c r="I187" s="6" t="n"/>
      <c r="J187" s="6" t="n"/>
      <c r="K187" s="6" t="n"/>
      <c r="L187" s="6" t="n"/>
      <c r="M187" s="6" t="n"/>
      <c r="N187" s="6" t="n"/>
      <c r="O187" s="6" t="n"/>
      <c r="P187" s="6" t="n"/>
      <c r="Q187" s="6" t="n"/>
      <c r="R187" s="6" t="n"/>
      <c r="S187" s="6" t="n"/>
      <c r="T187" s="6" t="n"/>
      <c r="U187" s="6" t="n"/>
      <c r="V187" s="6" t="n"/>
      <c r="W187" s="6" t="n"/>
      <c r="X187" s="6" t="n"/>
    </row>
    <row r="188" ht="16.5" customHeight="1" s="237">
      <c r="A188" s="6" t="n"/>
      <c r="B188" s="6" t="n"/>
      <c r="C188" s="12" t="n"/>
      <c r="D188" s="10" t="n"/>
      <c r="E188" s="10" t="n"/>
      <c r="F188" s="164" t="n"/>
      <c r="G188" s="288" t="n"/>
      <c r="H188" s="6" t="n"/>
      <c r="I188" s="6" t="n"/>
      <c r="J188" s="6" t="n"/>
      <c r="K188" s="6" t="n"/>
      <c r="L188" s="6" t="n"/>
      <c r="M188" s="6" t="n"/>
      <c r="N188" s="6" t="n"/>
      <c r="O188" s="6" t="n"/>
      <c r="P188" s="6" t="n"/>
      <c r="Q188" s="6" t="n"/>
      <c r="R188" s="6" t="n"/>
      <c r="S188" s="6" t="n"/>
      <c r="T188" s="6" t="n"/>
      <c r="U188" s="6" t="n"/>
      <c r="V188" s="6" t="n"/>
      <c r="W188" s="6" t="n"/>
      <c r="X188" s="6" t="n"/>
    </row>
    <row r="189" ht="16.5" customHeight="1" s="237">
      <c r="A189" s="6" t="n"/>
      <c r="B189" s="6" t="n"/>
      <c r="C189" s="12" t="n"/>
      <c r="D189" s="10" t="n"/>
      <c r="E189" s="10" t="n"/>
      <c r="F189" s="164" t="n"/>
      <c r="G189" s="288" t="n"/>
      <c r="H189" s="6" t="n"/>
      <c r="I189" s="6" t="n"/>
      <c r="J189" s="6" t="n"/>
      <c r="K189" s="6" t="n"/>
      <c r="L189" s="6" t="n"/>
      <c r="M189" s="6" t="n"/>
      <c r="N189" s="6" t="n"/>
      <c r="O189" s="6" t="n"/>
      <c r="P189" s="6" t="n"/>
      <c r="Q189" s="6" t="n"/>
      <c r="R189" s="6" t="n"/>
      <c r="S189" s="6" t="n"/>
      <c r="T189" s="6" t="n"/>
      <c r="U189" s="6" t="n"/>
      <c r="V189" s="6" t="n"/>
      <c r="W189" s="6" t="n"/>
      <c r="X189" s="6" t="n"/>
    </row>
    <row r="190" ht="16.5" customHeight="1" s="237">
      <c r="A190" s="6" t="n"/>
      <c r="B190" s="6" t="n"/>
      <c r="C190" s="12" t="n"/>
      <c r="D190" s="10" t="n"/>
      <c r="E190" s="10" t="n"/>
      <c r="F190" s="164" t="n"/>
      <c r="G190" s="288" t="n"/>
      <c r="H190" s="6" t="n"/>
      <c r="I190" s="6" t="n"/>
      <c r="J190" s="6" t="n"/>
      <c r="K190" s="6" t="n"/>
      <c r="L190" s="6" t="n"/>
      <c r="M190" s="6" t="n"/>
      <c r="N190" s="6" t="n"/>
      <c r="O190" s="6" t="n"/>
      <c r="P190" s="6" t="n"/>
      <c r="Q190" s="6" t="n"/>
      <c r="R190" s="6" t="n"/>
      <c r="S190" s="6" t="n"/>
      <c r="T190" s="6" t="n"/>
      <c r="U190" s="6" t="n"/>
      <c r="V190" s="6" t="n"/>
      <c r="W190" s="6" t="n"/>
      <c r="X190" s="6" t="n"/>
    </row>
    <row r="191" ht="16.5" customHeight="1" s="237">
      <c r="A191" s="6" t="n"/>
      <c r="B191" s="6" t="n"/>
      <c r="C191" s="12" t="n"/>
      <c r="D191" s="10" t="n"/>
      <c r="E191" s="10" t="n"/>
      <c r="F191" s="164" t="n"/>
      <c r="G191" s="288" t="n"/>
      <c r="H191" s="6" t="n"/>
      <c r="I191" s="6" t="n"/>
      <c r="J191" s="6" t="n"/>
      <c r="K191" s="6" t="n"/>
      <c r="L191" s="6" t="n"/>
      <c r="M191" s="6" t="n"/>
      <c r="N191" s="6" t="n"/>
      <c r="O191" s="6" t="n"/>
      <c r="P191" s="6" t="n"/>
      <c r="Q191" s="6" t="n"/>
      <c r="R191" s="6" t="n"/>
      <c r="S191" s="6" t="n"/>
      <c r="T191" s="6" t="n"/>
      <c r="U191" s="6" t="n"/>
      <c r="V191" s="6" t="n"/>
      <c r="W191" s="6" t="n"/>
      <c r="X191" s="6" t="n"/>
    </row>
    <row r="192" ht="16.5" customHeight="1" s="237">
      <c r="A192" s="6" t="n"/>
      <c r="B192" s="6" t="n"/>
      <c r="C192" s="12" t="n"/>
      <c r="D192" s="10" t="n"/>
      <c r="E192" s="10" t="n"/>
      <c r="F192" s="164" t="n"/>
      <c r="G192" s="288" t="n"/>
      <c r="H192" s="6" t="n"/>
      <c r="I192" s="6" t="n"/>
      <c r="J192" s="6" t="n"/>
      <c r="K192" s="6" t="n"/>
      <c r="L192" s="6" t="n"/>
      <c r="M192" s="6" t="n"/>
      <c r="N192" s="6" t="n"/>
      <c r="O192" s="6" t="n"/>
      <c r="P192" s="6" t="n"/>
      <c r="Q192" s="6" t="n"/>
      <c r="R192" s="6" t="n"/>
      <c r="S192" s="6" t="n"/>
      <c r="T192" s="6" t="n"/>
      <c r="U192" s="6" t="n"/>
      <c r="V192" s="6" t="n"/>
      <c r="W192" s="6" t="n"/>
      <c r="X192" s="6" t="n"/>
    </row>
    <row r="193" ht="16.5" customHeight="1" s="237">
      <c r="A193" s="6" t="n"/>
      <c r="B193" s="6" t="n"/>
      <c r="C193" s="12" t="n"/>
      <c r="D193" s="10" t="n"/>
      <c r="E193" s="10" t="n"/>
      <c r="F193" s="164" t="n"/>
      <c r="G193" s="288" t="n"/>
      <c r="H193" s="6" t="n"/>
      <c r="I193" s="6" t="n"/>
      <c r="J193" s="6" t="n"/>
      <c r="K193" s="6" t="n"/>
      <c r="L193" s="6" t="n"/>
      <c r="M193" s="6" t="n"/>
      <c r="N193" s="6" t="n"/>
      <c r="O193" s="6" t="n"/>
      <c r="P193" s="6" t="n"/>
      <c r="Q193" s="6" t="n"/>
      <c r="R193" s="6" t="n"/>
      <c r="S193" s="6" t="n"/>
      <c r="T193" s="6" t="n"/>
      <c r="U193" s="6" t="n"/>
      <c r="V193" s="6" t="n"/>
      <c r="W193" s="6" t="n"/>
      <c r="X193" s="6" t="n"/>
    </row>
    <row r="194" ht="16.5" customHeight="1" s="237">
      <c r="A194" s="6" t="n"/>
      <c r="B194" s="6" t="n"/>
      <c r="C194" s="12" t="n"/>
      <c r="D194" s="10" t="n"/>
      <c r="E194" s="10" t="n"/>
      <c r="F194" s="164" t="n"/>
      <c r="G194" s="288" t="n"/>
      <c r="H194" s="6" t="n"/>
      <c r="I194" s="6" t="n"/>
      <c r="J194" s="6" t="n"/>
      <c r="K194" s="6" t="n"/>
      <c r="L194" s="6" t="n"/>
      <c r="M194" s="6" t="n"/>
      <c r="N194" s="6" t="n"/>
      <c r="O194" s="6" t="n"/>
      <c r="P194" s="6" t="n"/>
      <c r="Q194" s="6" t="n"/>
      <c r="R194" s="6" t="n"/>
      <c r="S194" s="6" t="n"/>
      <c r="T194" s="6" t="n"/>
      <c r="U194" s="6" t="n"/>
      <c r="V194" s="6" t="n"/>
      <c r="W194" s="6" t="n"/>
      <c r="X194" s="6" t="n"/>
    </row>
    <row r="195" ht="16.5" customHeight="1" s="237">
      <c r="A195" s="6" t="n"/>
      <c r="B195" s="6" t="n"/>
      <c r="C195" s="12" t="n"/>
      <c r="D195" s="10" t="n"/>
      <c r="E195" s="10" t="n"/>
      <c r="F195" s="164" t="n"/>
      <c r="G195" s="288" t="n"/>
      <c r="H195" s="6" t="n"/>
      <c r="I195" s="6" t="n"/>
      <c r="J195" s="6" t="n"/>
      <c r="K195" s="6" t="n"/>
      <c r="L195" s="6" t="n"/>
      <c r="M195" s="6" t="n"/>
      <c r="N195" s="6" t="n"/>
      <c r="O195" s="6" t="n"/>
      <c r="P195" s="6" t="n"/>
      <c r="Q195" s="6" t="n"/>
      <c r="R195" s="6" t="n"/>
      <c r="S195" s="6" t="n"/>
      <c r="T195" s="6" t="n"/>
      <c r="U195" s="6" t="n"/>
      <c r="V195" s="6" t="n"/>
      <c r="W195" s="6" t="n"/>
      <c r="X195" s="6" t="n"/>
    </row>
    <row r="196" ht="16.5" customHeight="1" s="237">
      <c r="A196" s="6" t="n"/>
      <c r="B196" s="6" t="n"/>
      <c r="C196" s="12" t="n"/>
      <c r="D196" s="10" t="n"/>
      <c r="E196" s="10" t="n"/>
      <c r="F196" s="164" t="n"/>
      <c r="G196" s="288" t="n"/>
      <c r="H196" s="6" t="n"/>
      <c r="I196" s="6" t="n"/>
      <c r="J196" s="6" t="n"/>
      <c r="K196" s="6" t="n"/>
      <c r="L196" s="6" t="n"/>
      <c r="M196" s="6" t="n"/>
      <c r="N196" s="6" t="n"/>
      <c r="O196" s="6" t="n"/>
      <c r="P196" s="6" t="n"/>
      <c r="Q196" s="6" t="n"/>
      <c r="R196" s="6" t="n"/>
      <c r="S196" s="6" t="n"/>
      <c r="T196" s="6" t="n"/>
      <c r="U196" s="6" t="n"/>
      <c r="V196" s="6" t="n"/>
      <c r="W196" s="6" t="n"/>
      <c r="X196" s="6" t="n"/>
    </row>
    <row r="197" ht="16.5" customHeight="1" s="237">
      <c r="A197" s="6" t="n"/>
      <c r="B197" s="6" t="n"/>
      <c r="C197" s="12" t="n"/>
      <c r="D197" s="10" t="n"/>
      <c r="E197" s="10" t="n"/>
      <c r="F197" s="164" t="n"/>
      <c r="G197" s="288" t="n"/>
      <c r="H197" s="6" t="n"/>
      <c r="I197" s="6" t="n"/>
      <c r="J197" s="6" t="n"/>
      <c r="K197" s="6" t="n"/>
      <c r="L197" s="6" t="n"/>
      <c r="M197" s="6" t="n"/>
      <c r="N197" s="6" t="n"/>
      <c r="O197" s="6" t="n"/>
      <c r="P197" s="6" t="n"/>
      <c r="Q197" s="6" t="n"/>
      <c r="R197" s="6" t="n"/>
      <c r="S197" s="6" t="n"/>
      <c r="T197" s="6" t="n"/>
      <c r="U197" s="6" t="n"/>
      <c r="V197" s="6" t="n"/>
      <c r="W197" s="6" t="n"/>
      <c r="X197" s="6" t="n"/>
    </row>
    <row r="198" ht="16.5" customHeight="1" s="237">
      <c r="A198" s="6" t="n"/>
      <c r="B198" s="6" t="n"/>
      <c r="C198" s="12" t="n"/>
      <c r="D198" s="10" t="n"/>
      <c r="E198" s="10" t="n"/>
      <c r="F198" s="164" t="n"/>
      <c r="G198" s="288" t="n"/>
      <c r="H198" s="6" t="n"/>
      <c r="I198" s="6" t="n"/>
      <c r="J198" s="6" t="n"/>
      <c r="K198" s="6" t="n"/>
      <c r="L198" s="6" t="n"/>
      <c r="M198" s="6" t="n"/>
      <c r="N198" s="6" t="n"/>
      <c r="O198" s="6" t="n"/>
      <c r="P198" s="6" t="n"/>
      <c r="Q198" s="6" t="n"/>
      <c r="R198" s="6" t="n"/>
      <c r="S198" s="6" t="n"/>
      <c r="T198" s="6" t="n"/>
      <c r="U198" s="6" t="n"/>
      <c r="V198" s="6" t="n"/>
      <c r="W198" s="6" t="n"/>
      <c r="X198" s="6" t="n"/>
    </row>
    <row r="199" ht="16.5" customHeight="1" s="237">
      <c r="A199" s="6" t="n"/>
      <c r="B199" s="6" t="n"/>
      <c r="C199" s="12" t="n"/>
      <c r="D199" s="10" t="n"/>
      <c r="E199" s="10" t="n"/>
      <c r="F199" s="164" t="n"/>
      <c r="G199" s="288" t="n"/>
      <c r="H199" s="6" t="n"/>
      <c r="I199" s="6" t="n"/>
      <c r="J199" s="6" t="n"/>
      <c r="K199" s="6" t="n"/>
      <c r="L199" s="6" t="n"/>
      <c r="M199" s="6" t="n"/>
      <c r="N199" s="6" t="n"/>
      <c r="O199" s="6" t="n"/>
      <c r="P199" s="6" t="n"/>
      <c r="Q199" s="6" t="n"/>
      <c r="R199" s="6" t="n"/>
      <c r="S199" s="6" t="n"/>
      <c r="T199" s="6" t="n"/>
      <c r="U199" s="6" t="n"/>
      <c r="V199" s="6" t="n"/>
      <c r="W199" s="6" t="n"/>
      <c r="X199" s="6" t="n"/>
    </row>
    <row r="200" ht="16.5" customHeight="1" s="237">
      <c r="A200" s="6" t="n"/>
      <c r="B200" s="6" t="n"/>
      <c r="C200" s="12" t="n"/>
      <c r="D200" s="10" t="n"/>
      <c r="E200" s="10" t="n"/>
      <c r="F200" s="164" t="n"/>
      <c r="G200" s="288" t="n"/>
      <c r="H200" s="6" t="n"/>
      <c r="I200" s="6" t="n"/>
      <c r="J200" s="6" t="n"/>
      <c r="K200" s="6" t="n"/>
      <c r="L200" s="6" t="n"/>
      <c r="M200" s="6" t="n"/>
      <c r="N200" s="6" t="n"/>
      <c r="O200" s="6" t="n"/>
      <c r="P200" s="6" t="n"/>
      <c r="Q200" s="6" t="n"/>
      <c r="R200" s="6" t="n"/>
      <c r="S200" s="6" t="n"/>
      <c r="T200" s="6" t="n"/>
      <c r="U200" s="6" t="n"/>
      <c r="V200" s="6" t="n"/>
      <c r="W200" s="6" t="n"/>
      <c r="X200" s="6" t="n"/>
    </row>
    <row r="201" ht="16.5" customHeight="1" s="237">
      <c r="A201" s="6" t="n"/>
      <c r="B201" s="6" t="n"/>
      <c r="C201" s="12" t="n"/>
      <c r="D201" s="10" t="n"/>
      <c r="E201" s="10" t="n"/>
      <c r="F201" s="164" t="n"/>
      <c r="G201" s="288" t="n"/>
      <c r="H201" s="6" t="n"/>
      <c r="I201" s="6" t="n"/>
      <c r="J201" s="6" t="n"/>
      <c r="K201" s="6" t="n"/>
      <c r="L201" s="6" t="n"/>
      <c r="M201" s="6" t="n"/>
      <c r="N201" s="6" t="n"/>
      <c r="O201" s="6" t="n"/>
      <c r="P201" s="6" t="n"/>
      <c r="Q201" s="6" t="n"/>
      <c r="R201" s="6" t="n"/>
      <c r="S201" s="6" t="n"/>
      <c r="T201" s="6" t="n"/>
      <c r="U201" s="6" t="n"/>
      <c r="V201" s="6" t="n"/>
      <c r="W201" s="6" t="n"/>
      <c r="X201" s="6" t="n"/>
    </row>
    <row r="202" ht="16.5" customHeight="1" s="237">
      <c r="A202" s="6" t="n"/>
      <c r="B202" s="6" t="n"/>
      <c r="C202" s="12" t="n"/>
      <c r="D202" s="10" t="n"/>
      <c r="E202" s="10" t="n"/>
      <c r="F202" s="164" t="n"/>
      <c r="G202" s="288" t="n"/>
      <c r="H202" s="6" t="n"/>
      <c r="I202" s="6" t="n"/>
      <c r="J202" s="6" t="n"/>
      <c r="K202" s="6" t="n"/>
      <c r="L202" s="6" t="n"/>
      <c r="M202" s="6" t="n"/>
      <c r="N202" s="6" t="n"/>
      <c r="O202" s="6" t="n"/>
      <c r="P202" s="6" t="n"/>
      <c r="Q202" s="6" t="n"/>
      <c r="R202" s="6" t="n"/>
      <c r="S202" s="6" t="n"/>
      <c r="T202" s="6" t="n"/>
      <c r="U202" s="6" t="n"/>
      <c r="V202" s="6" t="n"/>
      <c r="W202" s="6" t="n"/>
      <c r="X202" s="6" t="n"/>
    </row>
    <row r="203" ht="16.5" customHeight="1" s="237">
      <c r="A203" s="6" t="n"/>
      <c r="B203" s="6" t="n"/>
      <c r="C203" s="12" t="n"/>
      <c r="D203" s="10" t="n"/>
      <c r="E203" s="10" t="n"/>
      <c r="F203" s="164" t="n"/>
      <c r="G203" s="288" t="n"/>
      <c r="H203" s="6" t="n"/>
      <c r="I203" s="6" t="n"/>
      <c r="J203" s="6" t="n"/>
      <c r="K203" s="6" t="n"/>
      <c r="L203" s="6" t="n"/>
      <c r="M203" s="6" t="n"/>
      <c r="N203" s="6" t="n"/>
      <c r="O203" s="6" t="n"/>
      <c r="P203" s="6" t="n"/>
      <c r="Q203" s="6" t="n"/>
      <c r="R203" s="6" t="n"/>
      <c r="S203" s="6" t="n"/>
      <c r="T203" s="6" t="n"/>
      <c r="U203" s="6" t="n"/>
      <c r="V203" s="6" t="n"/>
      <c r="W203" s="6" t="n"/>
      <c r="X203" s="6" t="n"/>
    </row>
    <row r="204" ht="16.5" customHeight="1" s="237">
      <c r="A204" s="6" t="n"/>
      <c r="B204" s="6" t="n"/>
      <c r="C204" s="12" t="n"/>
      <c r="D204" s="10" t="n"/>
      <c r="E204" s="10" t="n"/>
      <c r="F204" s="164" t="n"/>
      <c r="G204" s="288" t="n"/>
      <c r="H204" s="6" t="n"/>
      <c r="I204" s="6" t="n"/>
      <c r="J204" s="6" t="n"/>
      <c r="K204" s="6" t="n"/>
      <c r="L204" s="6" t="n"/>
      <c r="M204" s="6" t="n"/>
      <c r="N204" s="6" t="n"/>
      <c r="O204" s="6" t="n"/>
      <c r="P204" s="6" t="n"/>
      <c r="Q204" s="6" t="n"/>
      <c r="R204" s="6" t="n"/>
      <c r="S204" s="6" t="n"/>
      <c r="T204" s="6" t="n"/>
      <c r="U204" s="6" t="n"/>
      <c r="V204" s="6" t="n"/>
      <c r="W204" s="6" t="n"/>
      <c r="X204" s="6" t="n"/>
    </row>
    <row r="205" ht="16.5" customHeight="1" s="237">
      <c r="A205" s="6" t="n"/>
      <c r="B205" s="6" t="n"/>
      <c r="C205" s="12" t="n"/>
      <c r="D205" s="10" t="n"/>
      <c r="E205" s="10" t="n"/>
      <c r="F205" s="164" t="n"/>
      <c r="G205" s="288" t="n"/>
      <c r="H205" s="6" t="n"/>
      <c r="I205" s="6" t="n"/>
      <c r="J205" s="6" t="n"/>
      <c r="K205" s="6" t="n"/>
      <c r="L205" s="6" t="n"/>
      <c r="M205" s="6" t="n"/>
      <c r="N205" s="6" t="n"/>
      <c r="O205" s="6" t="n"/>
      <c r="P205" s="6" t="n"/>
      <c r="Q205" s="6" t="n"/>
      <c r="R205" s="6" t="n"/>
      <c r="S205" s="6" t="n"/>
      <c r="T205" s="6" t="n"/>
      <c r="U205" s="6" t="n"/>
      <c r="V205" s="6" t="n"/>
      <c r="W205" s="6" t="n"/>
      <c r="X205" s="6" t="n"/>
    </row>
    <row r="206" ht="16.5" customHeight="1" s="237">
      <c r="A206" s="6" t="n"/>
      <c r="B206" s="6" t="n"/>
      <c r="C206" s="12" t="n"/>
      <c r="D206" s="10" t="n"/>
      <c r="E206" s="10" t="n"/>
      <c r="F206" s="164" t="n"/>
      <c r="G206" s="288" t="n"/>
      <c r="H206" s="6" t="n"/>
      <c r="I206" s="6" t="n"/>
      <c r="J206" s="6" t="n"/>
      <c r="K206" s="6" t="n"/>
      <c r="L206" s="6" t="n"/>
      <c r="M206" s="6" t="n"/>
      <c r="N206" s="6" t="n"/>
      <c r="O206" s="6" t="n"/>
      <c r="P206" s="6" t="n"/>
      <c r="Q206" s="6" t="n"/>
      <c r="R206" s="6" t="n"/>
      <c r="S206" s="6" t="n"/>
      <c r="T206" s="6" t="n"/>
      <c r="U206" s="6" t="n"/>
      <c r="V206" s="6" t="n"/>
      <c r="W206" s="6" t="n"/>
      <c r="X206" s="6" t="n"/>
    </row>
    <row r="207" ht="16.5" customHeight="1" s="237">
      <c r="A207" s="6" t="n"/>
      <c r="B207" s="6" t="n"/>
      <c r="C207" s="12" t="n"/>
      <c r="D207" s="10" t="n"/>
      <c r="E207" s="10" t="n"/>
      <c r="F207" s="164" t="n"/>
      <c r="G207" s="288" t="n"/>
      <c r="H207" s="6" t="n"/>
      <c r="I207" s="6" t="n"/>
      <c r="J207" s="6" t="n"/>
      <c r="K207" s="6" t="n"/>
      <c r="L207" s="6" t="n"/>
      <c r="M207" s="6" t="n"/>
      <c r="N207" s="6" t="n"/>
      <c r="O207" s="6" t="n"/>
      <c r="P207" s="6" t="n"/>
      <c r="Q207" s="6" t="n"/>
      <c r="R207" s="6" t="n"/>
      <c r="S207" s="6" t="n"/>
      <c r="T207" s="6" t="n"/>
      <c r="U207" s="6" t="n"/>
      <c r="V207" s="6" t="n"/>
      <c r="W207" s="6" t="n"/>
      <c r="X207" s="6" t="n"/>
    </row>
    <row r="208" ht="16.5" customHeight="1" s="237">
      <c r="A208" s="6" t="n"/>
      <c r="B208" s="6" t="n"/>
      <c r="C208" s="12" t="n"/>
      <c r="D208" s="10" t="n"/>
      <c r="E208" s="10" t="n"/>
      <c r="F208" s="164" t="n"/>
      <c r="G208" s="288" t="n"/>
      <c r="H208" s="6" t="n"/>
      <c r="I208" s="6" t="n"/>
      <c r="J208" s="6" t="n"/>
      <c r="K208" s="6" t="n"/>
      <c r="L208" s="6" t="n"/>
      <c r="M208" s="6" t="n"/>
      <c r="N208" s="6" t="n"/>
      <c r="O208" s="6" t="n"/>
      <c r="P208" s="6" t="n"/>
      <c r="Q208" s="6" t="n"/>
      <c r="R208" s="6" t="n"/>
      <c r="S208" s="6" t="n"/>
      <c r="T208" s="6" t="n"/>
      <c r="U208" s="6" t="n"/>
      <c r="V208" s="6" t="n"/>
      <c r="W208" s="6" t="n"/>
      <c r="X208" s="6" t="n"/>
    </row>
    <row r="209" ht="16.5" customHeight="1" s="237">
      <c r="A209" s="6" t="n"/>
      <c r="B209" s="6" t="n"/>
      <c r="C209" s="12" t="n"/>
      <c r="D209" s="10" t="n"/>
      <c r="E209" s="10" t="n"/>
      <c r="F209" s="164" t="n"/>
      <c r="G209" s="288" t="n"/>
      <c r="H209" s="6" t="n"/>
      <c r="I209" s="6" t="n"/>
      <c r="J209" s="6" t="n"/>
      <c r="K209" s="6" t="n"/>
      <c r="L209" s="6" t="n"/>
      <c r="M209" s="6" t="n"/>
      <c r="N209" s="6" t="n"/>
      <c r="O209" s="6" t="n"/>
      <c r="P209" s="6" t="n"/>
      <c r="Q209" s="6" t="n"/>
      <c r="R209" s="6" t="n"/>
      <c r="S209" s="6" t="n"/>
      <c r="T209" s="6" t="n"/>
      <c r="U209" s="6" t="n"/>
      <c r="V209" s="6" t="n"/>
      <c r="W209" s="6" t="n"/>
      <c r="X209" s="6" t="n"/>
    </row>
    <row r="210" ht="16.5" customHeight="1" s="237">
      <c r="A210" s="6" t="n"/>
      <c r="B210" s="6" t="n"/>
      <c r="C210" s="12" t="n"/>
      <c r="D210" s="10" t="n"/>
      <c r="E210" s="10" t="n"/>
      <c r="F210" s="164" t="n"/>
      <c r="G210" s="288" t="n"/>
      <c r="H210" s="6" t="n"/>
      <c r="I210" s="6" t="n"/>
      <c r="J210" s="6" t="n"/>
      <c r="K210" s="6" t="n"/>
      <c r="L210" s="6" t="n"/>
      <c r="M210" s="6" t="n"/>
      <c r="N210" s="6" t="n"/>
      <c r="O210" s="6" t="n"/>
      <c r="P210" s="6" t="n"/>
      <c r="Q210" s="6" t="n"/>
      <c r="R210" s="6" t="n"/>
      <c r="S210" s="6" t="n"/>
      <c r="T210" s="6" t="n"/>
      <c r="U210" s="6" t="n"/>
      <c r="V210" s="6" t="n"/>
      <c r="W210" s="6" t="n"/>
      <c r="X210" s="6" t="n"/>
    </row>
    <row r="211" ht="16.5" customHeight="1" s="237">
      <c r="A211" s="6" t="n"/>
      <c r="B211" s="6" t="n"/>
      <c r="C211" s="12" t="n"/>
      <c r="D211" s="10" t="n"/>
      <c r="E211" s="10" t="n"/>
      <c r="F211" s="164" t="n"/>
      <c r="G211" s="288" t="n"/>
      <c r="H211" s="6" t="n"/>
      <c r="I211" s="6" t="n"/>
      <c r="J211" s="6" t="n"/>
      <c r="K211" s="6" t="n"/>
      <c r="L211" s="6" t="n"/>
      <c r="M211" s="6" t="n"/>
      <c r="N211" s="6" t="n"/>
      <c r="O211" s="6" t="n"/>
      <c r="P211" s="6" t="n"/>
      <c r="Q211" s="6" t="n"/>
      <c r="R211" s="6" t="n"/>
      <c r="S211" s="6" t="n"/>
      <c r="T211" s="6" t="n"/>
      <c r="U211" s="6" t="n"/>
      <c r="V211" s="6" t="n"/>
      <c r="W211" s="6" t="n"/>
      <c r="X211" s="6" t="n"/>
    </row>
    <row r="212" ht="16.5" customHeight="1" s="237">
      <c r="A212" s="6" t="n"/>
      <c r="B212" s="6" t="n"/>
      <c r="C212" s="12" t="n"/>
      <c r="D212" s="10" t="n"/>
      <c r="E212" s="10" t="n"/>
      <c r="F212" s="164" t="n"/>
      <c r="G212" s="288" t="n"/>
      <c r="H212" s="6" t="n"/>
      <c r="I212" s="6" t="n"/>
      <c r="J212" s="6" t="n"/>
      <c r="K212" s="6" t="n"/>
      <c r="L212" s="6" t="n"/>
      <c r="M212" s="6" t="n"/>
      <c r="N212" s="6" t="n"/>
      <c r="O212" s="6" t="n"/>
      <c r="P212" s="6" t="n"/>
      <c r="Q212" s="6" t="n"/>
      <c r="R212" s="6" t="n"/>
      <c r="S212" s="6" t="n"/>
      <c r="T212" s="6" t="n"/>
      <c r="U212" s="6" t="n"/>
      <c r="V212" s="6" t="n"/>
      <c r="W212" s="6" t="n"/>
      <c r="X212" s="6" t="n"/>
    </row>
    <row r="213" ht="16.5" customHeight="1" s="237">
      <c r="A213" s="6" t="n"/>
      <c r="B213" s="6" t="n"/>
      <c r="C213" s="12" t="n"/>
      <c r="D213" s="10" t="n"/>
      <c r="E213" s="10" t="n"/>
      <c r="F213" s="164" t="n"/>
      <c r="G213" s="288" t="n"/>
      <c r="H213" s="6" t="n"/>
      <c r="I213" s="6" t="n"/>
      <c r="J213" s="6" t="n"/>
      <c r="K213" s="6" t="n"/>
      <c r="L213" s="6" t="n"/>
      <c r="M213" s="6" t="n"/>
      <c r="N213" s="6" t="n"/>
      <c r="O213" s="6" t="n"/>
      <c r="P213" s="6" t="n"/>
      <c r="Q213" s="6" t="n"/>
      <c r="R213" s="6" t="n"/>
      <c r="S213" s="6" t="n"/>
      <c r="T213" s="6" t="n"/>
      <c r="U213" s="6" t="n"/>
      <c r="V213" s="6" t="n"/>
      <c r="W213" s="6" t="n"/>
      <c r="X213" s="6" t="n"/>
    </row>
    <row r="214" ht="16.5" customHeight="1" s="237">
      <c r="A214" s="6" t="n"/>
      <c r="B214" s="6" t="n"/>
      <c r="C214" s="12" t="n"/>
      <c r="D214" s="10" t="n"/>
      <c r="E214" s="10" t="n"/>
      <c r="F214" s="164" t="n"/>
      <c r="G214" s="288" t="n"/>
      <c r="H214" s="6" t="n"/>
      <c r="I214" s="6" t="n"/>
      <c r="J214" s="6" t="n"/>
      <c r="K214" s="6" t="n"/>
      <c r="L214" s="6" t="n"/>
      <c r="M214" s="6" t="n"/>
      <c r="N214" s="6" t="n"/>
      <c r="O214" s="6" t="n"/>
      <c r="P214" s="6" t="n"/>
      <c r="Q214" s="6" t="n"/>
      <c r="R214" s="6" t="n"/>
      <c r="S214" s="6" t="n"/>
      <c r="T214" s="6" t="n"/>
      <c r="U214" s="6" t="n"/>
      <c r="V214" s="6" t="n"/>
      <c r="W214" s="6" t="n"/>
      <c r="X214" s="6" t="n"/>
    </row>
    <row r="215" ht="16.5" customHeight="1" s="237">
      <c r="A215" s="6" t="n"/>
      <c r="B215" s="6" t="n"/>
      <c r="C215" s="12" t="n"/>
      <c r="D215" s="10" t="n"/>
      <c r="E215" s="10" t="n"/>
      <c r="F215" s="164" t="n"/>
      <c r="G215" s="288" t="n"/>
      <c r="H215" s="6" t="n"/>
      <c r="I215" s="6" t="n"/>
      <c r="J215" s="6" t="n"/>
      <c r="K215" s="6" t="n"/>
      <c r="L215" s="6" t="n"/>
      <c r="M215" s="6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W215" s="6" t="n"/>
      <c r="X215" s="6" t="n"/>
    </row>
    <row r="216" ht="16.5" customHeight="1" s="237">
      <c r="A216" s="6" t="n"/>
      <c r="B216" s="6" t="n"/>
      <c r="C216" s="12" t="n"/>
      <c r="D216" s="10" t="n"/>
      <c r="E216" s="10" t="n"/>
      <c r="F216" s="164" t="n"/>
      <c r="G216" s="288" t="n"/>
      <c r="H216" s="6" t="n"/>
      <c r="I216" s="6" t="n"/>
      <c r="J216" s="6" t="n"/>
      <c r="K216" s="6" t="n"/>
      <c r="L216" s="6" t="n"/>
      <c r="M216" s="6" t="n"/>
      <c r="N216" s="6" t="n"/>
      <c r="O216" s="6" t="n"/>
      <c r="P216" s="6" t="n"/>
      <c r="Q216" s="6" t="n"/>
      <c r="R216" s="6" t="n"/>
      <c r="S216" s="6" t="n"/>
      <c r="T216" s="6" t="n"/>
      <c r="U216" s="6" t="n"/>
      <c r="V216" s="6" t="n"/>
      <c r="W216" s="6" t="n"/>
      <c r="X216" s="6" t="n"/>
    </row>
    <row r="217" ht="16.5" customHeight="1" s="237">
      <c r="A217" s="6" t="n"/>
      <c r="B217" s="6" t="n"/>
      <c r="C217" s="12" t="n"/>
      <c r="D217" s="10" t="n"/>
      <c r="E217" s="10" t="n"/>
      <c r="F217" s="164" t="n"/>
      <c r="G217" s="288" t="n"/>
      <c r="H217" s="6" t="n"/>
      <c r="I217" s="6" t="n"/>
      <c r="J217" s="6" t="n"/>
      <c r="K217" s="6" t="n"/>
      <c r="L217" s="6" t="n"/>
      <c r="M217" s="6" t="n"/>
      <c r="N217" s="6" t="n"/>
      <c r="O217" s="6" t="n"/>
      <c r="P217" s="6" t="n"/>
      <c r="Q217" s="6" t="n"/>
      <c r="R217" s="6" t="n"/>
      <c r="S217" s="6" t="n"/>
      <c r="T217" s="6" t="n"/>
      <c r="U217" s="6" t="n"/>
      <c r="V217" s="6" t="n"/>
      <c r="W217" s="6" t="n"/>
      <c r="X217" s="6" t="n"/>
    </row>
    <row r="218" ht="16.5" customHeight="1" s="237">
      <c r="A218" s="6" t="n"/>
      <c r="B218" s="6" t="n"/>
      <c r="C218" s="12" t="n"/>
      <c r="D218" s="10" t="n"/>
      <c r="E218" s="10" t="n"/>
      <c r="F218" s="164" t="n"/>
      <c r="G218" s="288" t="n"/>
      <c r="H218" s="6" t="n"/>
      <c r="I218" s="6" t="n"/>
      <c r="J218" s="6" t="n"/>
      <c r="K218" s="6" t="n"/>
      <c r="L218" s="6" t="n"/>
      <c r="M218" s="6" t="n"/>
      <c r="N218" s="6" t="n"/>
      <c r="O218" s="6" t="n"/>
      <c r="P218" s="6" t="n"/>
      <c r="Q218" s="6" t="n"/>
      <c r="R218" s="6" t="n"/>
      <c r="S218" s="6" t="n"/>
      <c r="T218" s="6" t="n"/>
      <c r="U218" s="6" t="n"/>
      <c r="V218" s="6" t="n"/>
      <c r="W218" s="6" t="n"/>
      <c r="X218" s="6" t="n"/>
    </row>
    <row r="219" ht="16.5" customHeight="1" s="237">
      <c r="A219" s="6" t="n"/>
      <c r="B219" s="6" t="n"/>
      <c r="C219" s="12" t="n"/>
      <c r="D219" s="10" t="n"/>
      <c r="E219" s="10" t="n"/>
      <c r="F219" s="164" t="n"/>
      <c r="G219" s="288" t="n"/>
      <c r="H219" s="6" t="n"/>
      <c r="I219" s="6" t="n"/>
      <c r="J219" s="6" t="n"/>
      <c r="K219" s="6" t="n"/>
      <c r="L219" s="6" t="n"/>
      <c r="M219" s="6" t="n"/>
      <c r="N219" s="6" t="n"/>
      <c r="O219" s="6" t="n"/>
      <c r="P219" s="6" t="n"/>
      <c r="Q219" s="6" t="n"/>
      <c r="R219" s="6" t="n"/>
      <c r="S219" s="6" t="n"/>
      <c r="T219" s="6" t="n"/>
      <c r="U219" s="6" t="n"/>
      <c r="V219" s="6" t="n"/>
      <c r="W219" s="6" t="n"/>
      <c r="X219" s="6" t="n"/>
    </row>
    <row r="220" ht="16.5" customHeight="1" s="237">
      <c r="A220" s="6" t="n"/>
      <c r="B220" s="6" t="n"/>
      <c r="C220" s="12" t="n"/>
      <c r="D220" s="10" t="n"/>
      <c r="E220" s="10" t="n"/>
      <c r="F220" s="164" t="n"/>
      <c r="G220" s="288" t="n"/>
      <c r="H220" s="6" t="n"/>
      <c r="I220" s="6" t="n"/>
      <c r="J220" s="6" t="n"/>
      <c r="K220" s="6" t="n"/>
      <c r="L220" s="6" t="n"/>
      <c r="M220" s="6" t="n"/>
      <c r="N220" s="6" t="n"/>
      <c r="O220" s="6" t="n"/>
      <c r="P220" s="6" t="n"/>
      <c r="Q220" s="6" t="n"/>
      <c r="R220" s="6" t="n"/>
      <c r="S220" s="6" t="n"/>
      <c r="T220" s="6" t="n"/>
      <c r="U220" s="6" t="n"/>
      <c r="V220" s="6" t="n"/>
      <c r="W220" s="6" t="n"/>
      <c r="X220" s="6" t="n"/>
    </row>
    <row r="221" ht="16.5" customHeight="1" s="237">
      <c r="A221" s="6" t="n"/>
      <c r="B221" s="6" t="n"/>
      <c r="C221" s="12" t="n"/>
      <c r="D221" s="10" t="n"/>
      <c r="E221" s="10" t="n"/>
      <c r="F221" s="164" t="n"/>
      <c r="G221" s="288" t="n"/>
      <c r="H221" s="6" t="n"/>
      <c r="I221" s="6" t="n"/>
      <c r="J221" s="6" t="n"/>
      <c r="K221" s="6" t="n"/>
      <c r="L221" s="6" t="n"/>
      <c r="M221" s="6" t="n"/>
      <c r="N221" s="6" t="n"/>
      <c r="O221" s="6" t="n"/>
      <c r="P221" s="6" t="n"/>
      <c r="Q221" s="6" t="n"/>
      <c r="R221" s="6" t="n"/>
      <c r="S221" s="6" t="n"/>
      <c r="T221" s="6" t="n"/>
      <c r="U221" s="6" t="n"/>
      <c r="V221" s="6" t="n"/>
      <c r="W221" s="6" t="n"/>
      <c r="X221" s="6" t="n"/>
    </row>
    <row r="222" ht="16.5" customHeight="1" s="237">
      <c r="A222" s="6" t="n"/>
      <c r="B222" s="6" t="n"/>
      <c r="C222" s="12" t="n"/>
      <c r="D222" s="10" t="n"/>
      <c r="E222" s="10" t="n"/>
      <c r="F222" s="164" t="n"/>
      <c r="G222" s="288" t="n"/>
      <c r="H222" s="6" t="n"/>
      <c r="I222" s="6" t="n"/>
      <c r="J222" s="6" t="n"/>
      <c r="K222" s="6" t="n"/>
      <c r="L222" s="6" t="n"/>
      <c r="M222" s="6" t="n"/>
      <c r="N222" s="6" t="n"/>
      <c r="O222" s="6" t="n"/>
      <c r="P222" s="6" t="n"/>
      <c r="Q222" s="6" t="n"/>
      <c r="R222" s="6" t="n"/>
      <c r="S222" s="6" t="n"/>
      <c r="T222" s="6" t="n"/>
      <c r="U222" s="6" t="n"/>
      <c r="V222" s="6" t="n"/>
      <c r="W222" s="6" t="n"/>
      <c r="X222" s="6" t="n"/>
    </row>
    <row r="223" ht="16.5" customHeight="1" s="237">
      <c r="A223" s="6" t="n"/>
      <c r="B223" s="6" t="n"/>
      <c r="C223" s="12" t="n"/>
      <c r="D223" s="10" t="n"/>
      <c r="E223" s="10" t="n"/>
      <c r="F223" s="164" t="n"/>
      <c r="G223" s="288" t="n"/>
      <c r="H223" s="6" t="n"/>
      <c r="I223" s="6" t="n"/>
      <c r="J223" s="6" t="n"/>
      <c r="K223" s="6" t="n"/>
      <c r="L223" s="6" t="n"/>
      <c r="M223" s="6" t="n"/>
      <c r="N223" s="6" t="n"/>
      <c r="O223" s="6" t="n"/>
      <c r="P223" s="6" t="n"/>
      <c r="Q223" s="6" t="n"/>
      <c r="R223" s="6" t="n"/>
      <c r="S223" s="6" t="n"/>
      <c r="T223" s="6" t="n"/>
      <c r="U223" s="6" t="n"/>
      <c r="V223" s="6" t="n"/>
      <c r="W223" s="6" t="n"/>
      <c r="X223" s="6" t="n"/>
    </row>
    <row r="224" ht="15.75" customHeight="1" s="237">
      <c r="D224" s="21" t="n"/>
    </row>
    <row r="225" ht="15.75" customHeight="1" s="237">
      <c r="D225" s="21" t="n"/>
    </row>
    <row r="226" ht="15.75" customHeight="1" s="237">
      <c r="D226" s="21" t="n"/>
    </row>
    <row r="227" ht="15.75" customHeight="1" s="237">
      <c r="D227" s="21" t="n"/>
    </row>
    <row r="228" ht="15.75" customHeight="1" s="237">
      <c r="D228" s="21" t="n"/>
    </row>
    <row r="229" ht="15.75" customHeight="1" s="237">
      <c r="D229" s="21" t="n"/>
    </row>
    <row r="230" ht="15.75" customHeight="1" s="237">
      <c r="D230" s="21" t="n"/>
    </row>
    <row r="231" ht="15.75" customHeight="1" s="237">
      <c r="D231" s="21" t="n"/>
    </row>
    <row r="232" ht="15.75" customHeight="1" s="237">
      <c r="D232" s="21" t="n"/>
    </row>
    <row r="233" ht="15.75" customHeight="1" s="237">
      <c r="D233" s="21" t="n"/>
    </row>
    <row r="234" ht="15.75" customHeight="1" s="237">
      <c r="D234" s="21" t="n"/>
    </row>
    <row r="235" ht="15.75" customHeight="1" s="237">
      <c r="D235" s="21" t="n"/>
    </row>
    <row r="236" ht="15.75" customHeight="1" s="237">
      <c r="D236" s="21" t="n"/>
    </row>
    <row r="237" ht="15.75" customHeight="1" s="237">
      <c r="D237" s="21" t="n"/>
    </row>
    <row r="238" ht="15.75" customHeight="1" s="237">
      <c r="D238" s="21" t="n"/>
    </row>
    <row r="239" ht="15.75" customHeight="1" s="237">
      <c r="D239" s="21" t="n"/>
    </row>
    <row r="240" ht="15.75" customHeight="1" s="237">
      <c r="D240" s="21" t="n"/>
    </row>
    <row r="241" ht="15.75" customHeight="1" s="237">
      <c r="D241" s="21" t="n"/>
    </row>
    <row r="242" ht="15.75" customHeight="1" s="237">
      <c r="D242" s="21" t="n"/>
    </row>
    <row r="243" ht="15.75" customHeight="1" s="237">
      <c r="D243" s="21" t="n"/>
    </row>
    <row r="244" ht="15.75" customHeight="1" s="237">
      <c r="D244" s="21" t="n"/>
    </row>
    <row r="245" ht="15.75" customHeight="1" s="237">
      <c r="D245" s="21" t="n"/>
    </row>
    <row r="246" ht="15.75" customHeight="1" s="237">
      <c r="D246" s="21" t="n"/>
    </row>
    <row r="247" ht="15.75" customHeight="1" s="237">
      <c r="D247" s="21" t="n"/>
    </row>
    <row r="248" ht="15.75" customHeight="1" s="237">
      <c r="D248" s="21" t="n"/>
    </row>
    <row r="249" ht="15.75" customHeight="1" s="237">
      <c r="D249" s="21" t="n"/>
    </row>
    <row r="250" ht="15.75" customHeight="1" s="237">
      <c r="D250" s="21" t="n"/>
    </row>
    <row r="251" ht="15.75" customHeight="1" s="237">
      <c r="D251" s="21" t="n"/>
    </row>
    <row r="252" ht="15.75" customHeight="1" s="237">
      <c r="D252" s="21" t="n"/>
    </row>
    <row r="253" ht="15.75" customHeight="1" s="237">
      <c r="D253" s="21" t="n"/>
    </row>
    <row r="254" ht="15.75" customHeight="1" s="237">
      <c r="D254" s="21" t="n"/>
    </row>
    <row r="255" ht="15.75" customHeight="1" s="237">
      <c r="D255" s="21" t="n"/>
    </row>
    <row r="256" ht="15.75" customHeight="1" s="237">
      <c r="D256" s="21" t="n"/>
    </row>
    <row r="257" ht="15.75" customHeight="1" s="237">
      <c r="D257" s="21" t="n"/>
    </row>
    <row r="258" ht="15.75" customHeight="1" s="237">
      <c r="D258" s="21" t="n"/>
    </row>
    <row r="259" ht="15.75" customHeight="1" s="237">
      <c r="D259" s="21" t="n"/>
    </row>
    <row r="260" ht="15.75" customHeight="1" s="237">
      <c r="D260" s="21" t="n"/>
    </row>
    <row r="261" ht="15.75" customHeight="1" s="237">
      <c r="D261" s="21" t="n"/>
    </row>
    <row r="262" ht="15.75" customHeight="1" s="237">
      <c r="D262" s="21" t="n"/>
    </row>
    <row r="263" ht="15.75" customHeight="1" s="237">
      <c r="D263" s="21" t="n"/>
    </row>
    <row r="264" ht="15.75" customHeight="1" s="237">
      <c r="D264" s="21" t="n"/>
    </row>
    <row r="265" ht="15.75" customHeight="1" s="237">
      <c r="D265" s="21" t="n"/>
    </row>
    <row r="266" ht="15.75" customHeight="1" s="237">
      <c r="D266" s="21" t="n"/>
    </row>
    <row r="267" ht="15.75" customHeight="1" s="237">
      <c r="D267" s="21" t="n"/>
    </row>
    <row r="268" ht="15.75" customHeight="1" s="237">
      <c r="D268" s="21" t="n"/>
    </row>
    <row r="269" ht="15.75" customHeight="1" s="237">
      <c r="D269" s="21" t="n"/>
    </row>
    <row r="270" ht="15.75" customHeight="1" s="237">
      <c r="D270" s="21" t="n"/>
    </row>
    <row r="271" ht="15.75" customHeight="1" s="237">
      <c r="D271" s="21" t="n"/>
    </row>
    <row r="272" ht="15.75" customHeight="1" s="237">
      <c r="D272" s="21" t="n"/>
    </row>
    <row r="273" ht="15.75" customHeight="1" s="237">
      <c r="D273" s="21" t="n"/>
    </row>
    <row r="274" ht="15.75" customHeight="1" s="237">
      <c r="D274" s="21" t="n"/>
    </row>
    <row r="275" ht="15.75" customHeight="1" s="237">
      <c r="D275" s="21" t="n"/>
    </row>
    <row r="276" ht="15.75" customHeight="1" s="237">
      <c r="D276" s="21" t="n"/>
    </row>
    <row r="277" ht="15.75" customHeight="1" s="237">
      <c r="D277" s="21" t="n"/>
    </row>
    <row r="278" ht="15.75" customHeight="1" s="237">
      <c r="D278" s="21" t="n"/>
    </row>
    <row r="279" ht="15.75" customHeight="1" s="237">
      <c r="D279" s="21" t="n"/>
    </row>
    <row r="280" ht="15.75" customHeight="1" s="237">
      <c r="D280" s="21" t="n"/>
    </row>
    <row r="281" ht="15.75" customHeight="1" s="237">
      <c r="D281" s="21" t="n"/>
    </row>
    <row r="282" ht="15.75" customHeight="1" s="237">
      <c r="D282" s="21" t="n"/>
    </row>
    <row r="283" ht="15.75" customHeight="1" s="237">
      <c r="D283" s="21" t="n"/>
    </row>
    <row r="284" ht="15.75" customHeight="1" s="237">
      <c r="D284" s="21" t="n"/>
    </row>
    <row r="285" ht="15.75" customHeight="1" s="237">
      <c r="D285" s="21" t="n"/>
    </row>
    <row r="286" ht="15.75" customHeight="1" s="237">
      <c r="D286" s="21" t="n"/>
    </row>
    <row r="287" ht="15.75" customHeight="1" s="237">
      <c r="D287" s="21" t="n"/>
    </row>
    <row r="288" ht="15.75" customHeight="1" s="237">
      <c r="D288" s="21" t="n"/>
    </row>
    <row r="289" ht="15.75" customHeight="1" s="237">
      <c r="D289" s="21" t="n"/>
    </row>
    <row r="290" ht="15.75" customHeight="1" s="237">
      <c r="D290" s="21" t="n"/>
    </row>
    <row r="291" ht="15.75" customHeight="1" s="237">
      <c r="D291" s="21" t="n"/>
    </row>
    <row r="292" ht="15.75" customHeight="1" s="237">
      <c r="D292" s="21" t="n"/>
    </row>
    <row r="293" ht="15.75" customHeight="1" s="237">
      <c r="D293" s="21" t="n"/>
    </row>
    <row r="294" ht="15.75" customHeight="1" s="237">
      <c r="D294" s="21" t="n"/>
    </row>
    <row r="295" ht="15.75" customHeight="1" s="237">
      <c r="D295" s="21" t="n"/>
    </row>
    <row r="296" ht="15.75" customHeight="1" s="237">
      <c r="D296" s="21" t="n"/>
    </row>
    <row r="297" ht="15.75" customHeight="1" s="237">
      <c r="D297" s="21" t="n"/>
    </row>
    <row r="298" ht="15.75" customHeight="1" s="237">
      <c r="D298" s="21" t="n"/>
    </row>
    <row r="299" ht="15.75" customHeight="1" s="237">
      <c r="D299" s="21" t="n"/>
    </row>
    <row r="300" ht="15.75" customHeight="1" s="237">
      <c r="D300" s="21" t="n"/>
    </row>
    <row r="301" ht="15.75" customHeight="1" s="237">
      <c r="D301" s="21" t="n"/>
    </row>
    <row r="302" ht="15.75" customHeight="1" s="237">
      <c r="D302" s="21" t="n"/>
    </row>
    <row r="303" ht="15.75" customHeight="1" s="237">
      <c r="D303" s="21" t="n"/>
    </row>
    <row r="304" ht="15.75" customHeight="1" s="237">
      <c r="D304" s="21" t="n"/>
    </row>
    <row r="305" ht="15.75" customHeight="1" s="237">
      <c r="D305" s="21" t="n"/>
    </row>
    <row r="306" ht="15.75" customHeight="1" s="237">
      <c r="D306" s="21" t="n"/>
    </row>
    <row r="307" ht="15.75" customHeight="1" s="237">
      <c r="D307" s="21" t="n"/>
    </row>
    <row r="308" ht="15.75" customHeight="1" s="237">
      <c r="D308" s="21" t="n"/>
    </row>
    <row r="309" ht="15.75" customHeight="1" s="237">
      <c r="D309" s="21" t="n"/>
    </row>
    <row r="310" ht="15.75" customHeight="1" s="237">
      <c r="D310" s="21" t="n"/>
    </row>
    <row r="311" ht="15.75" customHeight="1" s="237">
      <c r="D311" s="21" t="n"/>
    </row>
    <row r="312" ht="15.75" customHeight="1" s="237">
      <c r="D312" s="21" t="n"/>
    </row>
    <row r="313" ht="15.75" customHeight="1" s="237">
      <c r="D313" s="21" t="n"/>
    </row>
    <row r="314" ht="15.75" customHeight="1" s="237">
      <c r="D314" s="21" t="n"/>
    </row>
    <row r="315" ht="15.75" customHeight="1" s="237">
      <c r="D315" s="21" t="n"/>
    </row>
    <row r="316" ht="15.75" customHeight="1" s="237">
      <c r="D316" s="21" t="n"/>
    </row>
    <row r="317" ht="15.75" customHeight="1" s="237">
      <c r="D317" s="21" t="n"/>
    </row>
    <row r="318" ht="15.75" customHeight="1" s="237">
      <c r="D318" s="21" t="n"/>
    </row>
    <row r="319" ht="15.75" customHeight="1" s="237">
      <c r="D319" s="21" t="n"/>
    </row>
    <row r="320" ht="15.75" customHeight="1" s="237">
      <c r="D320" s="21" t="n"/>
    </row>
    <row r="321" ht="15.75" customHeight="1" s="237">
      <c r="D321" s="21" t="n"/>
    </row>
    <row r="322" ht="15.75" customHeight="1" s="237">
      <c r="D322" s="21" t="n"/>
    </row>
    <row r="323" ht="15.75" customHeight="1" s="237">
      <c r="D323" s="21" t="n"/>
    </row>
    <row r="324" ht="15.75" customHeight="1" s="237">
      <c r="D324" s="21" t="n"/>
    </row>
    <row r="325" ht="15.75" customHeight="1" s="237">
      <c r="D325" s="21" t="n"/>
    </row>
    <row r="326" ht="15.75" customHeight="1" s="237">
      <c r="D326" s="21" t="n"/>
    </row>
    <row r="327" ht="15.75" customHeight="1" s="237">
      <c r="D327" s="21" t="n"/>
    </row>
    <row r="328" ht="15.75" customHeight="1" s="237">
      <c r="D328" s="21" t="n"/>
    </row>
    <row r="329" ht="15.75" customHeight="1" s="237">
      <c r="D329" s="21" t="n"/>
    </row>
    <row r="330" ht="15.75" customHeight="1" s="237">
      <c r="D330" s="21" t="n"/>
    </row>
    <row r="331" ht="15.75" customHeight="1" s="237">
      <c r="D331" s="21" t="n"/>
    </row>
    <row r="332" ht="15.75" customHeight="1" s="237">
      <c r="D332" s="21" t="n"/>
    </row>
    <row r="333" ht="15.75" customHeight="1" s="237">
      <c r="D333" s="21" t="n"/>
    </row>
    <row r="334" ht="15.75" customHeight="1" s="237">
      <c r="D334" s="21" t="n"/>
    </row>
    <row r="335" ht="15.75" customHeight="1" s="237">
      <c r="D335" s="21" t="n"/>
    </row>
    <row r="336" ht="15.75" customHeight="1" s="237">
      <c r="D336" s="21" t="n"/>
    </row>
    <row r="337" ht="15.75" customHeight="1" s="237">
      <c r="D337" s="21" t="n"/>
    </row>
    <row r="338" ht="15.75" customHeight="1" s="237">
      <c r="D338" s="21" t="n"/>
    </row>
    <row r="339" ht="15.75" customHeight="1" s="237">
      <c r="D339" s="21" t="n"/>
    </row>
    <row r="340" ht="15.75" customHeight="1" s="237">
      <c r="D340" s="21" t="n"/>
    </row>
    <row r="341" ht="15.75" customHeight="1" s="237">
      <c r="D341" s="21" t="n"/>
    </row>
    <row r="342" ht="15.75" customHeight="1" s="237">
      <c r="D342" s="21" t="n"/>
    </row>
    <row r="343" ht="15.75" customHeight="1" s="237">
      <c r="D343" s="21" t="n"/>
    </row>
    <row r="344" ht="15.75" customHeight="1" s="237">
      <c r="D344" s="21" t="n"/>
    </row>
    <row r="345" ht="15.75" customHeight="1" s="237">
      <c r="D345" s="21" t="n"/>
    </row>
    <row r="346" ht="15.75" customHeight="1" s="237">
      <c r="D346" s="21" t="n"/>
    </row>
    <row r="347" ht="15.75" customHeight="1" s="237">
      <c r="D347" s="21" t="n"/>
    </row>
    <row r="348" ht="15.75" customHeight="1" s="237">
      <c r="D348" s="21" t="n"/>
    </row>
    <row r="349" ht="15.75" customHeight="1" s="237">
      <c r="D349" s="21" t="n"/>
    </row>
    <row r="350" ht="15.75" customHeight="1" s="237">
      <c r="D350" s="21" t="n"/>
    </row>
    <row r="351" ht="15.75" customHeight="1" s="237">
      <c r="D351" s="21" t="n"/>
    </row>
    <row r="352" ht="15.75" customHeight="1" s="237">
      <c r="D352" s="21" t="n"/>
    </row>
    <row r="353" ht="15.75" customHeight="1" s="237">
      <c r="D353" s="21" t="n"/>
    </row>
    <row r="354" ht="15.75" customHeight="1" s="237">
      <c r="D354" s="21" t="n"/>
    </row>
    <row r="355" ht="15.75" customHeight="1" s="237">
      <c r="D355" s="21" t="n"/>
    </row>
    <row r="356" ht="15.75" customHeight="1" s="237">
      <c r="D356" s="21" t="n"/>
    </row>
    <row r="357" ht="15.75" customHeight="1" s="237">
      <c r="D357" s="21" t="n"/>
    </row>
    <row r="358" ht="15.75" customHeight="1" s="237">
      <c r="D358" s="21" t="n"/>
    </row>
    <row r="359" ht="15.75" customHeight="1" s="237">
      <c r="D359" s="21" t="n"/>
    </row>
    <row r="360" ht="15.75" customHeight="1" s="237">
      <c r="D360" s="21" t="n"/>
    </row>
    <row r="361" ht="15.75" customHeight="1" s="237">
      <c r="D361" s="21" t="n"/>
    </row>
    <row r="362" ht="15.75" customHeight="1" s="237">
      <c r="D362" s="21" t="n"/>
    </row>
    <row r="363" ht="15.75" customHeight="1" s="237">
      <c r="D363" s="21" t="n"/>
    </row>
    <row r="364" ht="15.75" customHeight="1" s="237">
      <c r="D364" s="21" t="n"/>
    </row>
    <row r="365" ht="15.75" customHeight="1" s="237">
      <c r="D365" s="21" t="n"/>
    </row>
    <row r="366" ht="15.75" customHeight="1" s="237">
      <c r="D366" s="21" t="n"/>
    </row>
    <row r="367" ht="15.75" customHeight="1" s="237">
      <c r="D367" s="21" t="n"/>
    </row>
    <row r="368" ht="15.75" customHeight="1" s="237">
      <c r="D368" s="21" t="n"/>
    </row>
    <row r="369" ht="15.75" customHeight="1" s="237">
      <c r="D369" s="21" t="n"/>
    </row>
    <row r="370" ht="15.75" customHeight="1" s="237">
      <c r="D370" s="21" t="n"/>
    </row>
    <row r="371" ht="15.75" customHeight="1" s="237">
      <c r="D371" s="21" t="n"/>
    </row>
    <row r="372" ht="15.75" customHeight="1" s="237">
      <c r="D372" s="21" t="n"/>
    </row>
    <row r="373" ht="15.75" customHeight="1" s="237">
      <c r="D373" s="21" t="n"/>
    </row>
    <row r="374" ht="15.75" customHeight="1" s="237">
      <c r="D374" s="21" t="n"/>
    </row>
    <row r="375" ht="15.75" customHeight="1" s="237">
      <c r="D375" s="21" t="n"/>
    </row>
    <row r="376" ht="15.75" customHeight="1" s="237">
      <c r="D376" s="21" t="n"/>
    </row>
    <row r="377" ht="15.75" customHeight="1" s="237">
      <c r="D377" s="21" t="n"/>
    </row>
    <row r="378" ht="15.75" customHeight="1" s="237">
      <c r="D378" s="21" t="n"/>
    </row>
    <row r="379" ht="15.75" customHeight="1" s="237">
      <c r="D379" s="21" t="n"/>
    </row>
    <row r="380" ht="15.75" customHeight="1" s="237">
      <c r="D380" s="21" t="n"/>
    </row>
    <row r="381" ht="15.75" customHeight="1" s="237">
      <c r="D381" s="21" t="n"/>
    </row>
    <row r="382" ht="15.75" customHeight="1" s="237">
      <c r="D382" s="21" t="n"/>
    </row>
    <row r="383" ht="15.75" customHeight="1" s="237">
      <c r="D383" s="21" t="n"/>
    </row>
    <row r="384" ht="15.75" customHeight="1" s="237">
      <c r="D384" s="21" t="n"/>
    </row>
    <row r="385" ht="15.75" customHeight="1" s="237">
      <c r="D385" s="21" t="n"/>
    </row>
    <row r="386" ht="15.75" customHeight="1" s="237">
      <c r="D386" s="21" t="n"/>
    </row>
    <row r="387" ht="15.75" customHeight="1" s="237">
      <c r="D387" s="21" t="n"/>
    </row>
    <row r="388" ht="15.75" customHeight="1" s="237">
      <c r="D388" s="21" t="n"/>
    </row>
    <row r="389" ht="15.75" customHeight="1" s="237">
      <c r="D389" s="21" t="n"/>
    </row>
    <row r="390" ht="15.75" customHeight="1" s="237">
      <c r="D390" s="21" t="n"/>
    </row>
    <row r="391" ht="15.75" customHeight="1" s="237">
      <c r="D391" s="21" t="n"/>
    </row>
    <row r="392" ht="15.75" customHeight="1" s="237">
      <c r="D392" s="21" t="n"/>
    </row>
    <row r="393" ht="15.75" customHeight="1" s="237">
      <c r="D393" s="21" t="n"/>
    </row>
    <row r="394" ht="15.75" customHeight="1" s="237">
      <c r="D394" s="21" t="n"/>
    </row>
    <row r="395" ht="15.75" customHeight="1" s="237">
      <c r="D395" s="21" t="n"/>
    </row>
    <row r="396" ht="15.75" customHeight="1" s="237">
      <c r="D396" s="21" t="n"/>
    </row>
    <row r="397" ht="15.75" customHeight="1" s="237">
      <c r="D397" s="21" t="n"/>
    </row>
    <row r="398" ht="15.75" customHeight="1" s="237">
      <c r="D398" s="21" t="n"/>
    </row>
    <row r="399" ht="15.75" customHeight="1" s="237">
      <c r="D399" s="21" t="n"/>
    </row>
    <row r="400" ht="15.75" customHeight="1" s="237">
      <c r="D400" s="21" t="n"/>
    </row>
    <row r="401" ht="15.75" customHeight="1" s="237">
      <c r="D401" s="21" t="n"/>
    </row>
    <row r="402" ht="15.75" customHeight="1" s="237">
      <c r="D402" s="21" t="n"/>
    </row>
    <row r="403" ht="15.75" customHeight="1" s="237">
      <c r="D403" s="21" t="n"/>
    </row>
    <row r="404" ht="15.75" customHeight="1" s="237">
      <c r="D404" s="21" t="n"/>
    </row>
    <row r="405" ht="15.75" customHeight="1" s="237">
      <c r="D405" s="21" t="n"/>
    </row>
    <row r="406" ht="15.75" customHeight="1" s="237">
      <c r="D406" s="21" t="n"/>
    </row>
    <row r="407" ht="15.75" customHeight="1" s="237">
      <c r="D407" s="21" t="n"/>
    </row>
    <row r="408" ht="15.75" customHeight="1" s="237">
      <c r="D408" s="21" t="n"/>
    </row>
    <row r="409" ht="15.75" customHeight="1" s="237">
      <c r="D409" s="21" t="n"/>
    </row>
    <row r="410" ht="15.75" customHeight="1" s="237">
      <c r="D410" s="21" t="n"/>
    </row>
    <row r="411" ht="15.75" customHeight="1" s="237">
      <c r="D411" s="21" t="n"/>
    </row>
    <row r="412" ht="15.75" customHeight="1" s="237">
      <c r="D412" s="21" t="n"/>
    </row>
    <row r="413" ht="15.75" customHeight="1" s="237">
      <c r="D413" s="21" t="n"/>
    </row>
    <row r="414" ht="15.75" customHeight="1" s="237">
      <c r="D414" s="21" t="n"/>
    </row>
    <row r="415" ht="15.75" customHeight="1" s="237">
      <c r="D415" s="21" t="n"/>
    </row>
    <row r="416" ht="15.75" customHeight="1" s="237">
      <c r="D416" s="21" t="n"/>
    </row>
    <row r="417" ht="15.75" customHeight="1" s="237">
      <c r="D417" s="21" t="n"/>
    </row>
    <row r="418" ht="15.75" customHeight="1" s="237">
      <c r="D418" s="21" t="n"/>
    </row>
    <row r="419" ht="15.75" customHeight="1" s="237">
      <c r="D419" s="21" t="n"/>
    </row>
    <row r="420" ht="15.75" customHeight="1" s="237">
      <c r="D420" s="21" t="n"/>
    </row>
    <row r="421" ht="15.75" customHeight="1" s="237">
      <c r="D421" s="21" t="n"/>
    </row>
    <row r="422" ht="15.75" customHeight="1" s="237">
      <c r="D422" s="21" t="n"/>
    </row>
    <row r="423" ht="15.75" customHeight="1" s="237">
      <c r="D423" s="21" t="n"/>
    </row>
    <row r="424" ht="15.75" customHeight="1" s="237">
      <c r="D424" s="21" t="n"/>
    </row>
    <row r="425" ht="15.75" customHeight="1" s="237">
      <c r="D425" s="21" t="n"/>
    </row>
    <row r="426" ht="15.75" customHeight="1" s="237">
      <c r="D426" s="21" t="n"/>
    </row>
    <row r="427" ht="15.75" customHeight="1" s="237">
      <c r="D427" s="21" t="n"/>
    </row>
    <row r="428" ht="15.75" customHeight="1" s="237">
      <c r="D428" s="21" t="n"/>
    </row>
    <row r="429" ht="15.75" customHeight="1" s="237">
      <c r="D429" s="21" t="n"/>
    </row>
    <row r="430" ht="15.75" customHeight="1" s="237">
      <c r="D430" s="21" t="n"/>
    </row>
    <row r="431" ht="15.75" customHeight="1" s="237">
      <c r="D431" s="21" t="n"/>
    </row>
    <row r="432" ht="15.75" customHeight="1" s="237">
      <c r="D432" s="21" t="n"/>
    </row>
    <row r="433" ht="15.75" customHeight="1" s="237">
      <c r="D433" s="21" t="n"/>
    </row>
    <row r="434" ht="15.75" customHeight="1" s="237">
      <c r="D434" s="21" t="n"/>
    </row>
    <row r="435" ht="15.75" customHeight="1" s="237">
      <c r="D435" s="21" t="n"/>
    </row>
    <row r="436" ht="15.75" customHeight="1" s="237">
      <c r="D436" s="21" t="n"/>
    </row>
    <row r="437" ht="15.75" customHeight="1" s="237">
      <c r="D437" s="21" t="n"/>
    </row>
    <row r="438" ht="15.75" customHeight="1" s="237">
      <c r="D438" s="21" t="n"/>
    </row>
    <row r="439" ht="15.75" customHeight="1" s="237">
      <c r="D439" s="21" t="n"/>
    </row>
    <row r="440" ht="15.75" customHeight="1" s="237">
      <c r="D440" s="21" t="n"/>
    </row>
    <row r="441" ht="15.75" customHeight="1" s="237">
      <c r="D441" s="21" t="n"/>
    </row>
    <row r="442" ht="15.75" customHeight="1" s="237">
      <c r="D442" s="21" t="n"/>
    </row>
    <row r="443" ht="15.75" customHeight="1" s="237">
      <c r="D443" s="21" t="n"/>
    </row>
    <row r="444" ht="15.75" customHeight="1" s="237">
      <c r="D444" s="21" t="n"/>
    </row>
    <row r="445" ht="15.75" customHeight="1" s="237">
      <c r="D445" s="21" t="n"/>
    </row>
    <row r="446" ht="15.75" customHeight="1" s="237">
      <c r="D446" s="21" t="n"/>
    </row>
    <row r="447" ht="15.75" customHeight="1" s="237">
      <c r="D447" s="21" t="n"/>
    </row>
    <row r="448" ht="15.75" customHeight="1" s="237">
      <c r="D448" s="21" t="n"/>
    </row>
    <row r="449" ht="15.75" customHeight="1" s="237">
      <c r="D449" s="21" t="n"/>
    </row>
    <row r="450" ht="15.75" customHeight="1" s="237">
      <c r="D450" s="21" t="n"/>
    </row>
    <row r="451" ht="15.75" customHeight="1" s="237">
      <c r="D451" s="21" t="n"/>
    </row>
    <row r="452" ht="15.75" customHeight="1" s="237">
      <c r="D452" s="21" t="n"/>
    </row>
    <row r="453" ht="15.75" customHeight="1" s="237">
      <c r="D453" s="21" t="n"/>
    </row>
    <row r="454" ht="15.75" customHeight="1" s="237">
      <c r="D454" s="21" t="n"/>
    </row>
    <row r="455" ht="15.75" customHeight="1" s="237">
      <c r="D455" s="21" t="n"/>
    </row>
    <row r="456" ht="15.75" customHeight="1" s="237">
      <c r="D456" s="21" t="n"/>
    </row>
    <row r="457" ht="15.75" customHeight="1" s="237">
      <c r="D457" s="21" t="n"/>
    </row>
    <row r="458" ht="15.75" customHeight="1" s="237">
      <c r="D458" s="21" t="n"/>
    </row>
    <row r="459" ht="15.75" customHeight="1" s="237">
      <c r="D459" s="21" t="n"/>
    </row>
    <row r="460" ht="15.75" customHeight="1" s="237">
      <c r="D460" s="21" t="n"/>
    </row>
    <row r="461" ht="15.75" customHeight="1" s="237">
      <c r="D461" s="21" t="n"/>
    </row>
    <row r="462" ht="15.75" customHeight="1" s="237">
      <c r="D462" s="21" t="n"/>
    </row>
    <row r="463" ht="15.75" customHeight="1" s="237">
      <c r="D463" s="21" t="n"/>
    </row>
    <row r="464" ht="15.75" customHeight="1" s="237">
      <c r="D464" s="21" t="n"/>
    </row>
    <row r="465" ht="15.75" customHeight="1" s="237">
      <c r="D465" s="21" t="n"/>
    </row>
    <row r="466" ht="15.75" customHeight="1" s="237">
      <c r="D466" s="21" t="n"/>
    </row>
    <row r="467" ht="15.75" customHeight="1" s="237">
      <c r="D467" s="21" t="n"/>
    </row>
    <row r="468" ht="15.75" customHeight="1" s="237">
      <c r="D468" s="21" t="n"/>
    </row>
    <row r="469" ht="15.75" customHeight="1" s="237">
      <c r="D469" s="21" t="n"/>
    </row>
    <row r="470" ht="15.75" customHeight="1" s="237">
      <c r="D470" s="21" t="n"/>
    </row>
    <row r="471" ht="15.75" customHeight="1" s="237">
      <c r="D471" s="21" t="n"/>
    </row>
    <row r="472" ht="15.75" customHeight="1" s="237">
      <c r="D472" s="21" t="n"/>
    </row>
    <row r="473" ht="15.75" customHeight="1" s="237">
      <c r="D473" s="21" t="n"/>
    </row>
    <row r="474" ht="15.75" customHeight="1" s="237">
      <c r="D474" s="21" t="n"/>
    </row>
    <row r="475" ht="15.75" customHeight="1" s="237">
      <c r="D475" s="21" t="n"/>
    </row>
    <row r="476" ht="15.75" customHeight="1" s="237">
      <c r="D476" s="21" t="n"/>
    </row>
    <row r="477" ht="15.75" customHeight="1" s="237">
      <c r="D477" s="21" t="n"/>
    </row>
    <row r="478" ht="15.75" customHeight="1" s="237">
      <c r="D478" s="21" t="n"/>
    </row>
    <row r="479" ht="15.75" customHeight="1" s="237">
      <c r="D479" s="21" t="n"/>
    </row>
    <row r="480" ht="15.75" customHeight="1" s="237">
      <c r="D480" s="21" t="n"/>
    </row>
    <row r="481" ht="15.75" customHeight="1" s="237">
      <c r="D481" s="21" t="n"/>
    </row>
    <row r="482" ht="15.75" customHeight="1" s="237">
      <c r="D482" s="21" t="n"/>
    </row>
    <row r="483" ht="15.75" customHeight="1" s="237">
      <c r="D483" s="21" t="n"/>
    </row>
    <row r="484" ht="15.75" customHeight="1" s="237">
      <c r="D484" s="21" t="n"/>
    </row>
    <row r="485" ht="15.75" customHeight="1" s="237">
      <c r="D485" s="21" t="n"/>
    </row>
    <row r="486" ht="15.75" customHeight="1" s="237">
      <c r="D486" s="21" t="n"/>
    </row>
    <row r="487" ht="15.75" customHeight="1" s="237">
      <c r="D487" s="21" t="n"/>
    </row>
    <row r="488" ht="15.75" customHeight="1" s="237">
      <c r="D488" s="21" t="n"/>
    </row>
    <row r="489" ht="15.75" customHeight="1" s="237">
      <c r="D489" s="21" t="n"/>
    </row>
    <row r="490" ht="15.75" customHeight="1" s="237">
      <c r="D490" s="21" t="n"/>
    </row>
    <row r="491" ht="15.75" customHeight="1" s="237">
      <c r="D491" s="21" t="n"/>
    </row>
    <row r="492" ht="15.75" customHeight="1" s="237">
      <c r="D492" s="21" t="n"/>
    </row>
    <row r="493" ht="15.75" customHeight="1" s="237">
      <c r="D493" s="21" t="n"/>
    </row>
    <row r="494" ht="15.75" customHeight="1" s="237">
      <c r="D494" s="21" t="n"/>
    </row>
    <row r="495" ht="15.75" customHeight="1" s="237">
      <c r="D495" s="21" t="n"/>
    </row>
    <row r="496" ht="15.75" customHeight="1" s="237">
      <c r="D496" s="21" t="n"/>
    </row>
    <row r="497" ht="15.75" customHeight="1" s="237">
      <c r="D497" s="21" t="n"/>
    </row>
    <row r="498" ht="15.75" customHeight="1" s="237">
      <c r="D498" s="21" t="n"/>
    </row>
    <row r="499" ht="15.75" customHeight="1" s="237">
      <c r="D499" s="21" t="n"/>
    </row>
    <row r="500" ht="15.75" customHeight="1" s="237">
      <c r="D500" s="21" t="n"/>
    </row>
    <row r="501" ht="15.75" customHeight="1" s="237">
      <c r="D501" s="21" t="n"/>
    </row>
    <row r="502" ht="15.75" customHeight="1" s="237">
      <c r="D502" s="21" t="n"/>
    </row>
    <row r="503" ht="15.75" customHeight="1" s="237">
      <c r="D503" s="21" t="n"/>
    </row>
    <row r="504" ht="15.75" customHeight="1" s="237">
      <c r="D504" s="21" t="n"/>
    </row>
    <row r="505" ht="15.75" customHeight="1" s="237">
      <c r="D505" s="21" t="n"/>
    </row>
    <row r="506" ht="15.75" customHeight="1" s="237">
      <c r="D506" s="21" t="n"/>
    </row>
    <row r="507" ht="15.75" customHeight="1" s="237">
      <c r="D507" s="21" t="n"/>
    </row>
    <row r="508" ht="15.75" customHeight="1" s="237">
      <c r="D508" s="21" t="n"/>
    </row>
    <row r="509" ht="15.75" customHeight="1" s="237">
      <c r="D509" s="21" t="n"/>
    </row>
    <row r="510" ht="15.75" customHeight="1" s="237">
      <c r="D510" s="21" t="n"/>
    </row>
    <row r="511" ht="15.75" customHeight="1" s="237">
      <c r="D511" s="21" t="n"/>
    </row>
    <row r="512" ht="15.75" customHeight="1" s="237">
      <c r="D512" s="21" t="n"/>
    </row>
    <row r="513" ht="15.75" customHeight="1" s="237">
      <c r="D513" s="21" t="n"/>
    </row>
    <row r="514" ht="15.75" customHeight="1" s="237">
      <c r="D514" s="21" t="n"/>
    </row>
    <row r="515" ht="15.75" customHeight="1" s="237">
      <c r="D515" s="21" t="n"/>
    </row>
    <row r="516" ht="15.75" customHeight="1" s="237">
      <c r="D516" s="21" t="n"/>
    </row>
    <row r="517" ht="15.75" customHeight="1" s="237">
      <c r="D517" s="21" t="n"/>
    </row>
    <row r="518" ht="15.75" customHeight="1" s="237">
      <c r="D518" s="21" t="n"/>
    </row>
    <row r="519" ht="15.75" customHeight="1" s="237">
      <c r="D519" s="21" t="n"/>
    </row>
    <row r="520" ht="15.75" customHeight="1" s="237">
      <c r="D520" s="21" t="n"/>
    </row>
    <row r="521" ht="15.75" customHeight="1" s="237">
      <c r="D521" s="21" t="n"/>
    </row>
    <row r="522" ht="15.75" customHeight="1" s="237">
      <c r="D522" s="21" t="n"/>
    </row>
    <row r="523" ht="15.75" customHeight="1" s="237">
      <c r="D523" s="21" t="n"/>
    </row>
    <row r="524" ht="15.75" customHeight="1" s="237">
      <c r="D524" s="21" t="n"/>
    </row>
    <row r="525" ht="15.75" customHeight="1" s="237">
      <c r="D525" s="21" t="n"/>
    </row>
    <row r="526" ht="15.75" customHeight="1" s="237">
      <c r="D526" s="21" t="n"/>
    </row>
    <row r="527" ht="15.75" customHeight="1" s="237">
      <c r="D527" s="21" t="n"/>
    </row>
    <row r="528" ht="15.75" customHeight="1" s="237">
      <c r="D528" s="21" t="n"/>
    </row>
    <row r="529" ht="15.75" customHeight="1" s="237">
      <c r="D529" s="21" t="n"/>
    </row>
    <row r="530" ht="15.75" customHeight="1" s="237">
      <c r="D530" s="21" t="n"/>
    </row>
    <row r="531" ht="15.75" customHeight="1" s="237">
      <c r="D531" s="21" t="n"/>
    </row>
    <row r="532" ht="15.75" customHeight="1" s="237">
      <c r="D532" s="21" t="n"/>
    </row>
    <row r="533" ht="15.75" customHeight="1" s="237">
      <c r="D533" s="21" t="n"/>
    </row>
    <row r="534" ht="15.75" customHeight="1" s="237">
      <c r="D534" s="21" t="n"/>
    </row>
    <row r="535" ht="15.75" customHeight="1" s="237">
      <c r="D535" s="21" t="n"/>
    </row>
    <row r="536" ht="15.75" customHeight="1" s="237">
      <c r="D536" s="21" t="n"/>
    </row>
    <row r="537" ht="15.75" customHeight="1" s="237">
      <c r="D537" s="21" t="n"/>
    </row>
    <row r="538" ht="15.75" customHeight="1" s="237">
      <c r="D538" s="21" t="n"/>
    </row>
    <row r="539" ht="15.75" customHeight="1" s="237">
      <c r="D539" s="21" t="n"/>
    </row>
    <row r="540" ht="15.75" customHeight="1" s="237">
      <c r="D540" s="21" t="n"/>
    </row>
    <row r="541" ht="15.75" customHeight="1" s="237">
      <c r="D541" s="21" t="n"/>
    </row>
    <row r="542" ht="15.75" customHeight="1" s="237">
      <c r="D542" s="21" t="n"/>
    </row>
    <row r="543" ht="15.75" customHeight="1" s="237">
      <c r="D543" s="21" t="n"/>
    </row>
    <row r="544" ht="15.75" customHeight="1" s="237">
      <c r="D544" s="21" t="n"/>
    </row>
    <row r="545" ht="15.75" customHeight="1" s="237">
      <c r="D545" s="21" t="n"/>
    </row>
    <row r="546" ht="15.75" customHeight="1" s="237">
      <c r="D546" s="21" t="n"/>
    </row>
    <row r="547" ht="15.75" customHeight="1" s="237">
      <c r="D547" s="21" t="n"/>
    </row>
    <row r="548" ht="15.75" customHeight="1" s="237">
      <c r="D548" s="21" t="n"/>
    </row>
    <row r="549" ht="15.75" customHeight="1" s="237">
      <c r="D549" s="21" t="n"/>
    </row>
    <row r="550" ht="15.75" customHeight="1" s="237">
      <c r="D550" s="21" t="n"/>
    </row>
    <row r="551" ht="15.75" customHeight="1" s="237">
      <c r="D551" s="21" t="n"/>
    </row>
    <row r="552" ht="15.75" customHeight="1" s="237">
      <c r="D552" s="21" t="n"/>
    </row>
    <row r="553" ht="15.75" customHeight="1" s="237">
      <c r="D553" s="21" t="n"/>
    </row>
    <row r="554" ht="15.75" customHeight="1" s="237">
      <c r="D554" s="21" t="n"/>
    </row>
    <row r="555" ht="15.75" customHeight="1" s="237">
      <c r="D555" s="21" t="n"/>
    </row>
    <row r="556" ht="15.75" customHeight="1" s="237">
      <c r="D556" s="21" t="n"/>
    </row>
    <row r="557" ht="15.75" customHeight="1" s="237">
      <c r="D557" s="21" t="n"/>
    </row>
    <row r="558" ht="15.75" customHeight="1" s="237">
      <c r="D558" s="21" t="n"/>
    </row>
    <row r="559" ht="15.75" customHeight="1" s="237">
      <c r="D559" s="21" t="n"/>
    </row>
    <row r="560" ht="15.75" customHeight="1" s="237">
      <c r="D560" s="21" t="n"/>
    </row>
    <row r="561" ht="15.75" customHeight="1" s="237">
      <c r="D561" s="21" t="n"/>
    </row>
    <row r="562" ht="15.75" customHeight="1" s="237">
      <c r="D562" s="21" t="n"/>
    </row>
    <row r="563" ht="15.75" customHeight="1" s="237">
      <c r="D563" s="21" t="n"/>
    </row>
    <row r="564" ht="15.75" customHeight="1" s="237">
      <c r="D564" s="21" t="n"/>
    </row>
    <row r="565" ht="15.75" customHeight="1" s="237">
      <c r="D565" s="21" t="n"/>
    </row>
    <row r="566" ht="15.75" customHeight="1" s="237">
      <c r="D566" s="21" t="n"/>
    </row>
    <row r="567" ht="15.75" customHeight="1" s="237">
      <c r="D567" s="21" t="n"/>
    </row>
    <row r="568" ht="15.75" customHeight="1" s="237">
      <c r="D568" s="21" t="n"/>
    </row>
    <row r="569" ht="15.75" customHeight="1" s="237">
      <c r="D569" s="21" t="n"/>
    </row>
    <row r="570" ht="15.75" customHeight="1" s="237">
      <c r="D570" s="21" t="n"/>
    </row>
    <row r="571" ht="15.75" customHeight="1" s="237">
      <c r="D571" s="21" t="n"/>
    </row>
    <row r="572" ht="15.75" customHeight="1" s="237">
      <c r="D572" s="21" t="n"/>
    </row>
    <row r="573" ht="15.75" customHeight="1" s="237">
      <c r="D573" s="21" t="n"/>
    </row>
    <row r="574" ht="15.75" customHeight="1" s="237">
      <c r="D574" s="21" t="n"/>
    </row>
    <row r="575" ht="15.75" customHeight="1" s="237">
      <c r="D575" s="21" t="n"/>
    </row>
    <row r="576" ht="15.75" customHeight="1" s="237">
      <c r="D576" s="21" t="n"/>
    </row>
    <row r="577" ht="15.75" customHeight="1" s="237">
      <c r="D577" s="21" t="n"/>
    </row>
    <row r="578" ht="15.75" customHeight="1" s="237">
      <c r="D578" s="21" t="n"/>
    </row>
    <row r="579" ht="15.75" customHeight="1" s="237">
      <c r="D579" s="21" t="n"/>
    </row>
    <row r="580" ht="15.75" customHeight="1" s="237">
      <c r="D580" s="21" t="n"/>
    </row>
    <row r="581" ht="15.75" customHeight="1" s="237">
      <c r="D581" s="21" t="n"/>
    </row>
    <row r="582" ht="15.75" customHeight="1" s="237">
      <c r="D582" s="21" t="n"/>
    </row>
    <row r="583" ht="15.75" customHeight="1" s="237">
      <c r="D583" s="21" t="n"/>
    </row>
    <row r="584" ht="15.75" customHeight="1" s="237">
      <c r="D584" s="21" t="n"/>
    </row>
    <row r="585" ht="15.75" customHeight="1" s="237">
      <c r="D585" s="21" t="n"/>
    </row>
    <row r="586" ht="15.75" customHeight="1" s="237">
      <c r="D586" s="21" t="n"/>
    </row>
    <row r="587" ht="15.75" customHeight="1" s="237">
      <c r="D587" s="21" t="n"/>
    </row>
    <row r="588" ht="15.75" customHeight="1" s="237">
      <c r="D588" s="21" t="n"/>
    </row>
    <row r="589" ht="15.75" customHeight="1" s="237">
      <c r="D589" s="21" t="n"/>
    </row>
    <row r="590" ht="15.75" customHeight="1" s="237">
      <c r="D590" s="21" t="n"/>
    </row>
    <row r="591" ht="15.75" customHeight="1" s="237">
      <c r="D591" s="21" t="n"/>
    </row>
    <row r="592" ht="15.75" customHeight="1" s="237">
      <c r="D592" s="21" t="n"/>
    </row>
    <row r="593" ht="15.75" customHeight="1" s="237">
      <c r="D593" s="21" t="n"/>
    </row>
    <row r="594" ht="15.75" customHeight="1" s="237">
      <c r="D594" s="21" t="n"/>
    </row>
    <row r="595" ht="15.75" customHeight="1" s="237">
      <c r="D595" s="21" t="n"/>
    </row>
    <row r="596" ht="15.75" customHeight="1" s="237">
      <c r="D596" s="21" t="n"/>
    </row>
    <row r="597" ht="15.75" customHeight="1" s="237">
      <c r="D597" s="21" t="n"/>
    </row>
    <row r="598" ht="15.75" customHeight="1" s="237">
      <c r="D598" s="21" t="n"/>
    </row>
    <row r="599" ht="15.75" customHeight="1" s="237">
      <c r="D599" s="21" t="n"/>
    </row>
    <row r="600" ht="15.75" customHeight="1" s="237">
      <c r="D600" s="21" t="n"/>
    </row>
    <row r="601" ht="15.75" customHeight="1" s="237">
      <c r="D601" s="21" t="n"/>
    </row>
    <row r="602" ht="15.75" customHeight="1" s="237">
      <c r="D602" s="21" t="n"/>
    </row>
    <row r="603" ht="15.75" customHeight="1" s="237">
      <c r="D603" s="21" t="n"/>
    </row>
    <row r="604" ht="15.75" customHeight="1" s="237">
      <c r="D604" s="21" t="n"/>
    </row>
    <row r="605" ht="15.75" customHeight="1" s="237">
      <c r="D605" s="21" t="n"/>
    </row>
    <row r="606" ht="15.75" customHeight="1" s="237">
      <c r="D606" s="21" t="n"/>
    </row>
    <row r="607" ht="15.75" customHeight="1" s="237">
      <c r="D607" s="21" t="n"/>
    </row>
    <row r="608" ht="15.75" customHeight="1" s="237">
      <c r="D608" s="21" t="n"/>
    </row>
    <row r="609" ht="15.75" customHeight="1" s="237">
      <c r="D609" s="21" t="n"/>
    </row>
    <row r="610" ht="15.75" customHeight="1" s="237">
      <c r="D610" s="21" t="n"/>
    </row>
    <row r="611" ht="15.75" customHeight="1" s="237">
      <c r="D611" s="21" t="n"/>
    </row>
    <row r="612" ht="15.75" customHeight="1" s="237">
      <c r="D612" s="21" t="n"/>
    </row>
    <row r="613" ht="15.75" customHeight="1" s="237">
      <c r="D613" s="21" t="n"/>
    </row>
    <row r="614" ht="15.75" customHeight="1" s="237">
      <c r="D614" s="21" t="n"/>
    </row>
    <row r="615" ht="15.75" customHeight="1" s="237">
      <c r="D615" s="21" t="n"/>
    </row>
    <row r="616" ht="15.75" customHeight="1" s="237">
      <c r="D616" s="21" t="n"/>
    </row>
    <row r="617" ht="15.75" customHeight="1" s="237">
      <c r="D617" s="21" t="n"/>
    </row>
    <row r="618" ht="15.75" customHeight="1" s="237">
      <c r="D618" s="21" t="n"/>
    </row>
    <row r="619" ht="15.75" customHeight="1" s="237">
      <c r="D619" s="21" t="n"/>
    </row>
    <row r="620" ht="15.75" customHeight="1" s="237">
      <c r="D620" s="21" t="n"/>
    </row>
    <row r="621" ht="15.75" customHeight="1" s="237">
      <c r="D621" s="21" t="n"/>
    </row>
    <row r="622" ht="15.75" customHeight="1" s="237">
      <c r="D622" s="21" t="n"/>
    </row>
    <row r="623" ht="15.75" customHeight="1" s="237">
      <c r="D623" s="21" t="n"/>
    </row>
    <row r="624" ht="15.75" customHeight="1" s="237">
      <c r="D624" s="21" t="n"/>
    </row>
    <row r="625" ht="15.75" customHeight="1" s="237">
      <c r="D625" s="21" t="n"/>
    </row>
    <row r="626" ht="15.75" customHeight="1" s="237">
      <c r="D626" s="21" t="n"/>
    </row>
    <row r="627" ht="15.75" customHeight="1" s="237">
      <c r="D627" s="21" t="n"/>
    </row>
    <row r="628" ht="15.75" customHeight="1" s="237">
      <c r="D628" s="21" t="n"/>
    </row>
    <row r="629" ht="15.75" customHeight="1" s="237">
      <c r="D629" s="21" t="n"/>
    </row>
    <row r="630" ht="15.75" customHeight="1" s="237">
      <c r="D630" s="21" t="n"/>
    </row>
    <row r="631" ht="15.75" customHeight="1" s="237">
      <c r="D631" s="21" t="n"/>
    </row>
    <row r="632" ht="15.75" customHeight="1" s="237">
      <c r="D632" s="21" t="n"/>
    </row>
    <row r="633" ht="15.75" customHeight="1" s="237">
      <c r="D633" s="21" t="n"/>
    </row>
    <row r="634" ht="15.75" customHeight="1" s="237">
      <c r="D634" s="21" t="n"/>
    </row>
    <row r="635" ht="15.75" customHeight="1" s="237">
      <c r="D635" s="21" t="n"/>
    </row>
    <row r="636" ht="15.75" customHeight="1" s="237">
      <c r="D636" s="21" t="n"/>
    </row>
    <row r="637" ht="15.75" customHeight="1" s="237">
      <c r="D637" s="21" t="n"/>
    </row>
    <row r="638" ht="15.75" customHeight="1" s="237">
      <c r="D638" s="21" t="n"/>
    </row>
    <row r="639" ht="15.75" customHeight="1" s="237">
      <c r="D639" s="21" t="n"/>
    </row>
    <row r="640" ht="15.75" customHeight="1" s="237">
      <c r="D640" s="21" t="n"/>
    </row>
    <row r="641" ht="15.75" customHeight="1" s="237">
      <c r="D641" s="21" t="n"/>
    </row>
    <row r="642" ht="15.75" customHeight="1" s="237">
      <c r="D642" s="21" t="n"/>
    </row>
    <row r="643" ht="15.75" customHeight="1" s="237">
      <c r="D643" s="21" t="n"/>
    </row>
    <row r="644" ht="15.75" customHeight="1" s="237">
      <c r="D644" s="21" t="n"/>
    </row>
    <row r="645" ht="15.75" customHeight="1" s="237">
      <c r="D645" s="21" t="n"/>
    </row>
    <row r="646" ht="15.75" customHeight="1" s="237">
      <c r="D646" s="21" t="n"/>
    </row>
    <row r="647" ht="15.75" customHeight="1" s="237">
      <c r="D647" s="21" t="n"/>
    </row>
    <row r="648" ht="15.75" customHeight="1" s="237">
      <c r="D648" s="21" t="n"/>
    </row>
    <row r="649" ht="15.75" customHeight="1" s="237">
      <c r="D649" s="21" t="n"/>
    </row>
    <row r="650" ht="15.75" customHeight="1" s="237">
      <c r="D650" s="21" t="n"/>
    </row>
    <row r="651" ht="15.75" customHeight="1" s="237">
      <c r="D651" s="21" t="n"/>
    </row>
    <row r="652" ht="15.75" customHeight="1" s="237">
      <c r="D652" s="21" t="n"/>
    </row>
    <row r="653" ht="15.75" customHeight="1" s="237">
      <c r="D653" s="21" t="n"/>
    </row>
    <row r="654" ht="15.75" customHeight="1" s="237">
      <c r="D654" s="21" t="n"/>
    </row>
    <row r="655" ht="15.75" customHeight="1" s="237">
      <c r="D655" s="21" t="n"/>
    </row>
    <row r="656" ht="15.75" customHeight="1" s="237">
      <c r="D656" s="21" t="n"/>
    </row>
    <row r="657" ht="15.75" customHeight="1" s="237">
      <c r="D657" s="21" t="n"/>
    </row>
    <row r="658" ht="15.75" customHeight="1" s="237">
      <c r="D658" s="21" t="n"/>
    </row>
    <row r="659" ht="15.75" customHeight="1" s="237">
      <c r="D659" s="21" t="n"/>
    </row>
    <row r="660" ht="15.75" customHeight="1" s="237">
      <c r="D660" s="21" t="n"/>
    </row>
    <row r="661" ht="15.75" customHeight="1" s="237">
      <c r="D661" s="21" t="n"/>
    </row>
    <row r="662" ht="15.75" customHeight="1" s="237">
      <c r="D662" s="21" t="n"/>
    </row>
    <row r="663" ht="15.75" customHeight="1" s="237">
      <c r="D663" s="21" t="n"/>
    </row>
    <row r="664" ht="15.75" customHeight="1" s="237">
      <c r="D664" s="21" t="n"/>
    </row>
    <row r="665" ht="15.75" customHeight="1" s="237">
      <c r="D665" s="21" t="n"/>
    </row>
    <row r="666" ht="15.75" customHeight="1" s="237">
      <c r="D666" s="21" t="n"/>
    </row>
    <row r="667" ht="15.75" customHeight="1" s="237">
      <c r="D667" s="21" t="n"/>
    </row>
    <row r="668" ht="15.75" customHeight="1" s="237">
      <c r="D668" s="21" t="n"/>
    </row>
    <row r="669" ht="15.75" customHeight="1" s="237">
      <c r="D669" s="21" t="n"/>
    </row>
    <row r="670" ht="15.75" customHeight="1" s="237">
      <c r="D670" s="21" t="n"/>
    </row>
    <row r="671" ht="15.75" customHeight="1" s="237">
      <c r="D671" s="21" t="n"/>
    </row>
    <row r="672" ht="15.75" customHeight="1" s="237">
      <c r="D672" s="21" t="n"/>
    </row>
    <row r="673" ht="15.75" customHeight="1" s="237">
      <c r="D673" s="21" t="n"/>
    </row>
    <row r="674" ht="15.75" customHeight="1" s="237">
      <c r="D674" s="21" t="n"/>
    </row>
    <row r="675" ht="15.75" customHeight="1" s="237">
      <c r="D675" s="21" t="n"/>
    </row>
    <row r="676" ht="15.75" customHeight="1" s="237">
      <c r="D676" s="21" t="n"/>
    </row>
    <row r="677" ht="15.75" customHeight="1" s="237">
      <c r="D677" s="21" t="n"/>
    </row>
    <row r="678" ht="15.75" customHeight="1" s="237">
      <c r="D678" s="21" t="n"/>
    </row>
    <row r="679" ht="15.75" customHeight="1" s="237">
      <c r="D679" s="21" t="n"/>
    </row>
    <row r="680" ht="15.75" customHeight="1" s="237">
      <c r="D680" s="21" t="n"/>
    </row>
    <row r="681" ht="15.75" customHeight="1" s="237">
      <c r="D681" s="21" t="n"/>
    </row>
    <row r="682" ht="15.75" customHeight="1" s="237">
      <c r="D682" s="21" t="n"/>
    </row>
    <row r="683" ht="15.75" customHeight="1" s="237">
      <c r="D683" s="21" t="n"/>
    </row>
    <row r="684" ht="15.75" customHeight="1" s="237">
      <c r="D684" s="21" t="n"/>
    </row>
    <row r="685" ht="15.75" customHeight="1" s="237">
      <c r="D685" s="21" t="n"/>
    </row>
    <row r="686" ht="15.75" customHeight="1" s="237">
      <c r="D686" s="21" t="n"/>
    </row>
    <row r="687" ht="15.75" customHeight="1" s="237">
      <c r="D687" s="21" t="n"/>
    </row>
    <row r="688" ht="15.75" customHeight="1" s="237">
      <c r="D688" s="21" t="n"/>
    </row>
    <row r="689" ht="15.75" customHeight="1" s="237">
      <c r="D689" s="21" t="n"/>
    </row>
    <row r="690" ht="15.75" customHeight="1" s="237">
      <c r="D690" s="21" t="n"/>
    </row>
    <row r="691" ht="15.75" customHeight="1" s="237">
      <c r="D691" s="21" t="n"/>
    </row>
    <row r="692" ht="15.75" customHeight="1" s="237">
      <c r="D692" s="21" t="n"/>
    </row>
    <row r="693" ht="15.75" customHeight="1" s="237">
      <c r="D693" s="21" t="n"/>
    </row>
    <row r="694" ht="15.75" customHeight="1" s="237">
      <c r="D694" s="21" t="n"/>
    </row>
    <row r="695" ht="15.75" customHeight="1" s="237">
      <c r="D695" s="21" t="n"/>
    </row>
    <row r="696" ht="15.75" customHeight="1" s="237">
      <c r="D696" s="21" t="n"/>
    </row>
    <row r="697" ht="15.75" customHeight="1" s="237">
      <c r="D697" s="21" t="n"/>
    </row>
    <row r="698" ht="15.75" customHeight="1" s="237">
      <c r="D698" s="21" t="n"/>
    </row>
    <row r="699" ht="15.75" customHeight="1" s="237">
      <c r="D699" s="21" t="n"/>
    </row>
    <row r="700" ht="15.75" customHeight="1" s="237">
      <c r="D700" s="21" t="n"/>
    </row>
    <row r="701" ht="15.75" customHeight="1" s="237">
      <c r="D701" s="21" t="n"/>
    </row>
    <row r="702" ht="15.75" customHeight="1" s="237">
      <c r="D702" s="21" t="n"/>
    </row>
    <row r="703" ht="15.75" customHeight="1" s="237">
      <c r="D703" s="21" t="n"/>
    </row>
    <row r="704" ht="15.75" customHeight="1" s="237">
      <c r="D704" s="21" t="n"/>
    </row>
    <row r="705" ht="15.75" customHeight="1" s="237">
      <c r="D705" s="21" t="n"/>
    </row>
    <row r="706" ht="15.75" customHeight="1" s="237">
      <c r="D706" s="21" t="n"/>
    </row>
    <row r="707" ht="15.75" customHeight="1" s="237">
      <c r="D707" s="21" t="n"/>
    </row>
    <row r="708" ht="15.75" customHeight="1" s="237">
      <c r="D708" s="21" t="n"/>
    </row>
    <row r="709" ht="15.75" customHeight="1" s="237">
      <c r="D709" s="21" t="n"/>
    </row>
    <row r="710" ht="15.75" customHeight="1" s="237">
      <c r="D710" s="21" t="n"/>
    </row>
    <row r="711" ht="15.75" customHeight="1" s="237">
      <c r="D711" s="21" t="n"/>
    </row>
    <row r="712" ht="15.75" customHeight="1" s="237">
      <c r="D712" s="21" t="n"/>
    </row>
    <row r="713" ht="15.75" customHeight="1" s="237">
      <c r="D713" s="21" t="n"/>
    </row>
    <row r="714" ht="15.75" customHeight="1" s="237">
      <c r="D714" s="21" t="n"/>
    </row>
    <row r="715" ht="15.75" customHeight="1" s="237">
      <c r="D715" s="21" t="n"/>
    </row>
    <row r="716" ht="15.75" customHeight="1" s="237">
      <c r="D716" s="21" t="n"/>
    </row>
    <row r="717" ht="15.75" customHeight="1" s="237">
      <c r="D717" s="21" t="n"/>
    </row>
    <row r="718" ht="15.75" customHeight="1" s="237">
      <c r="D718" s="21" t="n"/>
    </row>
    <row r="719" ht="15.75" customHeight="1" s="237">
      <c r="D719" s="21" t="n"/>
    </row>
    <row r="720" ht="15.75" customHeight="1" s="237">
      <c r="D720" s="21" t="n"/>
    </row>
    <row r="721" ht="15.75" customHeight="1" s="237">
      <c r="D721" s="21" t="n"/>
    </row>
    <row r="722" ht="15.75" customHeight="1" s="237">
      <c r="D722" s="21" t="n"/>
    </row>
    <row r="723" ht="15.75" customHeight="1" s="237">
      <c r="D723" s="21" t="n"/>
    </row>
    <row r="724" ht="15.75" customHeight="1" s="237">
      <c r="D724" s="21" t="n"/>
    </row>
    <row r="725" ht="15.75" customHeight="1" s="237">
      <c r="D725" s="21" t="n"/>
    </row>
    <row r="726" ht="15.75" customHeight="1" s="237">
      <c r="D726" s="21" t="n"/>
    </row>
    <row r="727" ht="15.75" customHeight="1" s="237">
      <c r="D727" s="21" t="n"/>
    </row>
    <row r="728" ht="15.75" customHeight="1" s="237">
      <c r="D728" s="21" t="n"/>
    </row>
    <row r="729" ht="15.75" customHeight="1" s="237">
      <c r="D729" s="21" t="n"/>
    </row>
    <row r="730" ht="15.75" customHeight="1" s="237">
      <c r="D730" s="21" t="n"/>
    </row>
    <row r="731" ht="15.75" customHeight="1" s="237">
      <c r="D731" s="21" t="n"/>
    </row>
    <row r="732" ht="15.75" customHeight="1" s="237">
      <c r="D732" s="21" t="n"/>
    </row>
    <row r="733" ht="15.75" customHeight="1" s="237">
      <c r="D733" s="21" t="n"/>
    </row>
    <row r="734" ht="15.75" customHeight="1" s="237">
      <c r="D734" s="21" t="n"/>
    </row>
    <row r="735" ht="15.75" customHeight="1" s="237">
      <c r="D735" s="21" t="n"/>
    </row>
    <row r="736" ht="15.75" customHeight="1" s="237">
      <c r="D736" s="21" t="n"/>
    </row>
    <row r="737" ht="15.75" customHeight="1" s="237">
      <c r="D737" s="21" t="n"/>
    </row>
    <row r="738" ht="15.75" customHeight="1" s="237">
      <c r="D738" s="21" t="n"/>
    </row>
    <row r="739" ht="15.75" customHeight="1" s="237">
      <c r="D739" s="21" t="n"/>
    </row>
    <row r="740" ht="15.75" customHeight="1" s="237">
      <c r="D740" s="21" t="n"/>
    </row>
    <row r="741" ht="15.75" customHeight="1" s="237">
      <c r="D741" s="21" t="n"/>
    </row>
    <row r="742" ht="15.75" customHeight="1" s="237">
      <c r="D742" s="21" t="n"/>
    </row>
    <row r="743" ht="15.75" customHeight="1" s="237">
      <c r="D743" s="21" t="n"/>
    </row>
    <row r="744" ht="15.75" customHeight="1" s="237">
      <c r="D744" s="21" t="n"/>
    </row>
    <row r="745" ht="15.75" customHeight="1" s="237">
      <c r="D745" s="21" t="n"/>
    </row>
    <row r="746" ht="15.75" customHeight="1" s="237">
      <c r="D746" s="21" t="n"/>
    </row>
    <row r="747" ht="15.75" customHeight="1" s="237">
      <c r="D747" s="21" t="n"/>
    </row>
    <row r="748" ht="15.75" customHeight="1" s="237">
      <c r="D748" s="21" t="n"/>
    </row>
    <row r="749" ht="15.75" customHeight="1" s="237">
      <c r="D749" s="21" t="n"/>
    </row>
    <row r="750" ht="15.75" customHeight="1" s="237">
      <c r="D750" s="21" t="n"/>
    </row>
    <row r="751" ht="15.75" customHeight="1" s="237">
      <c r="D751" s="21" t="n"/>
    </row>
    <row r="752" ht="15.75" customHeight="1" s="237">
      <c r="D752" s="21" t="n"/>
    </row>
    <row r="753" ht="15.75" customHeight="1" s="237">
      <c r="D753" s="21" t="n"/>
    </row>
    <row r="754" ht="15.75" customHeight="1" s="237">
      <c r="D754" s="21" t="n"/>
    </row>
    <row r="755" ht="15.75" customHeight="1" s="237">
      <c r="D755" s="21" t="n"/>
    </row>
    <row r="756" ht="15.75" customHeight="1" s="237">
      <c r="D756" s="21" t="n"/>
    </row>
    <row r="757" ht="15.75" customHeight="1" s="237">
      <c r="D757" s="21" t="n"/>
    </row>
    <row r="758" ht="15.75" customHeight="1" s="237">
      <c r="D758" s="21" t="n"/>
    </row>
    <row r="759" ht="15.75" customHeight="1" s="237">
      <c r="D759" s="21" t="n"/>
    </row>
    <row r="760" ht="15.75" customHeight="1" s="237">
      <c r="D760" s="21" t="n"/>
    </row>
    <row r="761" ht="15.75" customHeight="1" s="237">
      <c r="D761" s="21" t="n"/>
    </row>
    <row r="762" ht="15.75" customHeight="1" s="237">
      <c r="D762" s="21" t="n"/>
    </row>
    <row r="763" ht="15.75" customHeight="1" s="237">
      <c r="D763" s="21" t="n"/>
    </row>
    <row r="764" ht="15.75" customHeight="1" s="237">
      <c r="D764" s="21" t="n"/>
    </row>
    <row r="765" ht="15.75" customHeight="1" s="237">
      <c r="D765" s="21" t="n"/>
    </row>
    <row r="766" ht="15.75" customHeight="1" s="237">
      <c r="D766" s="21" t="n"/>
    </row>
    <row r="767" ht="15.75" customHeight="1" s="237">
      <c r="D767" s="21" t="n"/>
    </row>
    <row r="768" ht="15.75" customHeight="1" s="237">
      <c r="D768" s="21" t="n"/>
    </row>
    <row r="769" ht="15.75" customHeight="1" s="237">
      <c r="D769" s="21" t="n"/>
    </row>
    <row r="770" ht="15.75" customHeight="1" s="237">
      <c r="D770" s="21" t="n"/>
    </row>
    <row r="771" ht="15.75" customHeight="1" s="237">
      <c r="D771" s="21" t="n"/>
    </row>
    <row r="772" ht="15.75" customHeight="1" s="237">
      <c r="D772" s="21" t="n"/>
    </row>
    <row r="773" ht="15.75" customHeight="1" s="237">
      <c r="D773" s="21" t="n"/>
    </row>
    <row r="774" ht="15.75" customHeight="1" s="237">
      <c r="D774" s="21" t="n"/>
    </row>
    <row r="775" ht="15.75" customHeight="1" s="237">
      <c r="D775" s="21" t="n"/>
    </row>
    <row r="776" ht="15.75" customHeight="1" s="237">
      <c r="D776" s="21" t="n"/>
    </row>
    <row r="777" ht="15.75" customHeight="1" s="237">
      <c r="D777" s="21" t="n"/>
    </row>
    <row r="778" ht="15.75" customHeight="1" s="237">
      <c r="D778" s="21" t="n"/>
    </row>
    <row r="779" ht="15.75" customHeight="1" s="237">
      <c r="D779" s="21" t="n"/>
    </row>
    <row r="780" ht="15.75" customHeight="1" s="237">
      <c r="D780" s="21" t="n"/>
    </row>
    <row r="781" ht="15.75" customHeight="1" s="237">
      <c r="D781" s="21" t="n"/>
    </row>
    <row r="782" ht="15.75" customHeight="1" s="237">
      <c r="D782" s="21" t="n"/>
    </row>
    <row r="783" ht="15.75" customHeight="1" s="237">
      <c r="D783" s="21" t="n"/>
    </row>
    <row r="784" ht="15.75" customHeight="1" s="237">
      <c r="D784" s="21" t="n"/>
    </row>
    <row r="785" ht="15.75" customHeight="1" s="237">
      <c r="D785" s="21" t="n"/>
    </row>
    <row r="786" ht="15.75" customHeight="1" s="237">
      <c r="D786" s="21" t="n"/>
    </row>
    <row r="787" ht="15.75" customHeight="1" s="237">
      <c r="D787" s="21" t="n"/>
    </row>
    <row r="788" ht="15.75" customHeight="1" s="237">
      <c r="D788" s="21" t="n"/>
    </row>
    <row r="789" ht="15.75" customHeight="1" s="237">
      <c r="D789" s="21" t="n"/>
    </row>
    <row r="790" ht="15.75" customHeight="1" s="237">
      <c r="D790" s="21" t="n"/>
    </row>
    <row r="791" ht="15.75" customHeight="1" s="237">
      <c r="D791" s="21" t="n"/>
    </row>
    <row r="792" ht="15.75" customHeight="1" s="237">
      <c r="D792" s="21" t="n"/>
    </row>
    <row r="793" ht="15.75" customHeight="1" s="237">
      <c r="D793" s="21" t="n"/>
    </row>
    <row r="794" ht="15.75" customHeight="1" s="237">
      <c r="D794" s="21" t="n"/>
    </row>
    <row r="795" ht="15.75" customHeight="1" s="237">
      <c r="D795" s="21" t="n"/>
    </row>
    <row r="796" ht="15.75" customHeight="1" s="237">
      <c r="D796" s="21" t="n"/>
    </row>
    <row r="797" ht="15.75" customHeight="1" s="237">
      <c r="D797" s="21" t="n"/>
    </row>
    <row r="798" ht="15.75" customHeight="1" s="237">
      <c r="D798" s="21" t="n"/>
    </row>
    <row r="799" ht="15.75" customHeight="1" s="237">
      <c r="D799" s="21" t="n"/>
    </row>
    <row r="800" ht="15.75" customHeight="1" s="237">
      <c r="D800" s="21" t="n"/>
    </row>
    <row r="801" ht="15.75" customHeight="1" s="237">
      <c r="D801" s="21" t="n"/>
    </row>
    <row r="802" ht="15.75" customHeight="1" s="237">
      <c r="D802" s="21" t="n"/>
    </row>
    <row r="803" ht="15.75" customHeight="1" s="237">
      <c r="D803" s="21" t="n"/>
    </row>
    <row r="804" ht="15.75" customHeight="1" s="237">
      <c r="D804" s="21" t="n"/>
    </row>
    <row r="805" ht="15.75" customHeight="1" s="237">
      <c r="D805" s="21" t="n"/>
    </row>
    <row r="806" ht="15.75" customHeight="1" s="237">
      <c r="D806" s="21" t="n"/>
    </row>
    <row r="807" ht="15.75" customHeight="1" s="237">
      <c r="D807" s="21" t="n"/>
    </row>
    <row r="808" ht="15.75" customHeight="1" s="237">
      <c r="D808" s="21" t="n"/>
    </row>
    <row r="809" ht="15.75" customHeight="1" s="237">
      <c r="D809" s="21" t="n"/>
    </row>
    <row r="810" ht="15.75" customHeight="1" s="237">
      <c r="D810" s="21" t="n"/>
    </row>
    <row r="811" ht="15.75" customHeight="1" s="237">
      <c r="D811" s="21" t="n"/>
    </row>
    <row r="812" ht="15.75" customHeight="1" s="237">
      <c r="D812" s="21" t="n"/>
    </row>
    <row r="813" ht="15.75" customHeight="1" s="237">
      <c r="D813" s="21" t="n"/>
    </row>
    <row r="814" ht="15.75" customHeight="1" s="237">
      <c r="D814" s="21" t="n"/>
    </row>
    <row r="815" ht="15.75" customHeight="1" s="237">
      <c r="D815" s="21" t="n"/>
    </row>
    <row r="816" ht="15.75" customHeight="1" s="237">
      <c r="D816" s="21" t="n"/>
    </row>
    <row r="817" ht="15.75" customHeight="1" s="237">
      <c r="D817" s="21" t="n"/>
    </row>
    <row r="818" ht="15.75" customHeight="1" s="237">
      <c r="D818" s="21" t="n"/>
    </row>
    <row r="819" ht="15.75" customHeight="1" s="237">
      <c r="D819" s="21" t="n"/>
    </row>
    <row r="820" ht="15.75" customHeight="1" s="237">
      <c r="D820" s="21" t="n"/>
    </row>
    <row r="821" ht="15.75" customHeight="1" s="237">
      <c r="D821" s="21" t="n"/>
    </row>
    <row r="822" ht="15.75" customHeight="1" s="237">
      <c r="D822" s="21" t="n"/>
    </row>
    <row r="823" ht="15.75" customHeight="1" s="237">
      <c r="D823" s="21" t="n"/>
    </row>
    <row r="824" ht="15.75" customHeight="1" s="237">
      <c r="D824" s="21" t="n"/>
    </row>
    <row r="825" ht="15.75" customHeight="1" s="237">
      <c r="D825" s="21" t="n"/>
    </row>
    <row r="826" ht="15.75" customHeight="1" s="237">
      <c r="D826" s="21" t="n"/>
    </row>
    <row r="827" ht="15.75" customHeight="1" s="237">
      <c r="D827" s="21" t="n"/>
    </row>
    <row r="828" ht="15.75" customHeight="1" s="237">
      <c r="D828" s="21" t="n"/>
    </row>
    <row r="829" ht="15.75" customHeight="1" s="237">
      <c r="D829" s="21" t="n"/>
    </row>
    <row r="830" ht="15.75" customHeight="1" s="237">
      <c r="D830" s="21" t="n"/>
    </row>
    <row r="831" ht="15.75" customHeight="1" s="237">
      <c r="D831" s="21" t="n"/>
    </row>
    <row r="832" ht="15.75" customHeight="1" s="237">
      <c r="D832" s="21" t="n"/>
    </row>
    <row r="833" ht="15.75" customHeight="1" s="237">
      <c r="D833" s="21" t="n"/>
    </row>
    <row r="834" ht="15.75" customHeight="1" s="237">
      <c r="D834" s="21" t="n"/>
    </row>
    <row r="835" ht="15.75" customHeight="1" s="237">
      <c r="D835" s="21" t="n"/>
    </row>
    <row r="836" ht="15.75" customHeight="1" s="237">
      <c r="D836" s="21" t="n"/>
    </row>
    <row r="837" ht="15.75" customHeight="1" s="237">
      <c r="D837" s="21" t="n"/>
    </row>
    <row r="838" ht="15.75" customHeight="1" s="237">
      <c r="D838" s="21" t="n"/>
    </row>
    <row r="839" ht="15.75" customHeight="1" s="237">
      <c r="D839" s="21" t="n"/>
    </row>
    <row r="840" ht="15.75" customHeight="1" s="237">
      <c r="D840" s="21" t="n"/>
    </row>
    <row r="841" ht="15.75" customHeight="1" s="237">
      <c r="D841" s="21" t="n"/>
    </row>
    <row r="842" ht="15.75" customHeight="1" s="237">
      <c r="D842" s="21" t="n"/>
    </row>
    <row r="843" ht="15.75" customHeight="1" s="237">
      <c r="D843" s="21" t="n"/>
    </row>
    <row r="844" ht="15.75" customHeight="1" s="237">
      <c r="D844" s="21" t="n"/>
    </row>
    <row r="845" ht="15.75" customHeight="1" s="237">
      <c r="D845" s="21" t="n"/>
    </row>
    <row r="846" ht="15.75" customHeight="1" s="237">
      <c r="D846" s="21" t="n"/>
    </row>
    <row r="847" ht="15.75" customHeight="1" s="237">
      <c r="D847" s="21" t="n"/>
    </row>
    <row r="848" ht="15.75" customHeight="1" s="237">
      <c r="D848" s="21" t="n"/>
    </row>
    <row r="849" ht="15.75" customHeight="1" s="237">
      <c r="D849" s="21" t="n"/>
    </row>
    <row r="850" ht="15.75" customHeight="1" s="237">
      <c r="D850" s="21" t="n"/>
    </row>
    <row r="851" ht="15.75" customHeight="1" s="237">
      <c r="D851" s="21" t="n"/>
    </row>
    <row r="852" ht="15.75" customHeight="1" s="237">
      <c r="D852" s="21" t="n"/>
    </row>
    <row r="853" ht="15.75" customHeight="1" s="237">
      <c r="D853" s="21" t="n"/>
    </row>
    <row r="854" ht="15.75" customHeight="1" s="237">
      <c r="D854" s="21" t="n"/>
    </row>
    <row r="855" ht="15.75" customHeight="1" s="237">
      <c r="D855" s="21" t="n"/>
    </row>
    <row r="856" ht="15.75" customHeight="1" s="237">
      <c r="D856" s="21" t="n"/>
    </row>
    <row r="857" ht="15.75" customHeight="1" s="237">
      <c r="D857" s="21" t="n"/>
    </row>
    <row r="858" ht="15.75" customHeight="1" s="237">
      <c r="D858" s="21" t="n"/>
    </row>
    <row r="859" ht="15.75" customHeight="1" s="237">
      <c r="D859" s="21" t="n"/>
    </row>
    <row r="860" ht="15.75" customHeight="1" s="237">
      <c r="D860" s="21" t="n"/>
    </row>
    <row r="861" ht="15.75" customHeight="1" s="237">
      <c r="D861" s="21" t="n"/>
    </row>
    <row r="862" ht="15.75" customHeight="1" s="237">
      <c r="D862" s="21" t="n"/>
    </row>
    <row r="863" ht="15.75" customHeight="1" s="237">
      <c r="D863" s="21" t="n"/>
    </row>
    <row r="864" ht="15.75" customHeight="1" s="237">
      <c r="D864" s="21" t="n"/>
    </row>
    <row r="865" ht="15.75" customHeight="1" s="237">
      <c r="D865" s="21" t="n"/>
    </row>
    <row r="866" ht="15.75" customHeight="1" s="237">
      <c r="D866" s="21" t="n"/>
    </row>
    <row r="867" ht="15.75" customHeight="1" s="237">
      <c r="D867" s="21" t="n"/>
    </row>
    <row r="868" ht="15.75" customHeight="1" s="237">
      <c r="D868" s="21" t="n"/>
    </row>
    <row r="869" ht="15.75" customHeight="1" s="237">
      <c r="D869" s="21" t="n"/>
    </row>
    <row r="870" ht="15.75" customHeight="1" s="237">
      <c r="D870" s="21" t="n"/>
    </row>
    <row r="871" ht="15.75" customHeight="1" s="237">
      <c r="D871" s="21" t="n"/>
    </row>
    <row r="872" ht="15.75" customHeight="1" s="237">
      <c r="D872" s="21" t="n"/>
    </row>
    <row r="873" ht="15.75" customHeight="1" s="237">
      <c r="D873" s="21" t="n"/>
    </row>
    <row r="874" ht="15.75" customHeight="1" s="237">
      <c r="D874" s="21" t="n"/>
    </row>
    <row r="875" ht="15.75" customHeight="1" s="237">
      <c r="D875" s="21" t="n"/>
    </row>
    <row r="876" ht="15.75" customHeight="1" s="237">
      <c r="D876" s="21" t="n"/>
    </row>
    <row r="877" ht="15.75" customHeight="1" s="237">
      <c r="D877" s="21" t="n"/>
    </row>
    <row r="878" ht="15.75" customHeight="1" s="237">
      <c r="D878" s="21" t="n"/>
    </row>
    <row r="879" ht="15.75" customHeight="1" s="237">
      <c r="D879" s="21" t="n"/>
    </row>
    <row r="880" ht="15.75" customHeight="1" s="237">
      <c r="D880" s="21" t="n"/>
    </row>
    <row r="881" ht="15.75" customHeight="1" s="237">
      <c r="D881" s="21" t="n"/>
    </row>
    <row r="882" ht="15.75" customHeight="1" s="237">
      <c r="D882" s="21" t="n"/>
    </row>
    <row r="883" ht="15.75" customHeight="1" s="237">
      <c r="D883" s="21" t="n"/>
    </row>
    <row r="884" ht="15.75" customHeight="1" s="237">
      <c r="D884" s="21" t="n"/>
    </row>
    <row r="885" ht="15.75" customHeight="1" s="237">
      <c r="D885" s="21" t="n"/>
    </row>
    <row r="886" ht="15.75" customHeight="1" s="237">
      <c r="D886" s="21" t="n"/>
    </row>
    <row r="887" ht="15.75" customHeight="1" s="237">
      <c r="D887" s="21" t="n"/>
    </row>
    <row r="888" ht="15.75" customHeight="1" s="237">
      <c r="D888" s="21" t="n"/>
    </row>
    <row r="889" ht="15.75" customHeight="1" s="237">
      <c r="D889" s="21" t="n"/>
    </row>
    <row r="890" ht="15.75" customHeight="1" s="237">
      <c r="D890" s="21" t="n"/>
    </row>
    <row r="891" ht="15.75" customHeight="1" s="237">
      <c r="D891" s="21" t="n"/>
    </row>
    <row r="892" ht="15.75" customHeight="1" s="237">
      <c r="D892" s="21" t="n"/>
    </row>
    <row r="893" ht="15.75" customHeight="1" s="237">
      <c r="D893" s="21" t="n"/>
    </row>
    <row r="894" ht="15.75" customHeight="1" s="237">
      <c r="D894" s="21" t="n"/>
    </row>
    <row r="895" ht="15.75" customHeight="1" s="237">
      <c r="D895" s="21" t="n"/>
    </row>
    <row r="896" ht="15.75" customHeight="1" s="237">
      <c r="D896" s="21" t="n"/>
    </row>
    <row r="897" ht="15.75" customHeight="1" s="237">
      <c r="D897" s="21" t="n"/>
    </row>
    <row r="898" ht="15.75" customHeight="1" s="237">
      <c r="D898" s="21" t="n"/>
    </row>
    <row r="899" ht="15.75" customHeight="1" s="237">
      <c r="D899" s="21" t="n"/>
    </row>
    <row r="900" ht="15.75" customHeight="1" s="237">
      <c r="D900" s="21" t="n"/>
    </row>
    <row r="901" ht="15.75" customHeight="1" s="237">
      <c r="D901" s="21" t="n"/>
    </row>
    <row r="902" ht="15.75" customHeight="1" s="237">
      <c r="D902" s="21" t="n"/>
    </row>
    <row r="903" ht="15.75" customHeight="1" s="237">
      <c r="D903" s="21" t="n"/>
    </row>
    <row r="904" ht="15.75" customHeight="1" s="237">
      <c r="D904" s="21" t="n"/>
    </row>
    <row r="905" ht="15.75" customHeight="1" s="237">
      <c r="D905" s="21" t="n"/>
    </row>
    <row r="906" ht="15.75" customHeight="1" s="237">
      <c r="D906" s="21" t="n"/>
    </row>
    <row r="907" ht="15.75" customHeight="1" s="237">
      <c r="D907" s="21" t="n"/>
    </row>
    <row r="908" ht="15.75" customHeight="1" s="237">
      <c r="D908" s="21" t="n"/>
    </row>
    <row r="909" ht="15.75" customHeight="1" s="237">
      <c r="D909" s="21" t="n"/>
    </row>
    <row r="910" ht="15.75" customHeight="1" s="237">
      <c r="D910" s="21" t="n"/>
    </row>
    <row r="911" ht="15.75" customHeight="1" s="237">
      <c r="D911" s="21" t="n"/>
    </row>
    <row r="912" ht="15.75" customHeight="1" s="237">
      <c r="D912" s="21" t="n"/>
    </row>
    <row r="913" ht="15.75" customHeight="1" s="237">
      <c r="D913" s="21" t="n"/>
    </row>
    <row r="914" ht="15.75" customHeight="1" s="237">
      <c r="D914" s="21" t="n"/>
    </row>
    <row r="915" ht="15.75" customHeight="1" s="237">
      <c r="D915" s="21" t="n"/>
    </row>
    <row r="916" ht="15.75" customHeight="1" s="237">
      <c r="D916" s="21" t="n"/>
    </row>
    <row r="917" ht="15.75" customHeight="1" s="237">
      <c r="D917" s="21" t="n"/>
    </row>
    <row r="918" ht="15.75" customHeight="1" s="237">
      <c r="D918" s="21" t="n"/>
    </row>
    <row r="919" ht="15.75" customHeight="1" s="237">
      <c r="D919" s="21" t="n"/>
    </row>
    <row r="920" ht="15.75" customHeight="1" s="237">
      <c r="D920" s="21" t="n"/>
    </row>
    <row r="921" ht="15.75" customHeight="1" s="237">
      <c r="D921" s="21" t="n"/>
    </row>
    <row r="922" ht="15.75" customHeight="1" s="237">
      <c r="D922" s="21" t="n"/>
    </row>
    <row r="923" ht="15.75" customHeight="1" s="237">
      <c r="D923" s="21" t="n"/>
    </row>
    <row r="924" ht="15.75" customHeight="1" s="237">
      <c r="D924" s="21" t="n"/>
    </row>
    <row r="925" ht="15.75" customHeight="1" s="237">
      <c r="D925" s="21" t="n"/>
    </row>
    <row r="926" ht="15.75" customHeight="1" s="237">
      <c r="D926" s="21" t="n"/>
    </row>
    <row r="927" ht="15.75" customHeight="1" s="237">
      <c r="D927" s="21" t="n"/>
    </row>
    <row r="928" ht="15.75" customHeight="1" s="237">
      <c r="D928" s="21" t="n"/>
    </row>
    <row r="929" ht="15.75" customHeight="1" s="237">
      <c r="D929" s="21" t="n"/>
    </row>
    <row r="930" ht="15.75" customHeight="1" s="237">
      <c r="D930" s="21" t="n"/>
    </row>
    <row r="931" ht="15.75" customHeight="1" s="237">
      <c r="D931" s="21" t="n"/>
    </row>
    <row r="932" ht="15.75" customHeight="1" s="237">
      <c r="D932" s="21" t="n"/>
    </row>
    <row r="933" ht="15.75" customHeight="1" s="237">
      <c r="D933" s="21" t="n"/>
    </row>
    <row r="934" ht="15.75" customHeight="1" s="237">
      <c r="D934" s="21" t="n"/>
    </row>
    <row r="935" ht="15.75" customHeight="1" s="237">
      <c r="D935" s="21" t="n"/>
    </row>
    <row r="936" ht="15.75" customHeight="1" s="237">
      <c r="D936" s="21" t="n"/>
    </row>
    <row r="937" ht="15.75" customHeight="1" s="237">
      <c r="D937" s="21" t="n"/>
    </row>
    <row r="938" ht="15.75" customHeight="1" s="237">
      <c r="D938" s="21" t="n"/>
    </row>
    <row r="939" ht="15.75" customHeight="1" s="237">
      <c r="D939" s="21" t="n"/>
    </row>
    <row r="940" ht="15.75" customHeight="1" s="237">
      <c r="D940" s="21" t="n"/>
    </row>
    <row r="941" ht="15.75" customHeight="1" s="237">
      <c r="D941" s="21" t="n"/>
    </row>
    <row r="942" ht="15.75" customHeight="1" s="237">
      <c r="D942" s="21" t="n"/>
    </row>
    <row r="943" ht="15.75" customHeight="1" s="237">
      <c r="D943" s="21" t="n"/>
    </row>
    <row r="944" ht="15.75" customHeight="1" s="237">
      <c r="D944" s="21" t="n"/>
    </row>
    <row r="945" ht="15.75" customHeight="1" s="237">
      <c r="D945" s="21" t="n"/>
    </row>
    <row r="946" ht="15.75" customHeight="1" s="237">
      <c r="D946" s="21" t="n"/>
    </row>
    <row r="947" ht="15.75" customHeight="1" s="237">
      <c r="D947" s="21" t="n"/>
    </row>
    <row r="948" ht="15.75" customHeight="1" s="237">
      <c r="D948" s="21" t="n"/>
    </row>
    <row r="949" ht="15.75" customHeight="1" s="237">
      <c r="D949" s="21" t="n"/>
    </row>
    <row r="950" ht="15.75" customHeight="1" s="237">
      <c r="D950" s="21" t="n"/>
    </row>
    <row r="951" ht="15.75" customHeight="1" s="237">
      <c r="D951" s="21" t="n"/>
    </row>
    <row r="952" ht="15.75" customHeight="1" s="237">
      <c r="D952" s="21" t="n"/>
    </row>
    <row r="953" ht="15.75" customHeight="1" s="237">
      <c r="D953" s="21" t="n"/>
    </row>
    <row r="954" ht="15.75" customHeight="1" s="237">
      <c r="D954" s="21" t="n"/>
    </row>
    <row r="955" ht="15.75" customHeight="1" s="237">
      <c r="D955" s="21" t="n"/>
    </row>
    <row r="956" ht="15.75" customHeight="1" s="237">
      <c r="D956" s="21" t="n"/>
    </row>
    <row r="957" ht="15.75" customHeight="1" s="237">
      <c r="D957" s="21" t="n"/>
    </row>
    <row r="958" ht="15.75" customHeight="1" s="237">
      <c r="D958" s="21" t="n"/>
    </row>
    <row r="959" ht="15.75" customHeight="1" s="237">
      <c r="D959" s="21" t="n"/>
    </row>
    <row r="960" ht="15.75" customHeight="1" s="237">
      <c r="D960" s="21" t="n"/>
    </row>
    <row r="961" ht="15.75" customHeight="1" s="237">
      <c r="D961" s="21" t="n"/>
    </row>
    <row r="962" ht="15.75" customHeight="1" s="237">
      <c r="D962" s="21" t="n"/>
    </row>
    <row r="963" ht="15.75" customHeight="1" s="237">
      <c r="D963" s="21" t="n"/>
    </row>
    <row r="964" ht="15.75" customHeight="1" s="237">
      <c r="D964" s="21" t="n"/>
    </row>
    <row r="965" ht="15.75" customHeight="1" s="237">
      <c r="D965" s="21" t="n"/>
    </row>
    <row r="966" ht="15.75" customHeight="1" s="237">
      <c r="D966" s="21" t="n"/>
    </row>
    <row r="967" ht="15.75" customHeight="1" s="237">
      <c r="D967" s="21" t="n"/>
    </row>
    <row r="968" ht="15.75" customHeight="1" s="237">
      <c r="D968" s="21" t="n"/>
    </row>
    <row r="969" ht="15.75" customHeight="1" s="237">
      <c r="D969" s="21" t="n"/>
    </row>
    <row r="970" ht="15.75" customHeight="1" s="237">
      <c r="D970" s="21" t="n"/>
    </row>
    <row r="971" ht="15.75" customHeight="1" s="237">
      <c r="D971" s="21" t="n"/>
    </row>
    <row r="972" ht="15.75" customHeight="1" s="237">
      <c r="D972" s="21" t="n"/>
    </row>
    <row r="973" ht="15.75" customHeight="1" s="237">
      <c r="D973" s="21" t="n"/>
    </row>
    <row r="974" ht="15.75" customHeight="1" s="237">
      <c r="D974" s="21" t="n"/>
    </row>
    <row r="975" ht="15.75" customHeight="1" s="237">
      <c r="D975" s="21" t="n"/>
    </row>
    <row r="976" ht="15.75" customHeight="1" s="237">
      <c r="D976" s="21" t="n"/>
    </row>
    <row r="977" ht="15.75" customHeight="1" s="237">
      <c r="D977" s="21" t="n"/>
    </row>
    <row r="978" ht="15.75" customHeight="1" s="237">
      <c r="D978" s="21" t="n"/>
    </row>
    <row r="979" ht="15.75" customHeight="1" s="237">
      <c r="D979" s="21" t="n"/>
    </row>
    <row r="980" ht="15.75" customHeight="1" s="237">
      <c r="D980" s="21" t="n"/>
    </row>
    <row r="981" ht="15.75" customHeight="1" s="237">
      <c r="D981" s="21" t="n"/>
    </row>
    <row r="982" ht="15.75" customHeight="1" s="237">
      <c r="D982" s="21" t="n"/>
    </row>
    <row r="983" ht="15.75" customHeight="1" s="237">
      <c r="D983" s="21" t="n"/>
    </row>
    <row r="984" ht="15.75" customHeight="1" s="237">
      <c r="D984" s="21" t="n"/>
    </row>
    <row r="985" ht="15.75" customHeight="1" s="237">
      <c r="D985" s="21" t="n"/>
    </row>
    <row r="986" ht="15.75" customHeight="1" s="237">
      <c r="D986" s="21" t="n"/>
    </row>
    <row r="987" ht="15.75" customHeight="1" s="237">
      <c r="D987" s="21" t="n"/>
    </row>
    <row r="988" ht="15.75" customHeight="1" s="237">
      <c r="D988" s="21" t="n"/>
    </row>
    <row r="989" ht="15.75" customHeight="1" s="237">
      <c r="D989" s="21" t="n"/>
    </row>
    <row r="990" ht="15.75" customHeight="1" s="237">
      <c r="D990" s="21" t="n"/>
    </row>
    <row r="991" ht="15.75" customHeight="1" s="237">
      <c r="D991" s="21" t="n"/>
    </row>
    <row r="992" ht="15.75" customHeight="1" s="237">
      <c r="D992" s="21" t="n"/>
    </row>
    <row r="993" ht="15.75" customHeight="1" s="237">
      <c r="D993" s="21" t="n"/>
    </row>
    <row r="994" ht="15.75" customHeight="1" s="237">
      <c r="D994" s="21" t="n"/>
    </row>
    <row r="995" ht="15.75" customHeight="1" s="237">
      <c r="D995" s="21" t="n"/>
    </row>
    <row r="996" ht="15.75" customHeight="1" s="237">
      <c r="D996" s="21" t="n"/>
    </row>
    <row r="997" ht="15.75" customHeight="1" s="237">
      <c r="D997" s="21" t="n"/>
    </row>
  </sheetData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Z253"/>
  <sheetViews>
    <sheetView workbookViewId="0">
      <selection activeCell="O19" sqref="O19"/>
    </sheetView>
  </sheetViews>
  <sheetFormatPr baseColWidth="8" defaultColWidth="14.42578125" defaultRowHeight="15" customHeight="1"/>
  <cols>
    <col width="19.140625" customWidth="1" style="237" min="1" max="1"/>
    <col width="9.140625" customWidth="1" style="237" min="2" max="2"/>
    <col width="16.28515625" customWidth="1" style="237" min="3" max="3"/>
    <col width="9.140625" customWidth="1" style="237" min="4" max="6"/>
    <col width="12.42578125" customWidth="1" style="237" min="7" max="7"/>
    <col width="9.140625" customWidth="1" style="237" min="8" max="12"/>
    <col width="9.85546875" bestFit="1" customWidth="1" style="237" min="13" max="13"/>
    <col width="35.7109375" customWidth="1" style="237" min="14" max="15"/>
    <col width="9.140625" customWidth="1" style="237" min="16" max="16"/>
    <col width="19.7109375" customWidth="1" style="237" min="17" max="17"/>
    <col width="15" customWidth="1" style="237" min="18" max="18"/>
    <col width="9.140625" customWidth="1" style="237" min="19" max="19"/>
    <col width="33.28515625" customWidth="1" style="237" min="20" max="20"/>
    <col width="8.7109375" customWidth="1" style="237" min="21" max="21"/>
    <col width="10.7109375" bestFit="1" customWidth="1" style="237" min="22" max="22"/>
    <col width="8.7109375" customWidth="1" style="237" min="23" max="26"/>
  </cols>
  <sheetData>
    <row r="1" ht="16.5" customHeight="1" s="237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  <c r="K1" s="6" t="n"/>
      <c r="L1" s="234" t="inlineStr">
        <is>
          <t>For my Information</t>
        </is>
      </c>
      <c r="M1" s="302" t="n"/>
      <c r="N1" s="302" t="n"/>
      <c r="O1" s="302" t="n"/>
      <c r="P1" s="6" t="n"/>
      <c r="Q1" s="303" t="inlineStr">
        <is>
          <t>Pickup/Drop off/Wait time</t>
        </is>
      </c>
      <c r="S1" s="6" t="n"/>
      <c r="T1" s="6" t="n"/>
      <c r="U1" s="6" t="n"/>
      <c r="V1" s="6" t="n"/>
      <c r="W1" s="6" t="n"/>
      <c r="X1" s="6" t="n"/>
      <c r="Y1" s="6" t="n"/>
      <c r="Z1" s="6" t="n"/>
    </row>
    <row r="2" ht="16.5" customHeight="1" s="237">
      <c r="A2" s="26" t="inlineStr">
        <is>
          <t>Disability</t>
        </is>
      </c>
      <c r="B2" s="6" t="n"/>
      <c r="C2" s="26" t="inlineStr">
        <is>
          <t>Disability Script</t>
        </is>
      </c>
      <c r="D2" s="6" t="n"/>
      <c r="E2" s="26" t="inlineStr">
        <is>
          <t>States</t>
        </is>
      </c>
      <c r="F2" s="6" t="n"/>
      <c r="G2" s="26" t="inlineStr">
        <is>
          <t>Months</t>
        </is>
      </c>
      <c r="H2" s="26" t="inlineStr">
        <is>
          <t>Year</t>
        </is>
      </c>
      <c r="I2" s="6" t="n"/>
      <c r="J2" s="26" t="inlineStr">
        <is>
          <t>Status</t>
        </is>
      </c>
      <c r="K2" s="6" t="n"/>
      <c r="L2" s="27" t="inlineStr">
        <is>
          <t>Code</t>
        </is>
      </c>
      <c r="M2" s="27" t="inlineStr">
        <is>
          <t>Unit</t>
        </is>
      </c>
      <c r="N2" s="27" t="inlineStr">
        <is>
          <t>Desc.</t>
        </is>
      </c>
      <c r="O2" s="28" t="inlineStr">
        <is>
          <t>Disability</t>
        </is>
      </c>
      <c r="P2" s="6" t="n"/>
      <c r="Q2" s="26" t="inlineStr">
        <is>
          <t>Unit Multiplier</t>
        </is>
      </c>
      <c r="R2" s="26" t="inlineStr">
        <is>
          <t>Multiplier</t>
        </is>
      </c>
      <c r="S2" s="6" t="n"/>
      <c r="T2" s="28" t="inlineStr">
        <is>
          <t>Headquarters</t>
        </is>
      </c>
      <c r="U2" s="6" t="n"/>
      <c r="V2" s="28" t="inlineStr">
        <is>
          <t>Status</t>
        </is>
      </c>
      <c r="W2" s="6" t="n"/>
      <c r="X2" s="6" t="n"/>
      <c r="Y2" s="6" t="n"/>
      <c r="Z2" s="6" t="n"/>
    </row>
    <row r="3" ht="33" customHeight="1" s="237">
      <c r="A3" s="6" t="n"/>
      <c r="B3" s="6" t="n"/>
      <c r="C3" s="6" t="n"/>
      <c r="D3" s="6" t="n"/>
      <c r="E3" s="6" t="inlineStr">
        <is>
          <t>N/A</t>
        </is>
      </c>
      <c r="F3" s="6" t="n"/>
      <c r="G3" s="6" t="inlineStr">
        <is>
          <t>January</t>
        </is>
      </c>
      <c r="H3" s="6" t="n">
        <v>2018</v>
      </c>
      <c r="I3" s="6" t="n"/>
      <c r="J3" s="6" t="inlineStr">
        <is>
          <t>MACP</t>
        </is>
      </c>
      <c r="K3" s="6" t="n"/>
      <c r="L3" s="29" t="inlineStr">
        <is>
          <t>A0130</t>
        </is>
      </c>
      <c r="M3" s="304" t="n">
        <v>25</v>
      </c>
      <c r="N3" s="29" t="inlineStr">
        <is>
          <t>Patient Pickup/Drop Off</t>
        </is>
      </c>
      <c r="O3" s="71" t="inlineStr">
        <is>
          <t>Non-Wheel Chair</t>
        </is>
      </c>
      <c r="P3" s="6" t="n"/>
      <c r="Q3" s="236" t="inlineStr">
        <is>
          <t>N/A</t>
        </is>
      </c>
      <c r="R3" s="236" t="inlineStr">
        <is>
          <t>N/A</t>
        </is>
      </c>
      <c r="S3" s="6" t="n"/>
      <c r="T3" s="73" t="inlineStr">
        <is>
          <t>18311 W 10 Mile Rd. 
Southfield, MI 48076</t>
        </is>
      </c>
      <c r="U3" s="6" t="n"/>
      <c r="V3" s="6" t="inlineStr">
        <is>
          <t>Active</t>
        </is>
      </c>
      <c r="W3" s="6" t="n"/>
      <c r="X3" s="6" t="n"/>
      <c r="Y3" s="6" t="n"/>
      <c r="Z3" s="6" t="n"/>
    </row>
    <row r="4" ht="16.5" customHeight="1" s="237">
      <c r="A4" s="6" t="inlineStr">
        <is>
          <t>Wheel Chair</t>
        </is>
      </c>
      <c r="B4" s="6" t="n"/>
      <c r="C4" s="6" t="inlineStr">
        <is>
          <t>On record</t>
        </is>
      </c>
      <c r="D4" s="6" t="n"/>
      <c r="E4" s="6" t="inlineStr">
        <is>
          <t>AL</t>
        </is>
      </c>
      <c r="F4" s="6" t="n"/>
      <c r="G4" s="6" t="inlineStr">
        <is>
          <t>February</t>
        </is>
      </c>
      <c r="H4" s="6" t="n">
        <v>2019</v>
      </c>
      <c r="I4" s="6" t="n"/>
      <c r="J4" s="6" t="inlineStr">
        <is>
          <t>Sent</t>
        </is>
      </c>
      <c r="K4" s="6" t="n"/>
      <c r="L4" s="12" t="inlineStr">
        <is>
          <t>T2007</t>
        </is>
      </c>
      <c r="M4" s="305" t="n">
        <v>25</v>
      </c>
      <c r="N4" s="12" t="inlineStr">
        <is>
          <t>waiting time 1/2 hour increments</t>
        </is>
      </c>
      <c r="O4" s="3" t="inlineStr">
        <is>
          <t>Non-Wheel Chair</t>
        </is>
      </c>
      <c r="P4" s="6" t="n"/>
      <c r="Q4" s="236" t="inlineStr">
        <is>
          <t>0 Unit</t>
        </is>
      </c>
      <c r="R4" s="236" t="n">
        <v>0</v>
      </c>
      <c r="S4" s="6" t="n"/>
      <c r="T4" s="16" t="n"/>
      <c r="U4" s="6" t="n"/>
      <c r="V4" s="6" t="inlineStr">
        <is>
          <t>Archive</t>
        </is>
      </c>
      <c r="W4" s="6" t="n"/>
      <c r="X4" s="6" t="n"/>
      <c r="Y4" s="6" t="n"/>
      <c r="Z4" s="6" t="n"/>
    </row>
    <row r="5" ht="16.5" customHeight="1" s="237">
      <c r="A5" s="6" t="inlineStr">
        <is>
          <t>Non-Wheel Chair</t>
        </is>
      </c>
      <c r="B5" s="6" t="n"/>
      <c r="C5" s="6" t="inlineStr">
        <is>
          <t>Not on record</t>
        </is>
      </c>
      <c r="D5" s="6" t="n"/>
      <c r="E5" s="6" t="inlineStr">
        <is>
          <t>AK</t>
        </is>
      </c>
      <c r="F5" s="6" t="n"/>
      <c r="G5" s="6" t="inlineStr">
        <is>
          <t>March</t>
        </is>
      </c>
      <c r="H5" s="6" t="n">
        <v>2020</v>
      </c>
      <c r="I5" s="6" t="n"/>
      <c r="J5" s="6" t="inlineStr">
        <is>
          <t>Not Sent</t>
        </is>
      </c>
      <c r="K5" s="6" t="n"/>
      <c r="L5" s="12" t="inlineStr">
        <is>
          <t>S0215</t>
        </is>
      </c>
      <c r="M5" s="305" t="n">
        <v>3</v>
      </c>
      <c r="N5" s="12" t="inlineStr">
        <is>
          <t xml:space="preserve">Mileage </t>
        </is>
      </c>
      <c r="O5" s="3" t="inlineStr">
        <is>
          <t>Non-Wheel Chair</t>
        </is>
      </c>
      <c r="P5" s="6" t="n"/>
      <c r="Q5" s="236" t="inlineStr">
        <is>
          <t>1 Unit</t>
        </is>
      </c>
      <c r="R5" s="236" t="n">
        <v>25</v>
      </c>
      <c r="S5" s="6" t="n"/>
      <c r="T5" s="16" t="n"/>
      <c r="U5" s="6" t="n"/>
      <c r="V5" s="6" t="n"/>
      <c r="W5" s="6" t="n"/>
      <c r="X5" s="6" t="n"/>
      <c r="Y5" s="6" t="n"/>
      <c r="Z5" s="6" t="n"/>
    </row>
    <row r="6" ht="16.5" customHeight="1" s="237">
      <c r="A6" s="6" t="n"/>
      <c r="B6" s="6" t="n"/>
      <c r="C6" s="6" t="n"/>
      <c r="D6" s="6" t="n"/>
      <c r="E6" s="6" t="inlineStr">
        <is>
          <t>AZ</t>
        </is>
      </c>
      <c r="F6" s="6" t="n"/>
      <c r="G6" s="6" t="inlineStr">
        <is>
          <t>April</t>
        </is>
      </c>
      <c r="H6" s="6" t="n">
        <v>2021</v>
      </c>
      <c r="I6" s="6" t="n"/>
      <c r="J6" s="6" t="n"/>
      <c r="K6" s="6" t="n"/>
      <c r="L6" s="12" t="inlineStr">
        <is>
          <t xml:space="preserve">S0215 </t>
        </is>
      </c>
      <c r="M6" s="305" t="n">
        <v>3</v>
      </c>
      <c r="N6" s="12" t="inlineStr">
        <is>
          <t>Unloaded</t>
        </is>
      </c>
      <c r="O6" s="3" t="inlineStr">
        <is>
          <t>Non-Wheel Chair</t>
        </is>
      </c>
      <c r="P6" s="6" t="n"/>
      <c r="Q6" s="236" t="inlineStr">
        <is>
          <t>2 Unit</t>
        </is>
      </c>
      <c r="R6" s="236" t="n">
        <v>50</v>
      </c>
      <c r="S6" s="6" t="n"/>
      <c r="T6" s="6" t="n"/>
      <c r="U6" s="6" t="n"/>
      <c r="V6" s="6" t="n"/>
      <c r="W6" s="6" t="n"/>
      <c r="X6" s="6" t="n"/>
      <c r="Y6" s="6" t="n"/>
      <c r="Z6" s="6" t="n"/>
    </row>
    <row r="7" ht="16.5" customHeight="1" s="237">
      <c r="A7" s="6" t="n"/>
      <c r="B7" s="6" t="n"/>
      <c r="C7" s="6" t="n"/>
      <c r="D7" s="6" t="n"/>
      <c r="E7" s="6" t="inlineStr">
        <is>
          <t>AR</t>
        </is>
      </c>
      <c r="F7" s="6" t="n"/>
      <c r="G7" s="6" t="inlineStr">
        <is>
          <t>May</t>
        </is>
      </c>
      <c r="H7" s="6" t="n">
        <v>2022</v>
      </c>
      <c r="I7" s="6" t="n"/>
      <c r="J7" s="6" t="n"/>
      <c r="K7" s="6" t="n"/>
      <c r="L7" s="12" t="inlineStr">
        <is>
          <t>S0209</t>
        </is>
      </c>
      <c r="M7" s="305" t="n">
        <v>3</v>
      </c>
      <c r="N7" s="12" t="inlineStr">
        <is>
          <t>Mileage Wheelchair</t>
        </is>
      </c>
      <c r="O7" s="3" t="inlineStr">
        <is>
          <t>Wheel Chair</t>
        </is>
      </c>
      <c r="P7" s="6" t="n"/>
      <c r="Q7" s="236" t="inlineStr">
        <is>
          <t>3 Unit</t>
        </is>
      </c>
      <c r="R7" s="236" t="n">
        <v>75</v>
      </c>
      <c r="S7" s="6" t="n"/>
      <c r="T7" s="6" t="n"/>
      <c r="U7" s="6" t="n"/>
      <c r="V7" s="6" t="n"/>
      <c r="W7" s="6" t="n"/>
      <c r="X7" s="6" t="n"/>
      <c r="Y7" s="6" t="n"/>
      <c r="Z7" s="6" t="n"/>
    </row>
    <row r="8" ht="16.5" customHeight="1" s="237">
      <c r="A8" s="6" t="n"/>
      <c r="B8" s="6" t="n"/>
      <c r="C8" s="6" t="n"/>
      <c r="D8" s="6" t="n"/>
      <c r="E8" s="6" t="inlineStr">
        <is>
          <t>CA</t>
        </is>
      </c>
      <c r="F8" s="6" t="n"/>
      <c r="G8" s="6" t="inlineStr">
        <is>
          <t>June</t>
        </is>
      </c>
      <c r="H8" s="6" t="n">
        <v>2023</v>
      </c>
      <c r="I8" s="6" t="n"/>
      <c r="J8" s="6" t="n"/>
      <c r="K8" s="6" t="n"/>
      <c r="L8" s="12" t="inlineStr">
        <is>
          <t>S0209</t>
        </is>
      </c>
      <c r="M8" s="305" t="n">
        <v>3</v>
      </c>
      <c r="N8" s="12" t="inlineStr">
        <is>
          <t>Wheelchair Unloaded</t>
        </is>
      </c>
      <c r="O8" s="3" t="inlineStr">
        <is>
          <t>Wheel Chair</t>
        </is>
      </c>
      <c r="P8" s="6" t="n"/>
      <c r="Q8" s="236" t="inlineStr">
        <is>
          <t>4 Unit</t>
        </is>
      </c>
      <c r="R8" s="236" t="n">
        <v>100</v>
      </c>
      <c r="S8" s="6" t="n"/>
      <c r="T8" s="6" t="n"/>
      <c r="U8" s="6" t="n"/>
      <c r="V8" s="6" t="n"/>
      <c r="W8" s="6" t="n"/>
      <c r="X8" s="6" t="n"/>
      <c r="Y8" s="6" t="n"/>
      <c r="Z8" s="6" t="n"/>
    </row>
    <row r="9" ht="49.5" customHeight="1" s="237">
      <c r="A9" s="6" t="n"/>
      <c r="B9" s="6" t="n"/>
      <c r="C9" s="6" t="n"/>
      <c r="D9" s="6" t="n"/>
      <c r="E9" s="6" t="inlineStr">
        <is>
          <t>CO</t>
        </is>
      </c>
      <c r="F9" s="6" t="n"/>
      <c r="G9" s="6" t="inlineStr">
        <is>
          <t>July</t>
        </is>
      </c>
      <c r="H9" s="6" t="n">
        <v>2024</v>
      </c>
      <c r="I9" s="6" t="n"/>
      <c r="J9" s="6" t="n"/>
      <c r="K9" s="6" t="n"/>
      <c r="L9" s="3" t="inlineStr">
        <is>
          <t>T2001</t>
        </is>
      </c>
      <c r="M9" s="305" t="n">
        <v>50</v>
      </c>
      <c r="N9" s="20" t="inlineStr">
        <is>
          <t>Non-emergency transportation; patient attendant/escort (per trip)</t>
        </is>
      </c>
      <c r="O9" s="3" t="inlineStr">
        <is>
          <t>Assistance Walker</t>
        </is>
      </c>
      <c r="P9" s="6" t="n"/>
      <c r="Q9" s="236" t="inlineStr">
        <is>
          <t>5 Unit</t>
        </is>
      </c>
      <c r="R9" s="236" t="n">
        <v>125</v>
      </c>
      <c r="S9" s="6" t="n"/>
      <c r="T9" s="6" t="n"/>
      <c r="U9" s="6" t="n"/>
      <c r="V9" s="6" t="n"/>
      <c r="W9" s="6" t="n"/>
      <c r="X9" s="6" t="n"/>
      <c r="Y9" s="6" t="n"/>
      <c r="Z9" s="6" t="n"/>
    </row>
    <row r="10" ht="49.5" customHeight="1" s="237">
      <c r="A10" s="6" t="n"/>
      <c r="B10" s="6" t="n"/>
      <c r="C10" s="6" t="n"/>
      <c r="D10" s="6" t="n"/>
      <c r="E10" s="6" t="inlineStr">
        <is>
          <t>CT</t>
        </is>
      </c>
      <c r="F10" s="6" t="n"/>
      <c r="G10" s="6" t="inlineStr">
        <is>
          <t>August</t>
        </is>
      </c>
      <c r="H10" s="6" t="n">
        <v>2025</v>
      </c>
      <c r="I10" s="6" t="n"/>
      <c r="J10" s="6" t="n"/>
      <c r="K10" s="6" t="n"/>
      <c r="L10" s="3" t="inlineStr">
        <is>
          <t>T2001</t>
        </is>
      </c>
      <c r="M10" s="305" t="n">
        <v>100</v>
      </c>
      <c r="N10" s="20" t="inlineStr">
        <is>
          <t>Non-emergency transportation; patient attendant/escort (per trip)</t>
        </is>
      </c>
      <c r="O10" s="3" t="inlineStr">
        <is>
          <t>Assistance wheelchair</t>
        </is>
      </c>
      <c r="P10" s="6" t="n"/>
      <c r="Q10" s="236" t="inlineStr">
        <is>
          <t>6 Unit</t>
        </is>
      </c>
      <c r="R10" s="236" t="n">
        <v>150</v>
      </c>
      <c r="S10" s="6" t="n"/>
      <c r="T10" s="6" t="n"/>
      <c r="U10" s="6" t="n"/>
      <c r="V10" s="6" t="n"/>
      <c r="W10" s="6" t="n"/>
      <c r="X10" s="6" t="n"/>
      <c r="Y10" s="6" t="n"/>
      <c r="Z10" s="6" t="n"/>
    </row>
    <row r="11" ht="16.5" customHeight="1" s="237">
      <c r="A11" s="6" t="n"/>
      <c r="B11" s="6" t="n"/>
      <c r="C11" s="6" t="n"/>
      <c r="D11" s="6" t="n"/>
      <c r="E11" s="6" t="inlineStr">
        <is>
          <t>DE</t>
        </is>
      </c>
      <c r="F11" s="6" t="n"/>
      <c r="G11" s="6" t="inlineStr">
        <is>
          <t>September</t>
        </is>
      </c>
      <c r="H11" s="6" t="n">
        <v>2026</v>
      </c>
      <c r="I11" s="6" t="n"/>
      <c r="J11" s="6" t="n"/>
      <c r="K11" s="6" t="n"/>
      <c r="L11" s="6" t="n"/>
      <c r="M11" s="10" t="n"/>
      <c r="N11" s="6" t="n"/>
      <c r="O11" s="11" t="n"/>
      <c r="P11" s="6" t="n"/>
      <c r="Q11" s="236" t="inlineStr">
        <is>
          <t>7 Unit</t>
        </is>
      </c>
      <c r="R11" s="236" t="n">
        <v>175</v>
      </c>
      <c r="S11" s="6" t="n"/>
      <c r="T11" s="6" t="n"/>
      <c r="U11" s="6" t="n"/>
      <c r="V11" s="6" t="n"/>
      <c r="W11" s="6" t="n"/>
      <c r="X11" s="6" t="n"/>
      <c r="Y11" s="6" t="n"/>
      <c r="Z11" s="6" t="n"/>
    </row>
    <row r="12" ht="16.5" customHeight="1" s="237">
      <c r="A12" s="6" t="n"/>
      <c r="B12" s="6" t="n"/>
      <c r="C12" s="6" t="n"/>
      <c r="D12" s="6" t="n"/>
      <c r="E12" s="6" t="inlineStr">
        <is>
          <t>FL</t>
        </is>
      </c>
      <c r="F12" s="6" t="n"/>
      <c r="G12" s="6" t="inlineStr">
        <is>
          <t>October</t>
        </is>
      </c>
      <c r="H12" s="6" t="n">
        <v>2027</v>
      </c>
      <c r="I12" s="6" t="n"/>
      <c r="J12" s="6" t="n"/>
      <c r="K12" s="6" t="n"/>
      <c r="L12" s="6" t="n"/>
      <c r="M12" s="10" t="n"/>
      <c r="N12" s="6" t="n"/>
      <c r="O12" s="11" t="n"/>
      <c r="P12" s="6" t="n"/>
      <c r="Q12" s="236" t="inlineStr">
        <is>
          <t>8 Unit</t>
        </is>
      </c>
      <c r="R12" s="236" t="n">
        <v>200</v>
      </c>
      <c r="S12" s="6" t="n"/>
      <c r="T12" s="6" t="n"/>
      <c r="U12" s="6" t="n"/>
      <c r="V12" s="6" t="n"/>
      <c r="W12" s="6" t="n"/>
      <c r="X12" s="6" t="n"/>
      <c r="Y12" s="6" t="n"/>
      <c r="Z12" s="6" t="n"/>
    </row>
    <row r="13" ht="16.5" customHeight="1" s="237">
      <c r="A13" s="6" t="n"/>
      <c r="B13" s="6" t="n"/>
      <c r="C13" s="6" t="n"/>
      <c r="D13" s="6" t="n"/>
      <c r="E13" s="6" t="inlineStr">
        <is>
          <t>GA</t>
        </is>
      </c>
      <c r="F13" s="6" t="n"/>
      <c r="G13" s="6" t="inlineStr">
        <is>
          <t>November</t>
        </is>
      </c>
      <c r="H13" s="6" t="n">
        <v>2028</v>
      </c>
      <c r="I13" s="6" t="n"/>
      <c r="J13" s="6" t="n"/>
      <c r="K13" s="6" t="n"/>
      <c r="L13" s="6" t="n"/>
      <c r="M13" s="10" t="n"/>
      <c r="N13" s="6" t="n"/>
      <c r="O13" s="11" t="n"/>
      <c r="P13" s="6" t="n"/>
      <c r="Q13" s="236" t="inlineStr">
        <is>
          <t>9 Unit</t>
        </is>
      </c>
      <c r="R13" s="236" t="n">
        <v>225</v>
      </c>
      <c r="S13" s="6" t="n"/>
      <c r="T13" s="6" t="n"/>
      <c r="U13" s="6" t="n"/>
      <c r="V13" s="6" t="n"/>
      <c r="W13" s="6" t="n"/>
      <c r="X13" s="6" t="n"/>
      <c r="Y13" s="6" t="n"/>
      <c r="Z13" s="6" t="n"/>
    </row>
    <row r="14" ht="16.5" customHeight="1" s="237">
      <c r="A14" s="6" t="n"/>
      <c r="B14" s="6" t="n"/>
      <c r="C14" s="6" t="n"/>
      <c r="D14" s="6" t="n"/>
      <c r="E14" s="6" t="inlineStr">
        <is>
          <t>HI</t>
        </is>
      </c>
      <c r="F14" s="6" t="n"/>
      <c r="G14" s="6" t="inlineStr">
        <is>
          <t>December</t>
        </is>
      </c>
      <c r="H14" s="6" t="n">
        <v>2029</v>
      </c>
      <c r="I14" s="6" t="n"/>
      <c r="J14" s="6" t="n"/>
      <c r="K14" s="6" t="n"/>
      <c r="L14" s="6" t="n"/>
      <c r="M14" s="10" t="n"/>
      <c r="N14" s="6" t="n"/>
      <c r="O14" s="11" t="n"/>
      <c r="P14" s="6" t="n"/>
      <c r="Q14" s="236" t="inlineStr">
        <is>
          <t>10 Unit</t>
        </is>
      </c>
      <c r="R14" s="236" t="n">
        <v>250</v>
      </c>
      <c r="S14" s="6" t="n"/>
      <c r="T14" s="6" t="n"/>
      <c r="U14" s="6" t="n"/>
      <c r="V14" s="6" t="n"/>
      <c r="W14" s="6" t="n"/>
      <c r="X14" s="6" t="n"/>
      <c r="Y14" s="6" t="n"/>
      <c r="Z14" s="6" t="n"/>
    </row>
    <row r="15" ht="16.5" customHeight="1" s="237">
      <c r="A15" s="6" t="n"/>
      <c r="B15" s="6" t="n"/>
      <c r="C15" s="6" t="n"/>
      <c r="D15" s="6" t="n"/>
      <c r="E15" s="6" t="inlineStr">
        <is>
          <t>ID</t>
        </is>
      </c>
      <c r="F15" s="6" t="n"/>
      <c r="G15" s="6" t="n"/>
      <c r="H15" s="6" t="n">
        <v>2030</v>
      </c>
      <c r="I15" s="6" t="n"/>
      <c r="J15" s="6" t="n"/>
      <c r="K15" s="6" t="n"/>
      <c r="L15" s="6" t="n"/>
      <c r="M15" s="10" t="n"/>
      <c r="N15" s="6" t="n"/>
      <c r="O15" s="11" t="n"/>
      <c r="P15" s="6" t="n"/>
      <c r="Q15" s="236" t="inlineStr">
        <is>
          <t>11 Unit</t>
        </is>
      </c>
      <c r="R15" s="236" t="n">
        <v>275</v>
      </c>
      <c r="S15" s="6" t="n"/>
      <c r="T15" s="6" t="n"/>
      <c r="U15" s="6" t="n"/>
      <c r="V15" s="6" t="n"/>
      <c r="W15" s="6" t="n"/>
      <c r="X15" s="6" t="n"/>
      <c r="Y15" s="6" t="n"/>
      <c r="Z15" s="6" t="n"/>
    </row>
    <row r="16" ht="16.5" customHeight="1" s="237">
      <c r="A16" s="6" t="n"/>
      <c r="B16" s="6" t="n"/>
      <c r="C16" s="6" t="n"/>
      <c r="D16" s="6" t="n"/>
      <c r="E16" s="6" t="inlineStr">
        <is>
          <t>IL</t>
        </is>
      </c>
      <c r="F16" s="6" t="n"/>
      <c r="G16" s="6" t="n"/>
      <c r="H16" s="6" t="n"/>
      <c r="I16" s="6" t="n"/>
      <c r="J16" s="6" t="n"/>
      <c r="K16" s="6" t="n"/>
      <c r="L16" s="6" t="n"/>
      <c r="M16" s="10" t="n"/>
      <c r="N16" s="6" t="n"/>
      <c r="O16" s="11" t="n"/>
      <c r="P16" s="6" t="n"/>
      <c r="Q16" s="236" t="inlineStr">
        <is>
          <t>12 Unit</t>
        </is>
      </c>
      <c r="R16" s="236" t="n">
        <v>300</v>
      </c>
      <c r="S16" s="6" t="n"/>
      <c r="T16" s="6" t="n"/>
      <c r="U16" s="6" t="n"/>
      <c r="V16" s="6" t="n"/>
      <c r="W16" s="6" t="n"/>
      <c r="X16" s="6" t="n"/>
      <c r="Y16" s="6" t="n"/>
      <c r="Z16" s="6" t="n"/>
    </row>
    <row r="17" ht="16.5" customHeight="1" s="237">
      <c r="A17" s="6" t="n"/>
      <c r="B17" s="6" t="n"/>
      <c r="C17" s="6" t="n"/>
      <c r="D17" s="6" t="n"/>
      <c r="E17" s="6" t="inlineStr">
        <is>
          <t>IN</t>
        </is>
      </c>
      <c r="F17" s="6" t="n"/>
      <c r="G17" s="6" t="n"/>
      <c r="H17" s="6" t="n"/>
      <c r="I17" s="6" t="n"/>
      <c r="J17" s="6" t="n"/>
      <c r="K17" s="6" t="n"/>
      <c r="L17" s="6" t="n"/>
      <c r="M17" s="10" t="n"/>
      <c r="N17" s="6" t="n"/>
      <c r="O17" s="11" t="n"/>
      <c r="P17" s="6" t="n"/>
      <c r="Q17" s="236" t="inlineStr">
        <is>
          <t>13 Unit</t>
        </is>
      </c>
      <c r="R17" s="236" t="n">
        <v>325</v>
      </c>
      <c r="S17" s="6" t="n"/>
      <c r="T17" s="6" t="n"/>
      <c r="U17" s="6" t="n"/>
      <c r="V17" s="6" t="n"/>
      <c r="W17" s="6" t="n"/>
      <c r="X17" s="6" t="n"/>
      <c r="Y17" s="6" t="n"/>
      <c r="Z17" s="6" t="n"/>
    </row>
    <row r="18" ht="16.5" customHeight="1" s="237">
      <c r="A18" s="6" t="n"/>
      <c r="B18" s="6" t="n"/>
      <c r="C18" s="6" t="n"/>
      <c r="D18" s="6" t="n"/>
      <c r="E18" s="6" t="inlineStr">
        <is>
          <t>IA</t>
        </is>
      </c>
      <c r="F18" s="6" t="n"/>
      <c r="G18" s="6" t="n"/>
      <c r="H18" s="6" t="n"/>
      <c r="I18" s="6" t="n"/>
      <c r="J18" s="6" t="n"/>
      <c r="K18" s="6" t="n"/>
      <c r="L18" s="6" t="n"/>
      <c r="M18" s="10" t="n"/>
      <c r="N18" s="6" t="n"/>
      <c r="O18" s="11" t="n"/>
      <c r="P18" s="6" t="n"/>
      <c r="Q18" s="236" t="inlineStr">
        <is>
          <t>14 Unit</t>
        </is>
      </c>
      <c r="R18" s="236" t="n">
        <v>350</v>
      </c>
      <c r="S18" s="6" t="n"/>
      <c r="T18" s="6" t="n"/>
      <c r="U18" s="6" t="n"/>
      <c r="V18" s="6" t="n"/>
      <c r="W18" s="6" t="n"/>
      <c r="X18" s="6" t="n"/>
      <c r="Y18" s="6" t="n"/>
      <c r="Z18" s="6" t="n"/>
    </row>
    <row r="19" ht="16.5" customHeight="1" s="237">
      <c r="A19" s="6" t="n"/>
      <c r="B19" s="6" t="n"/>
      <c r="C19" s="6" t="n"/>
      <c r="D19" s="6" t="n"/>
      <c r="E19" s="6" t="inlineStr">
        <is>
          <t>KS</t>
        </is>
      </c>
      <c r="F19" s="6" t="n"/>
      <c r="G19" s="6" t="n"/>
      <c r="H19" s="6" t="n"/>
      <c r="I19" s="6" t="n"/>
      <c r="J19" s="6" t="n"/>
      <c r="K19" s="6" t="n"/>
      <c r="L19" s="6" t="n"/>
      <c r="M19" s="10" t="n"/>
      <c r="N19" s="6" t="n"/>
      <c r="O19" s="11" t="n"/>
      <c r="P19" s="6" t="n"/>
      <c r="Q19" s="236" t="inlineStr">
        <is>
          <t>15 Unit</t>
        </is>
      </c>
      <c r="R19" s="236" t="n">
        <v>375</v>
      </c>
      <c r="S19" s="6" t="n"/>
      <c r="T19" s="6" t="n"/>
      <c r="U19" s="6" t="n"/>
      <c r="V19" s="6" t="n"/>
      <c r="W19" s="6" t="n"/>
      <c r="X19" s="6" t="n"/>
      <c r="Y19" s="6" t="n"/>
      <c r="Z19" s="6" t="n"/>
    </row>
    <row r="20" ht="16.5" customHeight="1" s="237">
      <c r="A20" s="6" t="n"/>
      <c r="B20" s="6" t="n"/>
      <c r="C20" s="6" t="n"/>
      <c r="D20" s="6" t="n"/>
      <c r="E20" s="6" t="inlineStr">
        <is>
          <t>KY</t>
        </is>
      </c>
      <c r="F20" s="6" t="n"/>
      <c r="G20" s="6" t="n"/>
      <c r="H20" s="6" t="n"/>
      <c r="I20" s="6" t="n"/>
      <c r="J20" s="6" t="n"/>
      <c r="K20" s="6" t="n"/>
      <c r="L20" s="6" t="n"/>
      <c r="M20" s="10" t="n"/>
      <c r="N20" s="6" t="n"/>
      <c r="O20" s="11" t="n"/>
      <c r="P20" s="6" t="n"/>
      <c r="Q20" s="236" t="inlineStr">
        <is>
          <t>16 Unit</t>
        </is>
      </c>
      <c r="R20" s="236" t="n">
        <v>400</v>
      </c>
      <c r="S20" s="6" t="n"/>
      <c r="T20" s="6" t="n"/>
      <c r="U20" s="6" t="n"/>
      <c r="V20" s="6" t="n"/>
      <c r="W20" s="6" t="n"/>
      <c r="X20" s="6" t="n"/>
      <c r="Y20" s="6" t="n"/>
      <c r="Z20" s="6" t="n"/>
    </row>
    <row r="21" ht="16.5" customHeight="1" s="237">
      <c r="A21" s="6" t="n"/>
      <c r="B21" s="6" t="n"/>
      <c r="C21" s="6" t="n"/>
      <c r="D21" s="6" t="n"/>
      <c r="E21" s="6" t="inlineStr">
        <is>
          <t>LA</t>
        </is>
      </c>
      <c r="F21" s="6" t="n"/>
      <c r="G21" s="6" t="n"/>
      <c r="H21" s="6" t="n"/>
      <c r="I21" s="6" t="n"/>
      <c r="J21" s="6" t="n"/>
      <c r="K21" s="6" t="n"/>
      <c r="L21" s="6" t="n"/>
      <c r="M21" s="10" t="n"/>
      <c r="N21" s="6" t="n"/>
      <c r="O21" s="11" t="n"/>
      <c r="P21" s="6" t="n"/>
      <c r="Q21" s="236" t="inlineStr">
        <is>
          <t>17 Unit</t>
        </is>
      </c>
      <c r="R21" s="236" t="n">
        <v>425</v>
      </c>
      <c r="S21" s="6" t="n"/>
      <c r="T21" s="6" t="n"/>
      <c r="U21" s="6" t="n"/>
      <c r="V21" s="6" t="n"/>
      <c r="W21" s="6" t="n"/>
      <c r="X21" s="6" t="n"/>
      <c r="Y21" s="6" t="n"/>
      <c r="Z21" s="6" t="n"/>
    </row>
    <row r="22" ht="16.5" customHeight="1" s="237">
      <c r="A22" s="6" t="n"/>
      <c r="B22" s="6" t="n"/>
      <c r="C22" s="6" t="n"/>
      <c r="D22" s="6" t="n"/>
      <c r="E22" s="6" t="inlineStr">
        <is>
          <t>ME</t>
        </is>
      </c>
      <c r="F22" s="6" t="n"/>
      <c r="G22" s="6" t="n"/>
      <c r="H22" s="6" t="n"/>
      <c r="I22" s="6" t="n"/>
      <c r="J22" s="6" t="n"/>
      <c r="K22" s="6" t="n"/>
      <c r="L22" s="6" t="n"/>
      <c r="M22" s="10" t="n"/>
      <c r="N22" s="6" t="n"/>
      <c r="O22" s="11" t="n"/>
      <c r="P22" s="6" t="n"/>
      <c r="Q22" s="236" t="inlineStr">
        <is>
          <t>18 Unit</t>
        </is>
      </c>
      <c r="R22" s="236" t="n">
        <v>450</v>
      </c>
      <c r="S22" s="6" t="n"/>
      <c r="T22" s="6" t="n"/>
      <c r="U22" s="6" t="n"/>
      <c r="V22" s="6" t="n"/>
      <c r="W22" s="6" t="n"/>
      <c r="X22" s="6" t="n"/>
      <c r="Y22" s="6" t="n"/>
      <c r="Z22" s="6" t="n"/>
    </row>
    <row r="23" ht="16.5" customHeight="1" s="237">
      <c r="A23" s="6" t="n"/>
      <c r="B23" s="6" t="n"/>
      <c r="C23" s="6" t="n"/>
      <c r="D23" s="6" t="n"/>
      <c r="E23" s="6" t="inlineStr">
        <is>
          <t>MD</t>
        </is>
      </c>
      <c r="F23" s="6" t="n"/>
      <c r="G23" s="6" t="n"/>
      <c r="H23" s="6" t="n"/>
      <c r="I23" s="6" t="n"/>
      <c r="J23" s="6" t="n"/>
      <c r="K23" s="6" t="n"/>
      <c r="L23" s="6" t="n"/>
      <c r="M23" s="10" t="n"/>
      <c r="N23" s="6" t="n"/>
      <c r="O23" s="11" t="n"/>
      <c r="P23" s="6" t="n"/>
      <c r="Q23" s="236" t="inlineStr">
        <is>
          <t>19 Unit</t>
        </is>
      </c>
      <c r="R23" s="236" t="n">
        <v>475</v>
      </c>
      <c r="S23" s="6" t="n"/>
      <c r="T23" s="6" t="n"/>
      <c r="U23" s="6" t="n"/>
      <c r="V23" s="6" t="n"/>
      <c r="W23" s="6" t="n"/>
      <c r="X23" s="6" t="n"/>
      <c r="Y23" s="6" t="n"/>
      <c r="Z23" s="6" t="n"/>
    </row>
    <row r="24" ht="16.5" customHeight="1" s="237">
      <c r="A24" s="6" t="n"/>
      <c r="B24" s="6" t="n"/>
      <c r="C24" s="6" t="n"/>
      <c r="D24" s="6" t="n"/>
      <c r="E24" s="6" t="inlineStr">
        <is>
          <t>MA</t>
        </is>
      </c>
      <c r="F24" s="6" t="n"/>
      <c r="G24" s="6" t="n"/>
      <c r="H24" s="6" t="n"/>
      <c r="I24" s="6" t="n"/>
      <c r="J24" s="6" t="n"/>
      <c r="K24" s="6" t="n"/>
      <c r="L24" s="6" t="n"/>
      <c r="M24" s="10" t="n"/>
      <c r="N24" s="6" t="n"/>
      <c r="O24" s="11" t="n"/>
      <c r="P24" s="6" t="n"/>
      <c r="Q24" s="236" t="inlineStr">
        <is>
          <t>20 Unit</t>
        </is>
      </c>
      <c r="R24" s="236" t="n">
        <v>500</v>
      </c>
      <c r="S24" s="6" t="n"/>
      <c r="T24" s="6" t="n"/>
      <c r="U24" s="6" t="n"/>
      <c r="V24" s="6" t="n"/>
      <c r="W24" s="6" t="n"/>
      <c r="X24" s="6" t="n"/>
      <c r="Y24" s="6" t="n"/>
      <c r="Z24" s="6" t="n"/>
    </row>
    <row r="25" ht="16.5" customHeight="1" s="237">
      <c r="A25" s="6" t="n"/>
      <c r="B25" s="6" t="n"/>
      <c r="C25" s="6" t="n"/>
      <c r="D25" s="6" t="n"/>
      <c r="E25" s="6" t="inlineStr">
        <is>
          <t>MI</t>
        </is>
      </c>
      <c r="F25" s="6" t="n"/>
      <c r="G25" s="6" t="n"/>
      <c r="H25" s="6" t="n"/>
      <c r="I25" s="6" t="n"/>
      <c r="J25" s="6" t="n"/>
      <c r="K25" s="6" t="n"/>
      <c r="L25" s="6" t="n"/>
      <c r="M25" s="10" t="n"/>
      <c r="N25" s="6" t="n"/>
      <c r="O25" s="11" t="n"/>
      <c r="P25" s="6" t="n"/>
      <c r="Q25" s="23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</row>
    <row r="26" ht="16.5" customHeight="1" s="237">
      <c r="A26" s="6" t="n"/>
      <c r="B26" s="6" t="n"/>
      <c r="C26" s="6" t="n"/>
      <c r="D26" s="6" t="n"/>
      <c r="E26" s="6" t="inlineStr">
        <is>
          <t>MN</t>
        </is>
      </c>
      <c r="F26" s="6" t="n"/>
      <c r="G26" s="6" t="n"/>
      <c r="H26" s="6" t="n"/>
      <c r="I26" s="6" t="n"/>
      <c r="J26" s="6" t="n"/>
      <c r="K26" s="6" t="n"/>
      <c r="L26" s="6" t="n"/>
      <c r="M26" s="10" t="n"/>
      <c r="N26" s="6" t="n"/>
      <c r="O26" s="11" t="n"/>
      <c r="P26" s="6" t="n"/>
      <c r="Q26" s="23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</row>
    <row r="27" ht="16.5" customHeight="1" s="237">
      <c r="A27" s="6" t="n"/>
      <c r="B27" s="6" t="n"/>
      <c r="C27" s="6" t="n"/>
      <c r="D27" s="6" t="n"/>
      <c r="E27" s="6" t="inlineStr">
        <is>
          <t>MS</t>
        </is>
      </c>
      <c r="F27" s="6" t="n"/>
      <c r="G27" s="6" t="n"/>
      <c r="H27" s="6" t="n"/>
      <c r="I27" s="6" t="n"/>
      <c r="J27" s="6" t="n"/>
      <c r="K27" s="6" t="n"/>
      <c r="L27" s="6" t="n"/>
      <c r="M27" s="10" t="n"/>
      <c r="N27" s="6" t="n"/>
      <c r="O27" s="11" t="n"/>
      <c r="P27" s="6" t="n"/>
      <c r="Q27" s="23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</row>
    <row r="28" ht="16.5" customHeight="1" s="237">
      <c r="A28" s="6" t="n"/>
      <c r="B28" s="6" t="n"/>
      <c r="C28" s="6" t="n"/>
      <c r="D28" s="6" t="n"/>
      <c r="E28" s="6" t="inlineStr">
        <is>
          <t>MO</t>
        </is>
      </c>
      <c r="F28" s="6" t="n"/>
      <c r="G28" s="6" t="n"/>
      <c r="H28" s="6" t="n"/>
      <c r="I28" s="6" t="n"/>
      <c r="J28" s="6" t="n"/>
      <c r="K28" s="6" t="n"/>
      <c r="L28" s="6" t="n"/>
      <c r="M28" s="10" t="n"/>
      <c r="N28" s="6" t="n"/>
      <c r="O28" s="11" t="n"/>
      <c r="P28" s="6" t="n"/>
      <c r="Q28" s="23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</row>
    <row r="29" ht="16.5" customHeight="1" s="237">
      <c r="A29" s="6" t="n"/>
      <c r="B29" s="6" t="n"/>
      <c r="C29" s="6" t="n"/>
      <c r="D29" s="6" t="n"/>
      <c r="E29" s="6" t="inlineStr">
        <is>
          <t>MT</t>
        </is>
      </c>
      <c r="F29" s="6" t="n"/>
      <c r="G29" s="6" t="n"/>
      <c r="H29" s="6" t="n"/>
      <c r="I29" s="6" t="n"/>
      <c r="J29" s="6" t="n"/>
      <c r="K29" s="6" t="n"/>
      <c r="L29" s="6" t="n"/>
      <c r="M29" s="10" t="n"/>
      <c r="N29" s="6" t="n"/>
      <c r="O29" s="11" t="n"/>
      <c r="P29" s="6" t="n"/>
      <c r="Q29" s="23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</row>
    <row r="30" ht="16.5" customHeight="1" s="237">
      <c r="A30" s="6" t="n"/>
      <c r="B30" s="6" t="n"/>
      <c r="C30" s="6" t="n"/>
      <c r="D30" s="6" t="n"/>
      <c r="E30" s="6" t="inlineStr">
        <is>
          <t>NE</t>
        </is>
      </c>
      <c r="F30" s="6" t="n"/>
      <c r="G30" s="6" t="n"/>
      <c r="H30" s="6" t="n"/>
      <c r="I30" s="6" t="n"/>
      <c r="J30" s="6" t="n"/>
      <c r="K30" s="6" t="n"/>
      <c r="L30" s="6" t="n"/>
      <c r="M30" s="10" t="n"/>
      <c r="N30" s="6" t="n"/>
      <c r="O30" s="11" t="n"/>
      <c r="P30" s="6" t="n"/>
      <c r="Q30" s="23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</row>
    <row r="31" ht="16.5" customHeight="1" s="237">
      <c r="A31" s="6" t="n"/>
      <c r="B31" s="6" t="n"/>
      <c r="C31" s="6" t="n"/>
      <c r="D31" s="6" t="n"/>
      <c r="E31" s="6" t="inlineStr">
        <is>
          <t>NV</t>
        </is>
      </c>
      <c r="F31" s="6" t="n"/>
      <c r="G31" s="6" t="n"/>
      <c r="H31" s="6" t="n"/>
      <c r="I31" s="6" t="n"/>
      <c r="J31" s="6" t="n"/>
      <c r="K31" s="6" t="n"/>
      <c r="L31" s="6" t="n"/>
      <c r="M31" s="10" t="n"/>
      <c r="N31" s="6" t="n"/>
      <c r="O31" s="11" t="n"/>
      <c r="P31" s="6" t="n"/>
      <c r="Q31" s="23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</row>
    <row r="32" ht="16.5" customHeight="1" s="237">
      <c r="A32" s="6" t="n"/>
      <c r="B32" s="6" t="n"/>
      <c r="C32" s="6" t="n"/>
      <c r="D32" s="6" t="n"/>
      <c r="E32" s="6" t="inlineStr">
        <is>
          <t>NH</t>
        </is>
      </c>
      <c r="F32" s="6" t="n"/>
      <c r="G32" s="6" t="n"/>
      <c r="H32" s="6" t="n"/>
      <c r="I32" s="6" t="n"/>
      <c r="J32" s="6" t="n"/>
      <c r="K32" s="6" t="n"/>
      <c r="L32" s="6" t="n"/>
      <c r="M32" s="10" t="n"/>
      <c r="N32" s="6" t="n"/>
      <c r="O32" s="11" t="n"/>
      <c r="P32" s="6" t="n"/>
      <c r="Q32" s="23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</row>
    <row r="33" ht="16.5" customHeight="1" s="237">
      <c r="A33" s="6" t="n"/>
      <c r="B33" s="6" t="n"/>
      <c r="C33" s="6" t="n"/>
      <c r="D33" s="6" t="n"/>
      <c r="E33" s="6" t="inlineStr">
        <is>
          <t>NJ</t>
        </is>
      </c>
      <c r="F33" s="6" t="n"/>
      <c r="G33" s="6" t="n"/>
      <c r="H33" s="6" t="n"/>
      <c r="I33" s="6" t="n"/>
      <c r="J33" s="6" t="n"/>
      <c r="K33" s="6" t="n"/>
      <c r="L33" s="6" t="n"/>
      <c r="M33" s="10" t="n"/>
      <c r="N33" s="6" t="n"/>
      <c r="O33" s="11" t="n"/>
      <c r="P33" s="6" t="n"/>
      <c r="Q33" s="23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</row>
    <row r="34" ht="16.5" customHeight="1" s="237">
      <c r="A34" s="6" t="n"/>
      <c r="B34" s="6" t="n"/>
      <c r="C34" s="6" t="n"/>
      <c r="D34" s="6" t="n"/>
      <c r="E34" s="6" t="inlineStr">
        <is>
          <t>NM</t>
        </is>
      </c>
      <c r="F34" s="6" t="n"/>
      <c r="G34" s="6" t="n"/>
      <c r="H34" s="6" t="n"/>
      <c r="I34" s="6" t="n"/>
      <c r="J34" s="6" t="n"/>
      <c r="K34" s="6" t="n"/>
      <c r="L34" s="6" t="n"/>
      <c r="M34" s="10" t="n"/>
      <c r="N34" s="6" t="n"/>
      <c r="O34" s="11" t="n"/>
      <c r="P34" s="6" t="n"/>
      <c r="Q34" s="23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</row>
    <row r="35" ht="16.5" customHeight="1" s="237">
      <c r="A35" s="6" t="n"/>
      <c r="B35" s="6" t="n"/>
      <c r="C35" s="6" t="n"/>
      <c r="D35" s="6" t="n"/>
      <c r="E35" s="6" t="inlineStr">
        <is>
          <t>NY</t>
        </is>
      </c>
      <c r="F35" s="6" t="n"/>
      <c r="G35" s="6" t="n"/>
      <c r="H35" s="6" t="n"/>
      <c r="I35" s="6" t="n"/>
      <c r="J35" s="6" t="n"/>
      <c r="K35" s="6" t="n"/>
      <c r="L35" s="6" t="n"/>
      <c r="M35" s="10" t="n"/>
      <c r="N35" s="6" t="n"/>
      <c r="O35" s="11" t="n"/>
      <c r="P35" s="6" t="n"/>
      <c r="Q35" s="23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</row>
    <row r="36" ht="16.5" customHeight="1" s="237">
      <c r="A36" s="6" t="n"/>
      <c r="B36" s="6" t="n"/>
      <c r="C36" s="6" t="n"/>
      <c r="D36" s="6" t="n"/>
      <c r="E36" s="6" t="inlineStr">
        <is>
          <t>NC</t>
        </is>
      </c>
      <c r="F36" s="6" t="n"/>
      <c r="G36" s="6" t="n"/>
      <c r="H36" s="6" t="n"/>
      <c r="I36" s="6" t="n"/>
      <c r="J36" s="6" t="n"/>
      <c r="K36" s="6" t="n"/>
      <c r="L36" s="6" t="n"/>
      <c r="M36" s="10" t="n"/>
      <c r="N36" s="6" t="n"/>
      <c r="O36" s="11" t="n"/>
      <c r="P36" s="6" t="n"/>
      <c r="Q36" s="23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</row>
    <row r="37" ht="16.5" customHeight="1" s="237">
      <c r="A37" s="6" t="n"/>
      <c r="B37" s="6" t="n"/>
      <c r="C37" s="6" t="n"/>
      <c r="D37" s="6" t="n"/>
      <c r="E37" s="6" t="inlineStr">
        <is>
          <t>ND</t>
        </is>
      </c>
      <c r="F37" s="6" t="n"/>
      <c r="G37" s="6" t="n"/>
      <c r="H37" s="6" t="n"/>
      <c r="I37" s="6" t="n"/>
      <c r="J37" s="6" t="n"/>
      <c r="K37" s="6" t="n"/>
      <c r="L37" s="6" t="n"/>
      <c r="M37" s="10" t="n"/>
      <c r="N37" s="6" t="n"/>
      <c r="O37" s="11" t="n"/>
      <c r="P37" s="6" t="n"/>
      <c r="Q37" s="236" t="n"/>
      <c r="R37" s="6" t="n"/>
      <c r="S37" s="6" t="n"/>
      <c r="T37" s="6" t="n"/>
      <c r="U37" s="6" t="n"/>
      <c r="V37" s="6" t="n"/>
      <c r="W37" s="6" t="n"/>
      <c r="X37" s="6" t="n"/>
      <c r="Y37" s="6" t="n"/>
      <c r="Z37" s="6" t="n"/>
    </row>
    <row r="38" ht="16.5" customHeight="1" s="237">
      <c r="A38" s="6" t="n"/>
      <c r="B38" s="6" t="n"/>
      <c r="C38" s="6" t="n"/>
      <c r="D38" s="6" t="n"/>
      <c r="E38" s="6" t="inlineStr">
        <is>
          <t>OH</t>
        </is>
      </c>
      <c r="F38" s="6" t="n"/>
      <c r="G38" s="6" t="n"/>
      <c r="H38" s="6" t="n"/>
      <c r="I38" s="6" t="n"/>
      <c r="J38" s="6" t="n"/>
      <c r="K38" s="6" t="n"/>
      <c r="L38" s="6" t="n"/>
      <c r="M38" s="10" t="n"/>
      <c r="N38" s="6" t="n"/>
      <c r="O38" s="11" t="n"/>
      <c r="P38" s="6" t="n"/>
      <c r="Q38" s="236" t="n"/>
      <c r="R38" s="6" t="n"/>
      <c r="S38" s="6" t="n"/>
      <c r="T38" s="6" t="n"/>
      <c r="U38" s="6" t="n"/>
      <c r="V38" s="6" t="n"/>
      <c r="W38" s="6" t="n"/>
      <c r="X38" s="6" t="n"/>
      <c r="Y38" s="6" t="n"/>
      <c r="Z38" s="6" t="n"/>
    </row>
    <row r="39" ht="16.5" customHeight="1" s="237">
      <c r="A39" s="6" t="n"/>
      <c r="B39" s="6" t="n"/>
      <c r="C39" s="6" t="n"/>
      <c r="D39" s="6" t="n"/>
      <c r="E39" s="6" t="inlineStr">
        <is>
          <t>OK</t>
        </is>
      </c>
      <c r="F39" s="6" t="n"/>
      <c r="G39" s="6" t="n"/>
      <c r="H39" s="6" t="n"/>
      <c r="I39" s="6" t="n"/>
      <c r="J39" s="6" t="n"/>
      <c r="K39" s="6" t="n"/>
      <c r="L39" s="6" t="n"/>
      <c r="M39" s="10" t="n"/>
      <c r="N39" s="6" t="n"/>
      <c r="O39" s="11" t="n"/>
      <c r="P39" s="6" t="n"/>
      <c r="Q39" s="23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</row>
    <row r="40" ht="16.5" customHeight="1" s="237">
      <c r="A40" s="6" t="n"/>
      <c r="B40" s="6" t="n"/>
      <c r="C40" s="6" t="n"/>
      <c r="D40" s="6" t="n"/>
      <c r="E40" s="6" t="inlineStr">
        <is>
          <t>OR</t>
        </is>
      </c>
      <c r="F40" s="6" t="n"/>
      <c r="G40" s="6" t="n"/>
      <c r="H40" s="6" t="n"/>
      <c r="I40" s="6" t="n"/>
      <c r="J40" s="6" t="n"/>
      <c r="K40" s="6" t="n"/>
      <c r="L40" s="6" t="n"/>
      <c r="M40" s="10" t="n"/>
      <c r="N40" s="6" t="n"/>
      <c r="O40" s="11" t="n"/>
      <c r="P40" s="6" t="n"/>
      <c r="Q40" s="23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</row>
    <row r="41" ht="16.5" customHeight="1" s="237">
      <c r="A41" s="6" t="n"/>
      <c r="B41" s="6" t="n"/>
      <c r="C41" s="6" t="n"/>
      <c r="D41" s="6" t="n"/>
      <c r="E41" s="6" t="inlineStr">
        <is>
          <t>PA</t>
        </is>
      </c>
      <c r="F41" s="6" t="n"/>
      <c r="G41" s="6" t="n"/>
      <c r="H41" s="6" t="n"/>
      <c r="I41" s="6" t="n"/>
      <c r="J41" s="6" t="n"/>
      <c r="K41" s="6" t="n"/>
      <c r="L41" s="6" t="n"/>
      <c r="M41" s="10" t="n"/>
      <c r="N41" s="6" t="n"/>
      <c r="O41" s="11" t="n"/>
      <c r="P41" s="6" t="n"/>
      <c r="Q41" s="23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</row>
    <row r="42" ht="16.5" customHeight="1" s="237">
      <c r="A42" s="6" t="n"/>
      <c r="B42" s="6" t="n"/>
      <c r="C42" s="6" t="n"/>
      <c r="D42" s="6" t="n"/>
      <c r="E42" s="6" t="inlineStr">
        <is>
          <t>RI</t>
        </is>
      </c>
      <c r="F42" s="6" t="n"/>
      <c r="G42" s="6" t="n"/>
      <c r="H42" s="6" t="n"/>
      <c r="I42" s="6" t="n"/>
      <c r="J42" s="6" t="n"/>
      <c r="K42" s="6" t="n"/>
      <c r="L42" s="6" t="n"/>
      <c r="M42" s="10" t="n"/>
      <c r="N42" s="6" t="n"/>
      <c r="O42" s="11" t="n"/>
      <c r="P42" s="6" t="n"/>
      <c r="Q42" s="23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</row>
    <row r="43" ht="16.5" customHeight="1" s="237">
      <c r="A43" s="6" t="n"/>
      <c r="B43" s="6" t="n"/>
      <c r="C43" s="6" t="n"/>
      <c r="D43" s="6" t="n"/>
      <c r="E43" s="6" t="inlineStr">
        <is>
          <t>SC</t>
        </is>
      </c>
      <c r="F43" s="6" t="n"/>
      <c r="G43" s="6" t="n"/>
      <c r="H43" s="6" t="n"/>
      <c r="I43" s="6" t="n"/>
      <c r="J43" s="6" t="n"/>
      <c r="K43" s="6" t="n"/>
      <c r="L43" s="6" t="n"/>
      <c r="M43" s="10" t="n"/>
      <c r="N43" s="6" t="n"/>
      <c r="O43" s="11" t="n"/>
      <c r="P43" s="6" t="n"/>
      <c r="Q43" s="23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</row>
    <row r="44" ht="16.5" customHeight="1" s="237">
      <c r="A44" s="6" t="n"/>
      <c r="B44" s="6" t="n"/>
      <c r="C44" s="6" t="n"/>
      <c r="D44" s="6" t="n"/>
      <c r="E44" s="6" t="inlineStr">
        <is>
          <t>SD</t>
        </is>
      </c>
      <c r="F44" s="6" t="n"/>
      <c r="G44" s="6" t="n"/>
      <c r="H44" s="6" t="n"/>
      <c r="I44" s="6" t="n"/>
      <c r="J44" s="6" t="n"/>
      <c r="K44" s="6" t="n"/>
      <c r="L44" s="6" t="n"/>
      <c r="M44" s="10" t="n"/>
      <c r="N44" s="6" t="n"/>
      <c r="O44" s="11" t="n"/>
      <c r="P44" s="6" t="n"/>
      <c r="Q44" s="23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</row>
    <row r="45" ht="16.5" customHeight="1" s="237">
      <c r="A45" s="6" t="n"/>
      <c r="B45" s="6" t="n"/>
      <c r="C45" s="6" t="n"/>
      <c r="D45" s="6" t="n"/>
      <c r="E45" s="6" t="inlineStr">
        <is>
          <t>TN</t>
        </is>
      </c>
      <c r="F45" s="6" t="n"/>
      <c r="G45" s="6" t="n"/>
      <c r="H45" s="6" t="n"/>
      <c r="I45" s="6" t="n"/>
      <c r="J45" s="6" t="n"/>
      <c r="K45" s="6" t="n"/>
      <c r="L45" s="6" t="n"/>
      <c r="M45" s="10" t="n"/>
      <c r="N45" s="6" t="n"/>
      <c r="O45" s="11" t="n"/>
      <c r="P45" s="6" t="n"/>
      <c r="Q45" s="23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</row>
    <row r="46" ht="16.5" customHeight="1" s="237">
      <c r="A46" s="6" t="n"/>
      <c r="B46" s="6" t="n"/>
      <c r="C46" s="6" t="n"/>
      <c r="D46" s="6" t="n"/>
      <c r="E46" s="6" t="inlineStr">
        <is>
          <t>TX</t>
        </is>
      </c>
      <c r="F46" s="6" t="n"/>
      <c r="G46" s="6" t="n"/>
      <c r="H46" s="6" t="n"/>
      <c r="I46" s="6" t="n"/>
      <c r="J46" s="6" t="n"/>
      <c r="K46" s="6" t="n"/>
      <c r="L46" s="6" t="n"/>
      <c r="M46" s="10" t="n"/>
      <c r="N46" s="6" t="n"/>
      <c r="O46" s="11" t="n"/>
      <c r="P46" s="6" t="n"/>
      <c r="Q46" s="23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</row>
    <row r="47" ht="16.5" customHeight="1" s="237">
      <c r="A47" s="6" t="n"/>
      <c r="B47" s="6" t="n"/>
      <c r="C47" s="6" t="n"/>
      <c r="D47" s="6" t="n"/>
      <c r="E47" s="6" t="inlineStr">
        <is>
          <t>UT</t>
        </is>
      </c>
      <c r="F47" s="6" t="n"/>
      <c r="G47" s="6" t="n"/>
      <c r="H47" s="6" t="n"/>
      <c r="I47" s="6" t="n"/>
      <c r="J47" s="6" t="n"/>
      <c r="K47" s="6" t="n"/>
      <c r="L47" s="6" t="n"/>
      <c r="M47" s="10" t="n"/>
      <c r="N47" s="6" t="n"/>
      <c r="O47" s="11" t="n"/>
      <c r="P47" s="6" t="n"/>
      <c r="Q47" s="23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</row>
    <row r="48" ht="16.5" customHeight="1" s="237">
      <c r="A48" s="6" t="n"/>
      <c r="B48" s="6" t="n"/>
      <c r="C48" s="6" t="n"/>
      <c r="D48" s="6" t="n"/>
      <c r="E48" s="6" t="inlineStr">
        <is>
          <t>VT</t>
        </is>
      </c>
      <c r="F48" s="6" t="n"/>
      <c r="G48" s="6" t="n"/>
      <c r="H48" s="6" t="n"/>
      <c r="I48" s="6" t="n"/>
      <c r="J48" s="6" t="n"/>
      <c r="K48" s="6" t="n"/>
      <c r="L48" s="6" t="n"/>
      <c r="M48" s="10" t="n"/>
      <c r="N48" s="6" t="n"/>
      <c r="O48" s="11" t="n"/>
      <c r="P48" s="6" t="n"/>
      <c r="Q48" s="23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</row>
    <row r="49" ht="16.5" customHeight="1" s="237">
      <c r="A49" s="6" t="n"/>
      <c r="B49" s="6" t="n"/>
      <c r="C49" s="6" t="n"/>
      <c r="D49" s="6" t="n"/>
      <c r="E49" s="6" t="inlineStr">
        <is>
          <t>VA</t>
        </is>
      </c>
      <c r="F49" s="6" t="n"/>
      <c r="G49" s="6" t="n"/>
      <c r="H49" s="6" t="n"/>
      <c r="I49" s="6" t="n"/>
      <c r="J49" s="6" t="n"/>
      <c r="K49" s="6" t="n"/>
      <c r="L49" s="6" t="n"/>
      <c r="M49" s="10" t="n"/>
      <c r="N49" s="6" t="n"/>
      <c r="O49" s="11" t="n"/>
      <c r="P49" s="6" t="n"/>
      <c r="Q49" s="23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</row>
    <row r="50" ht="16.5" customHeight="1" s="237">
      <c r="A50" s="6" t="n"/>
      <c r="B50" s="6" t="n"/>
      <c r="C50" s="6" t="n"/>
      <c r="D50" s="6" t="n"/>
      <c r="E50" s="6" t="inlineStr">
        <is>
          <t>WA</t>
        </is>
      </c>
      <c r="F50" s="6" t="n"/>
      <c r="G50" s="6" t="n"/>
      <c r="H50" s="6" t="n"/>
      <c r="I50" s="6" t="n"/>
      <c r="J50" s="6" t="n"/>
      <c r="K50" s="6" t="n"/>
      <c r="L50" s="6" t="n"/>
      <c r="M50" s="10" t="n"/>
      <c r="N50" s="6" t="n"/>
      <c r="O50" s="11" t="n"/>
      <c r="P50" s="6" t="n"/>
      <c r="Q50" s="23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</row>
    <row r="51" ht="16.5" customHeight="1" s="237">
      <c r="A51" s="6" t="n"/>
      <c r="B51" s="6" t="n"/>
      <c r="C51" s="6" t="n"/>
      <c r="D51" s="6" t="n"/>
      <c r="E51" s="6" t="inlineStr">
        <is>
          <t>WV</t>
        </is>
      </c>
      <c r="F51" s="6" t="n"/>
      <c r="G51" s="6" t="n"/>
      <c r="H51" s="6" t="n"/>
      <c r="I51" s="6" t="n"/>
      <c r="J51" s="6" t="n"/>
      <c r="K51" s="6" t="n"/>
      <c r="L51" s="6" t="n"/>
      <c r="M51" s="10" t="n"/>
      <c r="N51" s="6" t="n"/>
      <c r="O51" s="11" t="n"/>
      <c r="P51" s="6" t="n"/>
      <c r="Q51" s="23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</row>
    <row r="52" ht="16.5" customHeight="1" s="237">
      <c r="A52" s="6" t="n"/>
      <c r="B52" s="6" t="n"/>
      <c r="C52" s="6" t="n"/>
      <c r="D52" s="6" t="n"/>
      <c r="E52" s="6" t="inlineStr">
        <is>
          <t>WI</t>
        </is>
      </c>
      <c r="F52" s="6" t="n"/>
      <c r="G52" s="6" t="n"/>
      <c r="H52" s="6" t="n"/>
      <c r="I52" s="6" t="n"/>
      <c r="J52" s="6" t="n"/>
      <c r="K52" s="6" t="n"/>
      <c r="L52" s="6" t="n"/>
      <c r="M52" s="10" t="n"/>
      <c r="N52" s="6" t="n"/>
      <c r="O52" s="11" t="n"/>
      <c r="P52" s="6" t="n"/>
      <c r="Q52" s="23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</row>
    <row r="53" ht="16.5" customHeight="1" s="237">
      <c r="A53" s="6" t="n"/>
      <c r="B53" s="6" t="n"/>
      <c r="C53" s="6" t="n"/>
      <c r="D53" s="6" t="n"/>
      <c r="E53" s="6" t="inlineStr">
        <is>
          <t>WY</t>
        </is>
      </c>
      <c r="F53" s="6" t="n"/>
      <c r="G53" s="6" t="n"/>
      <c r="H53" s="6" t="n"/>
      <c r="I53" s="6" t="n"/>
      <c r="J53" s="6" t="n"/>
      <c r="K53" s="6" t="n"/>
      <c r="L53" s="6" t="n"/>
      <c r="M53" s="10" t="n"/>
      <c r="N53" s="6" t="n"/>
      <c r="O53" s="11" t="n"/>
      <c r="P53" s="6" t="n"/>
      <c r="Q53" s="23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</row>
    <row r="54" ht="16.5" customHeight="1" s="237">
      <c r="A54" s="6" t="n"/>
      <c r="B54" s="6" t="n"/>
      <c r="C54" s="6" t="n"/>
      <c r="D54" s="6" t="n"/>
      <c r="E54" s="6" t="n"/>
      <c r="F54" s="6" t="n"/>
      <c r="G54" s="6" t="n"/>
      <c r="H54" s="6" t="n"/>
      <c r="I54" s="6" t="n"/>
      <c r="J54" s="6" t="n"/>
      <c r="K54" s="6" t="n"/>
      <c r="L54" s="6" t="n"/>
      <c r="M54" s="10" t="n"/>
      <c r="N54" s="6" t="n"/>
      <c r="O54" s="11" t="n"/>
      <c r="P54" s="6" t="n"/>
      <c r="Q54" s="23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</row>
    <row r="55" ht="16.5" customHeight="1" s="237">
      <c r="A55" s="6" t="n"/>
      <c r="B55" s="6" t="n"/>
      <c r="C55" s="6" t="n"/>
      <c r="D55" s="6" t="n"/>
      <c r="E55" s="6" t="n"/>
      <c r="F55" s="6" t="n"/>
      <c r="G55" s="6" t="n"/>
      <c r="H55" s="6" t="n"/>
      <c r="I55" s="6" t="n"/>
      <c r="J55" s="6" t="n"/>
      <c r="K55" s="6" t="n"/>
      <c r="L55" s="6" t="n"/>
      <c r="M55" s="10" t="n"/>
      <c r="N55" s="6" t="n"/>
      <c r="O55" s="11" t="n"/>
      <c r="P55" s="6" t="n"/>
      <c r="Q55" s="23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</row>
    <row r="56" ht="16.5" customHeight="1" s="237">
      <c r="A56" s="6" t="n"/>
      <c r="B56" s="6" t="n"/>
      <c r="C56" s="6" t="n"/>
      <c r="D56" s="6" t="n"/>
      <c r="E56" s="6" t="n"/>
      <c r="F56" s="6" t="n"/>
      <c r="G56" s="6" t="n"/>
      <c r="H56" s="6" t="n"/>
      <c r="I56" s="6" t="n"/>
      <c r="J56" s="6" t="n"/>
      <c r="K56" s="6" t="n"/>
      <c r="L56" s="6" t="n"/>
      <c r="M56" s="10" t="n"/>
      <c r="N56" s="6" t="n"/>
      <c r="O56" s="11" t="n"/>
      <c r="P56" s="6" t="n"/>
      <c r="Q56" s="23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</row>
    <row r="57" ht="16.5" customHeight="1" s="237">
      <c r="A57" s="6" t="n"/>
      <c r="B57" s="6" t="n"/>
      <c r="C57" s="6" t="n"/>
      <c r="D57" s="6" t="n"/>
      <c r="E57" s="6" t="n"/>
      <c r="F57" s="6" t="n"/>
      <c r="G57" s="6" t="n"/>
      <c r="H57" s="6" t="n"/>
      <c r="I57" s="6" t="n"/>
      <c r="J57" s="6" t="n"/>
      <c r="K57" s="6" t="n"/>
      <c r="L57" s="6" t="n"/>
      <c r="M57" s="10" t="n"/>
      <c r="N57" s="6" t="n"/>
      <c r="O57" s="11" t="n"/>
      <c r="P57" s="6" t="n"/>
      <c r="Q57" s="23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</row>
    <row r="58" ht="16.5" customHeight="1" s="237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  <c r="L58" s="6" t="n"/>
      <c r="M58" s="10" t="n"/>
      <c r="N58" s="6" t="n"/>
      <c r="O58" s="11" t="n"/>
      <c r="P58" s="6" t="n"/>
      <c r="Q58" s="23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</row>
    <row r="59" ht="16.5" customHeight="1" s="237">
      <c r="A59" s="6" t="n"/>
      <c r="B59" s="6" t="n"/>
      <c r="C59" s="6" t="n"/>
      <c r="D59" s="6" t="n"/>
      <c r="E59" s="6" t="n"/>
      <c r="F59" s="6" t="n"/>
      <c r="G59" s="6" t="n"/>
      <c r="H59" s="6" t="n"/>
      <c r="I59" s="6" t="n"/>
      <c r="J59" s="6" t="n"/>
      <c r="K59" s="6" t="n"/>
      <c r="L59" s="6" t="n"/>
      <c r="M59" s="10" t="n"/>
      <c r="N59" s="6" t="n"/>
      <c r="O59" s="11" t="n"/>
      <c r="P59" s="6" t="n"/>
      <c r="Q59" s="23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</row>
    <row r="60" ht="16.5" customHeight="1" s="237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  <c r="L60" s="6" t="n"/>
      <c r="M60" s="10" t="n"/>
      <c r="N60" s="6" t="n"/>
      <c r="O60" s="11" t="n"/>
      <c r="P60" s="6" t="n"/>
      <c r="Q60" s="23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</row>
    <row r="61" ht="16.5" customHeight="1" s="237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  <c r="L61" s="6" t="n"/>
      <c r="M61" s="10" t="n"/>
      <c r="N61" s="6" t="n"/>
      <c r="O61" s="11" t="n"/>
      <c r="P61" s="6" t="n"/>
      <c r="Q61" s="23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</row>
    <row r="62" ht="16.5" customHeight="1" s="237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  <c r="L62" s="6" t="n"/>
      <c r="M62" s="10" t="n"/>
      <c r="N62" s="6" t="n"/>
      <c r="O62" s="11" t="n"/>
      <c r="P62" s="6" t="n"/>
      <c r="Q62" s="23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</row>
    <row r="63" ht="16.5" customHeight="1" s="237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  <c r="L63" s="6" t="n"/>
      <c r="M63" s="10" t="n"/>
      <c r="N63" s="6" t="n"/>
      <c r="O63" s="11" t="n"/>
      <c r="P63" s="6" t="n"/>
      <c r="Q63" s="23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</row>
    <row r="64" ht="16.5" customHeight="1" s="237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  <c r="L64" s="6" t="n"/>
      <c r="M64" s="10" t="n"/>
      <c r="N64" s="6" t="n"/>
      <c r="O64" s="11" t="n"/>
      <c r="P64" s="6" t="n"/>
      <c r="Q64" s="23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</row>
    <row r="65" ht="16.5" customHeight="1" s="237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  <c r="L65" s="6" t="n"/>
      <c r="M65" s="10" t="n"/>
      <c r="N65" s="6" t="n"/>
      <c r="O65" s="11" t="n"/>
      <c r="P65" s="6" t="n"/>
      <c r="Q65" s="23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</row>
    <row r="66" ht="16.5" customHeight="1" s="237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  <c r="L66" s="6" t="n"/>
      <c r="M66" s="10" t="n"/>
      <c r="N66" s="6" t="n"/>
      <c r="O66" s="11" t="n"/>
      <c r="P66" s="6" t="n"/>
      <c r="Q66" s="23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</row>
    <row r="67" ht="16.5" customHeight="1" s="237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  <c r="L67" s="6" t="n"/>
      <c r="M67" s="10" t="n"/>
      <c r="N67" s="6" t="n"/>
      <c r="O67" s="11" t="n"/>
      <c r="P67" s="6" t="n"/>
      <c r="Q67" s="23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</row>
    <row r="68" ht="16.5" customHeight="1" s="237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  <c r="L68" s="6" t="n"/>
      <c r="M68" s="10" t="n"/>
      <c r="N68" s="6" t="n"/>
      <c r="O68" s="11" t="n"/>
      <c r="P68" s="6" t="n"/>
      <c r="Q68" s="23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</row>
    <row r="69" ht="16.5" customHeight="1" s="237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  <c r="L69" s="6" t="n"/>
      <c r="M69" s="10" t="n"/>
      <c r="N69" s="6" t="n"/>
      <c r="O69" s="11" t="n"/>
      <c r="P69" s="6" t="n"/>
      <c r="Q69" s="23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</row>
    <row r="70" ht="16.5" customHeight="1" s="237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  <c r="L70" s="6" t="n"/>
      <c r="M70" s="10" t="n"/>
      <c r="N70" s="6" t="n"/>
      <c r="O70" s="11" t="n"/>
      <c r="P70" s="6" t="n"/>
      <c r="Q70" s="23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</row>
    <row r="71" ht="16.5" customHeight="1" s="237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  <c r="L71" s="6" t="n"/>
      <c r="M71" s="10" t="n"/>
      <c r="N71" s="6" t="n"/>
      <c r="O71" s="11" t="n"/>
      <c r="P71" s="6" t="n"/>
      <c r="Q71" s="23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</row>
    <row r="72" ht="16.5" customHeight="1" s="237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  <c r="L72" s="6" t="n"/>
      <c r="M72" s="10" t="n"/>
      <c r="N72" s="6" t="n"/>
      <c r="O72" s="11" t="n"/>
      <c r="P72" s="6" t="n"/>
      <c r="Q72" s="23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</row>
    <row r="73" ht="16.5" customHeight="1" s="237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  <c r="L73" s="6" t="n"/>
      <c r="M73" s="10" t="n"/>
      <c r="N73" s="6" t="n"/>
      <c r="O73" s="11" t="n"/>
      <c r="P73" s="6" t="n"/>
      <c r="Q73" s="23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</row>
    <row r="74" ht="16.5" customHeight="1" s="237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  <c r="L74" s="6" t="n"/>
      <c r="M74" s="10" t="n"/>
      <c r="N74" s="6" t="n"/>
      <c r="O74" s="11" t="n"/>
      <c r="P74" s="6" t="n"/>
      <c r="Q74" s="23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</row>
    <row r="75" ht="16.5" customHeight="1" s="237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  <c r="L75" s="6" t="n"/>
      <c r="M75" s="10" t="n"/>
      <c r="N75" s="6" t="n"/>
      <c r="O75" s="11" t="n"/>
      <c r="P75" s="6" t="n"/>
      <c r="Q75" s="23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</row>
    <row r="76" ht="16.5" customHeight="1" s="237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  <c r="L76" s="6" t="n"/>
      <c r="M76" s="10" t="n"/>
      <c r="N76" s="6" t="n"/>
      <c r="O76" s="11" t="n"/>
      <c r="P76" s="6" t="n"/>
      <c r="Q76" s="23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</row>
    <row r="77" ht="16.5" customHeight="1" s="237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  <c r="L77" s="6" t="n"/>
      <c r="M77" s="10" t="n"/>
      <c r="N77" s="6" t="n"/>
      <c r="O77" s="11" t="n"/>
      <c r="P77" s="6" t="n"/>
      <c r="Q77" s="23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</row>
    <row r="78" ht="16.5" customHeight="1" s="237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  <c r="L78" s="6" t="n"/>
      <c r="M78" s="10" t="n"/>
      <c r="N78" s="6" t="n"/>
      <c r="O78" s="11" t="n"/>
      <c r="P78" s="6" t="n"/>
      <c r="Q78" s="23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</row>
    <row r="79" ht="16.5" customHeight="1" s="237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  <c r="L79" s="6" t="n"/>
      <c r="M79" s="10" t="n"/>
      <c r="N79" s="6" t="n"/>
      <c r="O79" s="11" t="n"/>
      <c r="P79" s="6" t="n"/>
      <c r="Q79" s="23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</row>
    <row r="80" ht="16.5" customHeight="1" s="237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  <c r="L80" s="6" t="n"/>
      <c r="M80" s="10" t="n"/>
      <c r="N80" s="6" t="n"/>
      <c r="O80" s="11" t="n"/>
      <c r="P80" s="6" t="n"/>
      <c r="Q80" s="23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</row>
    <row r="81" ht="16.5" customHeight="1" s="237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  <c r="L81" s="6" t="n"/>
      <c r="M81" s="10" t="n"/>
      <c r="N81" s="6" t="n"/>
      <c r="O81" s="11" t="n"/>
      <c r="P81" s="6" t="n"/>
      <c r="Q81" s="23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</row>
    <row r="82" ht="16.5" customHeight="1" s="237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  <c r="L82" s="6" t="n"/>
      <c r="M82" s="10" t="n"/>
      <c r="N82" s="6" t="n"/>
      <c r="O82" s="11" t="n"/>
      <c r="P82" s="6" t="n"/>
      <c r="Q82" s="23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</row>
    <row r="83" ht="16.5" customHeight="1" s="237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  <c r="L83" s="6" t="n"/>
      <c r="M83" s="10" t="n"/>
      <c r="N83" s="6" t="n"/>
      <c r="O83" s="11" t="n"/>
      <c r="P83" s="6" t="n"/>
      <c r="Q83" s="23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</row>
    <row r="84" ht="16.5" customHeight="1" s="237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  <c r="L84" s="6" t="n"/>
      <c r="M84" s="10" t="n"/>
      <c r="N84" s="6" t="n"/>
      <c r="O84" s="11" t="n"/>
      <c r="P84" s="6" t="n"/>
      <c r="Q84" s="23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</row>
    <row r="85" ht="16.5" customHeight="1" s="237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  <c r="L85" s="6" t="n"/>
      <c r="M85" s="10" t="n"/>
      <c r="N85" s="6" t="n"/>
      <c r="O85" s="11" t="n"/>
      <c r="P85" s="6" t="n"/>
      <c r="Q85" s="23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</row>
    <row r="86" ht="16.5" customHeight="1" s="237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  <c r="L86" s="6" t="n"/>
      <c r="M86" s="10" t="n"/>
      <c r="N86" s="6" t="n"/>
      <c r="O86" s="11" t="n"/>
      <c r="P86" s="6" t="n"/>
      <c r="Q86" s="23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</row>
    <row r="87" ht="16.5" customHeight="1" s="237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  <c r="M87" s="10" t="n"/>
      <c r="N87" s="6" t="n"/>
      <c r="O87" s="11" t="n"/>
      <c r="P87" s="6" t="n"/>
      <c r="Q87" s="23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</row>
    <row r="88" ht="16.5" customHeight="1" s="237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  <c r="L88" s="6" t="n"/>
      <c r="M88" s="10" t="n"/>
      <c r="N88" s="6" t="n"/>
      <c r="O88" s="11" t="n"/>
      <c r="P88" s="6" t="n"/>
      <c r="Q88" s="23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</row>
    <row r="89" ht="16.5" customHeight="1" s="237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  <c r="L89" s="6" t="n"/>
      <c r="M89" s="10" t="n"/>
      <c r="N89" s="6" t="n"/>
      <c r="O89" s="11" t="n"/>
      <c r="P89" s="6" t="n"/>
      <c r="Q89" s="23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</row>
    <row r="90" ht="16.5" customHeight="1" s="237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  <c r="L90" s="6" t="n"/>
      <c r="M90" s="10" t="n"/>
      <c r="N90" s="6" t="n"/>
      <c r="O90" s="11" t="n"/>
      <c r="P90" s="6" t="n"/>
      <c r="Q90" s="23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</row>
    <row r="91" ht="16.5" customHeight="1" s="237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  <c r="L91" s="6" t="n"/>
      <c r="M91" s="10" t="n"/>
      <c r="N91" s="6" t="n"/>
      <c r="O91" s="11" t="n"/>
      <c r="P91" s="6" t="n"/>
      <c r="Q91" s="23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</row>
    <row r="92" ht="16.5" customHeight="1" s="237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  <c r="L92" s="6" t="n"/>
      <c r="M92" s="10" t="n"/>
      <c r="N92" s="6" t="n"/>
      <c r="O92" s="11" t="n"/>
      <c r="P92" s="6" t="n"/>
      <c r="Q92" s="23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</row>
    <row r="93" ht="16.5" customHeight="1" s="237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  <c r="L93" s="6" t="n"/>
      <c r="M93" s="10" t="n"/>
      <c r="N93" s="6" t="n"/>
      <c r="O93" s="11" t="n"/>
      <c r="P93" s="6" t="n"/>
      <c r="Q93" s="23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</row>
    <row r="94" ht="16.5" customHeight="1" s="237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  <c r="L94" s="6" t="n"/>
      <c r="M94" s="10" t="n"/>
      <c r="N94" s="6" t="n"/>
      <c r="O94" s="11" t="n"/>
      <c r="P94" s="6" t="n"/>
      <c r="Q94" s="23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</row>
    <row r="95" ht="16.5" customHeight="1" s="237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  <c r="L95" s="6" t="n"/>
      <c r="M95" s="10" t="n"/>
      <c r="N95" s="6" t="n"/>
      <c r="O95" s="11" t="n"/>
      <c r="P95" s="6" t="n"/>
      <c r="Q95" s="23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</row>
    <row r="96" ht="16.5" customHeight="1" s="237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  <c r="L96" s="6" t="n"/>
      <c r="M96" s="10" t="n"/>
      <c r="N96" s="6" t="n"/>
      <c r="O96" s="11" t="n"/>
      <c r="P96" s="6" t="n"/>
      <c r="Q96" s="23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</row>
    <row r="97" ht="16.5" customHeight="1" s="237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  <c r="L97" s="6" t="n"/>
      <c r="M97" s="10" t="n"/>
      <c r="N97" s="6" t="n"/>
      <c r="O97" s="11" t="n"/>
      <c r="P97" s="6" t="n"/>
      <c r="Q97" s="23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</row>
    <row r="98" ht="16.5" customHeight="1" s="237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  <c r="L98" s="6" t="n"/>
      <c r="M98" s="10" t="n"/>
      <c r="N98" s="6" t="n"/>
      <c r="O98" s="11" t="n"/>
      <c r="P98" s="6" t="n"/>
      <c r="Q98" s="23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</row>
    <row r="99" ht="16.5" customHeight="1" s="237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  <c r="M99" s="10" t="n"/>
      <c r="N99" s="6" t="n"/>
      <c r="O99" s="11" t="n"/>
      <c r="P99" s="6" t="n"/>
      <c r="Q99" s="23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</row>
    <row r="100" ht="16.5" customHeight="1" s="237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10" t="n"/>
      <c r="N100" s="6" t="n"/>
      <c r="O100" s="11" t="n"/>
      <c r="P100" s="6" t="n"/>
      <c r="Q100" s="23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</row>
    <row r="101" ht="16.5" customHeight="1" s="237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10" t="n"/>
      <c r="N101" s="6" t="n"/>
      <c r="O101" s="11" t="n"/>
      <c r="P101" s="6" t="n"/>
      <c r="Q101" s="23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</row>
    <row r="102" ht="16.5" customHeight="1" s="237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10" t="n"/>
      <c r="N102" s="6" t="n"/>
      <c r="O102" s="11" t="n"/>
      <c r="P102" s="6" t="n"/>
      <c r="Q102" s="23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</row>
    <row r="103" ht="16.5" customHeight="1" s="237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10" t="n"/>
      <c r="N103" s="6" t="n"/>
      <c r="O103" s="11" t="n"/>
      <c r="P103" s="6" t="n"/>
      <c r="Q103" s="23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</row>
    <row r="104" ht="16.5" customHeight="1" s="237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10" t="n"/>
      <c r="N104" s="6" t="n"/>
      <c r="O104" s="11" t="n"/>
      <c r="P104" s="6" t="n"/>
      <c r="Q104" s="23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</row>
    <row r="105" ht="16.5" customHeight="1" s="237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10" t="n"/>
      <c r="N105" s="6" t="n"/>
      <c r="O105" s="11" t="n"/>
      <c r="P105" s="6" t="n"/>
      <c r="Q105" s="23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</row>
    <row r="106" ht="16.5" customHeight="1" s="237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10" t="n"/>
      <c r="N106" s="6" t="n"/>
      <c r="O106" s="11" t="n"/>
      <c r="P106" s="6" t="n"/>
      <c r="Q106" s="23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</row>
    <row r="107" ht="16.5" customHeight="1" s="237">
      <c r="A107" s="6" t="n"/>
      <c r="B107" s="6" t="n"/>
      <c r="C107" s="6" t="n"/>
      <c r="D107" s="6" t="n"/>
      <c r="E107" s="6" t="n"/>
      <c r="F107" s="6" t="n"/>
      <c r="G107" s="6" t="n"/>
      <c r="H107" s="6" t="n"/>
      <c r="I107" s="6" t="n"/>
      <c r="J107" s="6" t="n"/>
      <c r="K107" s="6" t="n"/>
      <c r="L107" s="6" t="n"/>
      <c r="M107" s="10" t="n"/>
      <c r="N107" s="6" t="n"/>
      <c r="O107" s="11" t="n"/>
      <c r="P107" s="6" t="n"/>
      <c r="Q107" s="23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</row>
    <row r="108" ht="16.5" customHeight="1" s="237">
      <c r="A108" s="6" t="n"/>
      <c r="B108" s="6" t="n"/>
      <c r="C108" s="6" t="n"/>
      <c r="D108" s="6" t="n"/>
      <c r="E108" s="6" t="n"/>
      <c r="F108" s="6" t="n"/>
      <c r="G108" s="6" t="n"/>
      <c r="H108" s="6" t="n"/>
      <c r="I108" s="6" t="n"/>
      <c r="J108" s="6" t="n"/>
      <c r="K108" s="6" t="n"/>
      <c r="L108" s="6" t="n"/>
      <c r="M108" s="10" t="n"/>
      <c r="N108" s="6" t="n"/>
      <c r="O108" s="11" t="n"/>
      <c r="P108" s="6" t="n"/>
      <c r="Q108" s="23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</row>
    <row r="109" ht="16.5" customHeight="1" s="237">
      <c r="A109" s="6" t="n"/>
      <c r="B109" s="6" t="n"/>
      <c r="C109" s="6" t="n"/>
      <c r="D109" s="6" t="n"/>
      <c r="E109" s="6" t="n"/>
      <c r="F109" s="6" t="n"/>
      <c r="G109" s="6" t="n"/>
      <c r="H109" s="6" t="n"/>
      <c r="I109" s="6" t="n"/>
      <c r="J109" s="6" t="n"/>
      <c r="K109" s="6" t="n"/>
      <c r="L109" s="6" t="n"/>
      <c r="M109" s="10" t="n"/>
      <c r="N109" s="6" t="n"/>
      <c r="O109" s="11" t="n"/>
      <c r="P109" s="6" t="n"/>
      <c r="Q109" s="23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</row>
    <row r="110" ht="16.5" customHeight="1" s="237">
      <c r="A110" s="6" t="n"/>
      <c r="B110" s="6" t="n"/>
      <c r="C110" s="6" t="n"/>
      <c r="D110" s="6" t="n"/>
      <c r="E110" s="6" t="n"/>
      <c r="F110" s="6" t="n"/>
      <c r="G110" s="6" t="n"/>
      <c r="H110" s="6" t="n"/>
      <c r="I110" s="6" t="n"/>
      <c r="J110" s="6" t="n"/>
      <c r="K110" s="6" t="n"/>
      <c r="L110" s="6" t="n"/>
      <c r="M110" s="10" t="n"/>
      <c r="N110" s="6" t="n"/>
      <c r="O110" s="11" t="n"/>
      <c r="P110" s="6" t="n"/>
      <c r="Q110" s="23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</row>
    <row r="111" ht="16.5" customHeight="1" s="237">
      <c r="A111" s="6" t="n"/>
      <c r="B111" s="6" t="n"/>
      <c r="C111" s="6" t="n"/>
      <c r="D111" s="6" t="n"/>
      <c r="E111" s="6" t="n"/>
      <c r="F111" s="6" t="n"/>
      <c r="G111" s="6" t="n"/>
      <c r="H111" s="6" t="n"/>
      <c r="I111" s="6" t="n"/>
      <c r="J111" s="6" t="n"/>
      <c r="K111" s="6" t="n"/>
      <c r="L111" s="6" t="n"/>
      <c r="M111" s="10" t="n"/>
      <c r="N111" s="6" t="n"/>
      <c r="O111" s="11" t="n"/>
      <c r="P111" s="6" t="n"/>
      <c r="Q111" s="23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</row>
    <row r="112" ht="16.5" customHeight="1" s="237">
      <c r="A112" s="6" t="n"/>
      <c r="B112" s="6" t="n"/>
      <c r="C112" s="6" t="n"/>
      <c r="D112" s="6" t="n"/>
      <c r="E112" s="6" t="n"/>
      <c r="F112" s="6" t="n"/>
      <c r="G112" s="6" t="n"/>
      <c r="H112" s="6" t="n"/>
      <c r="I112" s="6" t="n"/>
      <c r="J112" s="6" t="n"/>
      <c r="K112" s="6" t="n"/>
      <c r="L112" s="6" t="n"/>
      <c r="M112" s="10" t="n"/>
      <c r="N112" s="6" t="n"/>
      <c r="O112" s="11" t="n"/>
      <c r="P112" s="6" t="n"/>
      <c r="Q112" s="23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</row>
    <row r="113" ht="16.5" customHeight="1" s="237">
      <c r="A113" s="6" t="n"/>
      <c r="B113" s="6" t="n"/>
      <c r="C113" s="6" t="n"/>
      <c r="D113" s="6" t="n"/>
      <c r="E113" s="6" t="n"/>
      <c r="F113" s="6" t="n"/>
      <c r="G113" s="6" t="n"/>
      <c r="H113" s="6" t="n"/>
      <c r="I113" s="6" t="n"/>
      <c r="J113" s="6" t="n"/>
      <c r="K113" s="6" t="n"/>
      <c r="L113" s="6" t="n"/>
      <c r="M113" s="10" t="n"/>
      <c r="N113" s="6" t="n"/>
      <c r="O113" s="11" t="n"/>
      <c r="P113" s="6" t="n"/>
      <c r="Q113" s="23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</row>
    <row r="114" ht="16.5" customHeight="1" s="237">
      <c r="A114" s="6" t="n"/>
      <c r="B114" s="6" t="n"/>
      <c r="C114" s="6" t="n"/>
      <c r="D114" s="6" t="n"/>
      <c r="E114" s="6" t="n"/>
      <c r="F114" s="6" t="n"/>
      <c r="G114" s="6" t="n"/>
      <c r="H114" s="6" t="n"/>
      <c r="I114" s="6" t="n"/>
      <c r="J114" s="6" t="n"/>
      <c r="K114" s="6" t="n"/>
      <c r="L114" s="6" t="n"/>
      <c r="M114" s="10" t="n"/>
      <c r="N114" s="6" t="n"/>
      <c r="O114" s="11" t="n"/>
      <c r="P114" s="6" t="n"/>
      <c r="Q114" s="23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</row>
    <row r="115" ht="16.5" customHeight="1" s="237">
      <c r="A115" s="6" t="n"/>
      <c r="B115" s="6" t="n"/>
      <c r="C115" s="6" t="n"/>
      <c r="D115" s="6" t="n"/>
      <c r="E115" s="6" t="n"/>
      <c r="F115" s="6" t="n"/>
      <c r="G115" s="6" t="n"/>
      <c r="H115" s="6" t="n"/>
      <c r="I115" s="6" t="n"/>
      <c r="J115" s="6" t="n"/>
      <c r="K115" s="6" t="n"/>
      <c r="L115" s="6" t="n"/>
      <c r="M115" s="10" t="n"/>
      <c r="N115" s="6" t="n"/>
      <c r="O115" s="11" t="n"/>
      <c r="P115" s="6" t="n"/>
      <c r="Q115" s="23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</row>
    <row r="116" ht="16.5" customHeight="1" s="237">
      <c r="A116" s="6" t="n"/>
      <c r="B116" s="6" t="n"/>
      <c r="C116" s="6" t="n"/>
      <c r="D116" s="6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10" t="n"/>
      <c r="N116" s="6" t="n"/>
      <c r="O116" s="11" t="n"/>
      <c r="P116" s="6" t="n"/>
      <c r="Q116" s="23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</row>
    <row r="117" ht="16.5" customHeight="1" s="237">
      <c r="A117" s="6" t="n"/>
      <c r="B117" s="6" t="n"/>
      <c r="C117" s="6" t="n"/>
      <c r="D117" s="6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10" t="n"/>
      <c r="N117" s="6" t="n"/>
      <c r="O117" s="11" t="n"/>
      <c r="P117" s="6" t="n"/>
      <c r="Q117" s="23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</row>
    <row r="118" ht="16.5" customHeight="1" s="237">
      <c r="A118" s="6" t="n"/>
      <c r="B118" s="6" t="n"/>
      <c r="C118" s="6" t="n"/>
      <c r="D118" s="6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10" t="n"/>
      <c r="N118" s="6" t="n"/>
      <c r="O118" s="11" t="n"/>
      <c r="P118" s="6" t="n"/>
      <c r="Q118" s="23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</row>
    <row r="119" ht="16.5" customHeight="1" s="237">
      <c r="A119" s="6" t="n"/>
      <c r="B119" s="6" t="n"/>
      <c r="C119" s="6" t="n"/>
      <c r="D119" s="6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10" t="n"/>
      <c r="N119" s="6" t="n"/>
      <c r="O119" s="11" t="n"/>
      <c r="P119" s="6" t="n"/>
      <c r="Q119" s="23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</row>
    <row r="120" ht="16.5" customHeight="1" s="237">
      <c r="A120" s="6" t="n"/>
      <c r="B120" s="6" t="n"/>
      <c r="C120" s="6" t="n"/>
      <c r="D120" s="6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10" t="n"/>
      <c r="N120" s="6" t="n"/>
      <c r="O120" s="11" t="n"/>
      <c r="P120" s="6" t="n"/>
      <c r="Q120" s="23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</row>
    <row r="121" ht="16.5" customHeight="1" s="237">
      <c r="A121" s="6" t="n"/>
      <c r="B121" s="6" t="n"/>
      <c r="C121" s="6" t="n"/>
      <c r="D121" s="6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10" t="n"/>
      <c r="N121" s="6" t="n"/>
      <c r="O121" s="11" t="n"/>
      <c r="P121" s="6" t="n"/>
      <c r="Q121" s="23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</row>
    <row r="122" ht="16.5" customHeight="1" s="237">
      <c r="A122" s="6" t="n"/>
      <c r="B122" s="6" t="n"/>
      <c r="C122" s="6" t="n"/>
      <c r="D122" s="6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10" t="n"/>
      <c r="N122" s="6" t="n"/>
      <c r="O122" s="11" t="n"/>
      <c r="P122" s="6" t="n"/>
      <c r="Q122" s="23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</row>
    <row r="123" ht="16.5" customHeight="1" s="237">
      <c r="A123" s="6" t="n"/>
      <c r="B123" s="6" t="n"/>
      <c r="C123" s="6" t="n"/>
      <c r="D123" s="6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10" t="n"/>
      <c r="N123" s="6" t="n"/>
      <c r="O123" s="11" t="n"/>
      <c r="P123" s="6" t="n"/>
      <c r="Q123" s="23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</row>
    <row r="124" ht="16.5" customHeight="1" s="237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10" t="n"/>
      <c r="N124" s="6" t="n"/>
      <c r="O124" s="11" t="n"/>
      <c r="P124" s="6" t="n"/>
      <c r="Q124" s="23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</row>
    <row r="125" ht="16.5" customHeight="1" s="237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10" t="n"/>
      <c r="N125" s="6" t="n"/>
      <c r="O125" s="11" t="n"/>
      <c r="P125" s="6" t="n"/>
      <c r="Q125" s="23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</row>
    <row r="126" ht="16.5" customHeight="1" s="237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10" t="n"/>
      <c r="N126" s="6" t="n"/>
      <c r="O126" s="11" t="n"/>
      <c r="P126" s="6" t="n"/>
      <c r="Q126" s="23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</row>
    <row r="127" ht="16.5" customHeight="1" s="23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10" t="n"/>
      <c r="N127" s="6" t="n"/>
      <c r="O127" s="11" t="n"/>
      <c r="P127" s="6" t="n"/>
      <c r="Q127" s="23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</row>
    <row r="128" ht="16.5" customHeight="1" s="237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10" t="n"/>
      <c r="N128" s="6" t="n"/>
      <c r="O128" s="11" t="n"/>
      <c r="P128" s="6" t="n"/>
      <c r="Q128" s="23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</row>
    <row r="129" ht="16.5" customHeight="1" s="237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10" t="n"/>
      <c r="N129" s="6" t="n"/>
      <c r="O129" s="11" t="n"/>
      <c r="P129" s="6" t="n"/>
      <c r="Q129" s="23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</row>
    <row r="130" ht="16.5" customHeight="1" s="237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10" t="n"/>
      <c r="N130" s="6" t="n"/>
      <c r="O130" s="11" t="n"/>
      <c r="P130" s="6" t="n"/>
      <c r="Q130" s="23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</row>
    <row r="131" ht="16.5" customHeight="1" s="237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10" t="n"/>
      <c r="N131" s="6" t="n"/>
      <c r="O131" s="11" t="n"/>
      <c r="P131" s="6" t="n"/>
      <c r="Q131" s="23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</row>
    <row r="132" ht="16.5" customHeight="1" s="237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10" t="n"/>
      <c r="N132" s="6" t="n"/>
      <c r="O132" s="11" t="n"/>
      <c r="P132" s="6" t="n"/>
      <c r="Q132" s="23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</row>
    <row r="133" ht="16.5" customHeight="1" s="237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10" t="n"/>
      <c r="N133" s="6" t="n"/>
      <c r="O133" s="11" t="n"/>
      <c r="P133" s="6" t="n"/>
      <c r="Q133" s="23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</row>
    <row r="134" ht="16.5" customHeight="1" s="237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10" t="n"/>
      <c r="N134" s="6" t="n"/>
      <c r="O134" s="11" t="n"/>
      <c r="P134" s="6" t="n"/>
      <c r="Q134" s="23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</row>
    <row r="135" ht="16.5" customHeight="1" s="237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10" t="n"/>
      <c r="N135" s="6" t="n"/>
      <c r="O135" s="11" t="n"/>
      <c r="P135" s="6" t="n"/>
      <c r="Q135" s="23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</row>
    <row r="136" ht="16.5" customHeight="1" s="237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10" t="n"/>
      <c r="N136" s="6" t="n"/>
      <c r="O136" s="11" t="n"/>
      <c r="P136" s="6" t="n"/>
      <c r="Q136" s="23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</row>
    <row r="137" ht="16.5" customHeight="1" s="2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10" t="n"/>
      <c r="N137" s="6" t="n"/>
      <c r="O137" s="11" t="n"/>
      <c r="P137" s="6" t="n"/>
      <c r="Q137" s="23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</row>
    <row r="138" ht="16.5" customHeight="1" s="237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10" t="n"/>
      <c r="N138" s="6" t="n"/>
      <c r="O138" s="11" t="n"/>
      <c r="P138" s="6" t="n"/>
      <c r="Q138" s="23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</row>
    <row r="139" ht="16.5" customHeight="1" s="237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10" t="n"/>
      <c r="N139" s="6" t="n"/>
      <c r="O139" s="11" t="n"/>
      <c r="P139" s="6" t="n"/>
      <c r="Q139" s="23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</row>
    <row r="140" ht="16.5" customHeight="1" s="237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10" t="n"/>
      <c r="N140" s="6" t="n"/>
      <c r="O140" s="11" t="n"/>
      <c r="P140" s="6" t="n"/>
      <c r="Q140" s="23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</row>
    <row r="141" ht="16.5" customHeight="1" s="237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10" t="n"/>
      <c r="N141" s="6" t="n"/>
      <c r="O141" s="11" t="n"/>
      <c r="P141" s="6" t="n"/>
      <c r="Q141" s="23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</row>
    <row r="142" ht="16.5" customHeight="1" s="237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10" t="n"/>
      <c r="N142" s="6" t="n"/>
      <c r="O142" s="11" t="n"/>
      <c r="P142" s="6" t="n"/>
      <c r="Q142" s="23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</row>
    <row r="143" ht="16.5" customHeight="1" s="237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10" t="n"/>
      <c r="N143" s="6" t="n"/>
      <c r="O143" s="11" t="n"/>
      <c r="P143" s="6" t="n"/>
      <c r="Q143" s="23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</row>
    <row r="144" ht="16.5" customHeight="1" s="237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10" t="n"/>
      <c r="N144" s="6" t="n"/>
      <c r="O144" s="11" t="n"/>
      <c r="P144" s="6" t="n"/>
      <c r="Q144" s="23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</row>
    <row r="145" ht="16.5" customHeight="1" s="237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10" t="n"/>
      <c r="N145" s="6" t="n"/>
      <c r="O145" s="11" t="n"/>
      <c r="P145" s="6" t="n"/>
      <c r="Q145" s="23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</row>
    <row r="146" ht="16.5" customHeight="1" s="237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10" t="n"/>
      <c r="N146" s="6" t="n"/>
      <c r="O146" s="11" t="n"/>
      <c r="P146" s="6" t="n"/>
      <c r="Q146" s="23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</row>
    <row r="147" ht="16.5" customHeight="1" s="23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10" t="n"/>
      <c r="N147" s="6" t="n"/>
      <c r="O147" s="11" t="n"/>
      <c r="P147" s="6" t="n"/>
      <c r="Q147" s="23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</row>
    <row r="148" ht="16.5" customHeight="1" s="237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10" t="n"/>
      <c r="N148" s="6" t="n"/>
      <c r="O148" s="11" t="n"/>
      <c r="P148" s="6" t="n"/>
      <c r="Q148" s="23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</row>
    <row r="149" ht="16.5" customHeight="1" s="237">
      <c r="A149" s="6" t="n"/>
      <c r="B149" s="6" t="n"/>
      <c r="C149" s="6" t="n"/>
      <c r="D149" s="6" t="n"/>
      <c r="E149" s="6" t="n"/>
      <c r="F149" s="6" t="n"/>
      <c r="G149" s="6" t="n"/>
      <c r="H149" s="6" t="n"/>
      <c r="I149" s="6" t="n"/>
      <c r="J149" s="6" t="n"/>
      <c r="K149" s="6" t="n"/>
      <c r="L149" s="6" t="n"/>
      <c r="M149" s="10" t="n"/>
      <c r="N149" s="6" t="n"/>
      <c r="O149" s="11" t="n"/>
      <c r="P149" s="6" t="n"/>
      <c r="Q149" s="236" t="n"/>
      <c r="R149" s="6" t="n"/>
      <c r="S149" s="6" t="n"/>
      <c r="T149" s="6" t="n"/>
      <c r="U149" s="6" t="n"/>
      <c r="V149" s="6" t="n"/>
      <c r="W149" s="6" t="n"/>
      <c r="X149" s="6" t="n"/>
      <c r="Y149" s="6" t="n"/>
      <c r="Z149" s="6" t="n"/>
    </row>
    <row r="150" ht="16.5" customHeight="1" s="237">
      <c r="A150" s="6" t="n"/>
      <c r="B150" s="6" t="n"/>
      <c r="C150" s="6" t="n"/>
      <c r="D150" s="6" t="n"/>
      <c r="E150" s="6" t="n"/>
      <c r="F150" s="6" t="n"/>
      <c r="G150" s="6" t="n"/>
      <c r="H150" s="6" t="n"/>
      <c r="I150" s="6" t="n"/>
      <c r="J150" s="6" t="n"/>
      <c r="K150" s="6" t="n"/>
      <c r="L150" s="6" t="n"/>
      <c r="M150" s="10" t="n"/>
      <c r="N150" s="6" t="n"/>
      <c r="O150" s="11" t="n"/>
      <c r="P150" s="6" t="n"/>
      <c r="Q150" s="236" t="n"/>
      <c r="R150" s="6" t="n"/>
      <c r="S150" s="6" t="n"/>
      <c r="T150" s="6" t="n"/>
      <c r="U150" s="6" t="n"/>
      <c r="V150" s="6" t="n"/>
      <c r="W150" s="6" t="n"/>
      <c r="X150" s="6" t="n"/>
      <c r="Y150" s="6" t="n"/>
      <c r="Z150" s="6" t="n"/>
    </row>
    <row r="151" ht="16.5" customHeight="1" s="237">
      <c r="A151" s="6" t="n"/>
      <c r="B151" s="6" t="n"/>
      <c r="C151" s="6" t="n"/>
      <c r="D151" s="6" t="n"/>
      <c r="E151" s="6" t="n"/>
      <c r="F151" s="6" t="n"/>
      <c r="G151" s="6" t="n"/>
      <c r="H151" s="6" t="n"/>
      <c r="I151" s="6" t="n"/>
      <c r="J151" s="6" t="n"/>
      <c r="K151" s="6" t="n"/>
      <c r="L151" s="6" t="n"/>
      <c r="M151" s="10" t="n"/>
      <c r="N151" s="6" t="n"/>
      <c r="O151" s="11" t="n"/>
      <c r="P151" s="6" t="n"/>
      <c r="Q151" s="236" t="n"/>
      <c r="R151" s="6" t="n"/>
      <c r="S151" s="6" t="n"/>
      <c r="T151" s="6" t="n"/>
      <c r="U151" s="6" t="n"/>
      <c r="V151" s="6" t="n"/>
      <c r="W151" s="6" t="n"/>
      <c r="X151" s="6" t="n"/>
      <c r="Y151" s="6" t="n"/>
      <c r="Z151" s="6" t="n"/>
    </row>
    <row r="152" ht="16.5" customHeight="1" s="237">
      <c r="A152" s="6" t="n"/>
      <c r="B152" s="6" t="n"/>
      <c r="C152" s="6" t="n"/>
      <c r="D152" s="6" t="n"/>
      <c r="E152" s="6" t="n"/>
      <c r="F152" s="6" t="n"/>
      <c r="G152" s="6" t="n"/>
      <c r="H152" s="6" t="n"/>
      <c r="I152" s="6" t="n"/>
      <c r="J152" s="6" t="n"/>
      <c r="K152" s="6" t="n"/>
      <c r="L152" s="6" t="n"/>
      <c r="M152" s="10" t="n"/>
      <c r="N152" s="6" t="n"/>
      <c r="O152" s="11" t="n"/>
      <c r="P152" s="6" t="n"/>
      <c r="Q152" s="236" t="n"/>
      <c r="R152" s="6" t="n"/>
      <c r="S152" s="6" t="n"/>
      <c r="T152" s="6" t="n"/>
      <c r="U152" s="6" t="n"/>
      <c r="V152" s="6" t="n"/>
      <c r="W152" s="6" t="n"/>
      <c r="X152" s="6" t="n"/>
      <c r="Y152" s="6" t="n"/>
      <c r="Z152" s="6" t="n"/>
    </row>
    <row r="153" ht="16.5" customHeight="1" s="237">
      <c r="A153" s="6" t="n"/>
      <c r="B153" s="6" t="n"/>
      <c r="C153" s="6" t="n"/>
      <c r="D153" s="6" t="n"/>
      <c r="E153" s="6" t="n"/>
      <c r="F153" s="6" t="n"/>
      <c r="G153" s="6" t="n"/>
      <c r="H153" s="6" t="n"/>
      <c r="I153" s="6" t="n"/>
      <c r="J153" s="6" t="n"/>
      <c r="K153" s="6" t="n"/>
      <c r="L153" s="6" t="n"/>
      <c r="M153" s="10" t="n"/>
      <c r="N153" s="6" t="n"/>
      <c r="O153" s="11" t="n"/>
      <c r="P153" s="6" t="n"/>
      <c r="Q153" s="236" t="n"/>
      <c r="R153" s="6" t="n"/>
      <c r="S153" s="6" t="n"/>
      <c r="T153" s="6" t="n"/>
      <c r="U153" s="6" t="n"/>
      <c r="V153" s="6" t="n"/>
      <c r="W153" s="6" t="n"/>
      <c r="X153" s="6" t="n"/>
      <c r="Y153" s="6" t="n"/>
      <c r="Z153" s="6" t="n"/>
    </row>
    <row r="154" ht="16.5" customHeight="1" s="237">
      <c r="A154" s="6" t="n"/>
      <c r="B154" s="6" t="n"/>
      <c r="C154" s="6" t="n"/>
      <c r="D154" s="6" t="n"/>
      <c r="E154" s="6" t="n"/>
      <c r="F154" s="6" t="n"/>
      <c r="G154" s="6" t="n"/>
      <c r="H154" s="6" t="n"/>
      <c r="I154" s="6" t="n"/>
      <c r="J154" s="6" t="n"/>
      <c r="K154" s="6" t="n"/>
      <c r="L154" s="6" t="n"/>
      <c r="M154" s="10" t="n"/>
      <c r="N154" s="6" t="n"/>
      <c r="O154" s="11" t="n"/>
      <c r="P154" s="6" t="n"/>
      <c r="Q154" s="236" t="n"/>
      <c r="R154" s="6" t="n"/>
      <c r="S154" s="6" t="n"/>
      <c r="T154" s="6" t="n"/>
      <c r="U154" s="6" t="n"/>
      <c r="V154" s="6" t="n"/>
      <c r="W154" s="6" t="n"/>
      <c r="X154" s="6" t="n"/>
      <c r="Y154" s="6" t="n"/>
      <c r="Z154" s="6" t="n"/>
    </row>
    <row r="155" ht="16.5" customHeight="1" s="237">
      <c r="A155" s="6" t="n"/>
      <c r="B155" s="6" t="n"/>
      <c r="C155" s="6" t="n"/>
      <c r="D155" s="6" t="n"/>
      <c r="E155" s="6" t="n"/>
      <c r="F155" s="6" t="n"/>
      <c r="G155" s="6" t="n"/>
      <c r="H155" s="6" t="n"/>
      <c r="I155" s="6" t="n"/>
      <c r="J155" s="6" t="n"/>
      <c r="K155" s="6" t="n"/>
      <c r="L155" s="6" t="n"/>
      <c r="M155" s="10" t="n"/>
      <c r="N155" s="6" t="n"/>
      <c r="O155" s="11" t="n"/>
      <c r="P155" s="6" t="n"/>
      <c r="Q155" s="236" t="n"/>
      <c r="R155" s="6" t="n"/>
      <c r="S155" s="6" t="n"/>
      <c r="T155" s="6" t="n"/>
      <c r="U155" s="6" t="n"/>
      <c r="V155" s="6" t="n"/>
      <c r="W155" s="6" t="n"/>
      <c r="X155" s="6" t="n"/>
      <c r="Y155" s="6" t="n"/>
      <c r="Z155" s="6" t="n"/>
    </row>
    <row r="156" ht="16.5" customHeight="1" s="237">
      <c r="A156" s="6" t="n"/>
      <c r="B156" s="6" t="n"/>
      <c r="C156" s="6" t="n"/>
      <c r="D156" s="6" t="n"/>
      <c r="E156" s="6" t="n"/>
      <c r="F156" s="6" t="n"/>
      <c r="G156" s="6" t="n"/>
      <c r="H156" s="6" t="n"/>
      <c r="I156" s="6" t="n"/>
      <c r="J156" s="6" t="n"/>
      <c r="K156" s="6" t="n"/>
      <c r="L156" s="6" t="n"/>
      <c r="M156" s="10" t="n"/>
      <c r="N156" s="6" t="n"/>
      <c r="O156" s="11" t="n"/>
      <c r="P156" s="6" t="n"/>
      <c r="Q156" s="236" t="n"/>
      <c r="R156" s="6" t="n"/>
      <c r="S156" s="6" t="n"/>
      <c r="T156" s="6" t="n"/>
      <c r="U156" s="6" t="n"/>
      <c r="V156" s="6" t="n"/>
      <c r="W156" s="6" t="n"/>
      <c r="X156" s="6" t="n"/>
      <c r="Y156" s="6" t="n"/>
      <c r="Z156" s="6" t="n"/>
    </row>
    <row r="157" ht="16.5" customHeight="1" s="237">
      <c r="A157" s="6" t="n"/>
      <c r="B157" s="6" t="n"/>
      <c r="C157" s="6" t="n"/>
      <c r="D157" s="6" t="n"/>
      <c r="E157" s="6" t="n"/>
      <c r="F157" s="6" t="n"/>
      <c r="G157" s="6" t="n"/>
      <c r="H157" s="6" t="n"/>
      <c r="I157" s="6" t="n"/>
      <c r="J157" s="6" t="n"/>
      <c r="K157" s="6" t="n"/>
      <c r="L157" s="6" t="n"/>
      <c r="M157" s="10" t="n"/>
      <c r="N157" s="6" t="n"/>
      <c r="O157" s="11" t="n"/>
      <c r="P157" s="6" t="n"/>
      <c r="Q157" s="236" t="n"/>
      <c r="R157" s="6" t="n"/>
      <c r="S157" s="6" t="n"/>
      <c r="T157" s="6" t="n"/>
      <c r="U157" s="6" t="n"/>
      <c r="V157" s="6" t="n"/>
      <c r="W157" s="6" t="n"/>
      <c r="X157" s="6" t="n"/>
      <c r="Y157" s="6" t="n"/>
      <c r="Z157" s="6" t="n"/>
    </row>
    <row r="158" ht="16.5" customHeight="1" s="237">
      <c r="A158" s="6" t="n"/>
      <c r="B158" s="6" t="n"/>
      <c r="C158" s="6" t="n"/>
      <c r="D158" s="6" t="n"/>
      <c r="E158" s="6" t="n"/>
      <c r="F158" s="6" t="n"/>
      <c r="G158" s="6" t="n"/>
      <c r="H158" s="6" t="n"/>
      <c r="I158" s="6" t="n"/>
      <c r="J158" s="6" t="n"/>
      <c r="K158" s="6" t="n"/>
      <c r="L158" s="6" t="n"/>
      <c r="M158" s="10" t="n"/>
      <c r="N158" s="6" t="n"/>
      <c r="O158" s="11" t="n"/>
      <c r="P158" s="6" t="n"/>
      <c r="Q158" s="236" t="n"/>
      <c r="R158" s="6" t="n"/>
      <c r="S158" s="6" t="n"/>
      <c r="T158" s="6" t="n"/>
      <c r="U158" s="6" t="n"/>
      <c r="V158" s="6" t="n"/>
      <c r="W158" s="6" t="n"/>
      <c r="X158" s="6" t="n"/>
      <c r="Y158" s="6" t="n"/>
      <c r="Z158" s="6" t="n"/>
    </row>
    <row r="159" ht="16.5" customHeight="1" s="237">
      <c r="A159" s="6" t="n"/>
      <c r="B159" s="6" t="n"/>
      <c r="C159" s="6" t="n"/>
      <c r="D159" s="6" t="n"/>
      <c r="E159" s="6" t="n"/>
      <c r="F159" s="6" t="n"/>
      <c r="G159" s="6" t="n"/>
      <c r="H159" s="6" t="n"/>
      <c r="I159" s="6" t="n"/>
      <c r="J159" s="6" t="n"/>
      <c r="K159" s="6" t="n"/>
      <c r="L159" s="6" t="n"/>
      <c r="M159" s="10" t="n"/>
      <c r="N159" s="6" t="n"/>
      <c r="O159" s="11" t="n"/>
      <c r="P159" s="6" t="n"/>
      <c r="Q159" s="236" t="n"/>
      <c r="R159" s="6" t="n"/>
      <c r="S159" s="6" t="n"/>
      <c r="T159" s="6" t="n"/>
      <c r="U159" s="6" t="n"/>
      <c r="V159" s="6" t="n"/>
      <c r="W159" s="6" t="n"/>
      <c r="X159" s="6" t="n"/>
      <c r="Y159" s="6" t="n"/>
      <c r="Z159" s="6" t="n"/>
    </row>
    <row r="160" ht="16.5" customHeight="1" s="237">
      <c r="A160" s="6" t="n"/>
      <c r="B160" s="6" t="n"/>
      <c r="C160" s="6" t="n"/>
      <c r="D160" s="6" t="n"/>
      <c r="E160" s="6" t="n"/>
      <c r="F160" s="6" t="n"/>
      <c r="G160" s="6" t="n"/>
      <c r="H160" s="6" t="n"/>
      <c r="I160" s="6" t="n"/>
      <c r="J160" s="6" t="n"/>
      <c r="K160" s="6" t="n"/>
      <c r="L160" s="6" t="n"/>
      <c r="M160" s="10" t="n"/>
      <c r="N160" s="6" t="n"/>
      <c r="O160" s="11" t="n"/>
      <c r="P160" s="6" t="n"/>
      <c r="Q160" s="236" t="n"/>
      <c r="R160" s="6" t="n"/>
      <c r="S160" s="6" t="n"/>
      <c r="T160" s="6" t="n"/>
      <c r="U160" s="6" t="n"/>
      <c r="V160" s="6" t="n"/>
      <c r="W160" s="6" t="n"/>
      <c r="X160" s="6" t="n"/>
      <c r="Y160" s="6" t="n"/>
      <c r="Z160" s="6" t="n"/>
    </row>
    <row r="161" ht="16.5" customHeight="1" s="237">
      <c r="A161" s="6" t="n"/>
      <c r="B161" s="6" t="n"/>
      <c r="C161" s="6" t="n"/>
      <c r="D161" s="6" t="n"/>
      <c r="E161" s="6" t="n"/>
      <c r="F161" s="6" t="n"/>
      <c r="G161" s="6" t="n"/>
      <c r="H161" s="6" t="n"/>
      <c r="I161" s="6" t="n"/>
      <c r="J161" s="6" t="n"/>
      <c r="K161" s="6" t="n"/>
      <c r="L161" s="6" t="n"/>
      <c r="M161" s="10" t="n"/>
      <c r="N161" s="6" t="n"/>
      <c r="O161" s="11" t="n"/>
      <c r="P161" s="6" t="n"/>
      <c r="Q161" s="236" t="n"/>
      <c r="R161" s="6" t="n"/>
      <c r="S161" s="6" t="n"/>
      <c r="T161" s="6" t="n"/>
      <c r="U161" s="6" t="n"/>
      <c r="V161" s="6" t="n"/>
      <c r="W161" s="6" t="n"/>
      <c r="X161" s="6" t="n"/>
      <c r="Y161" s="6" t="n"/>
      <c r="Z161" s="6" t="n"/>
    </row>
    <row r="162" ht="16.5" customHeight="1" s="237">
      <c r="A162" s="6" t="n"/>
      <c r="B162" s="6" t="n"/>
      <c r="C162" s="6" t="n"/>
      <c r="D162" s="6" t="n"/>
      <c r="E162" s="6" t="n"/>
      <c r="F162" s="6" t="n"/>
      <c r="G162" s="6" t="n"/>
      <c r="H162" s="6" t="n"/>
      <c r="I162" s="6" t="n"/>
      <c r="J162" s="6" t="n"/>
      <c r="K162" s="6" t="n"/>
      <c r="L162" s="6" t="n"/>
      <c r="M162" s="10" t="n"/>
      <c r="N162" s="6" t="n"/>
      <c r="O162" s="11" t="n"/>
      <c r="P162" s="6" t="n"/>
      <c r="Q162" s="236" t="n"/>
      <c r="R162" s="6" t="n"/>
      <c r="S162" s="6" t="n"/>
      <c r="T162" s="6" t="n"/>
      <c r="U162" s="6" t="n"/>
      <c r="V162" s="6" t="n"/>
      <c r="W162" s="6" t="n"/>
      <c r="X162" s="6" t="n"/>
      <c r="Y162" s="6" t="n"/>
      <c r="Z162" s="6" t="n"/>
    </row>
    <row r="163" ht="16.5" customHeight="1" s="237">
      <c r="A163" s="6" t="n"/>
      <c r="B163" s="6" t="n"/>
      <c r="C163" s="6" t="n"/>
      <c r="D163" s="6" t="n"/>
      <c r="E163" s="6" t="n"/>
      <c r="F163" s="6" t="n"/>
      <c r="G163" s="6" t="n"/>
      <c r="H163" s="6" t="n"/>
      <c r="I163" s="6" t="n"/>
      <c r="J163" s="6" t="n"/>
      <c r="K163" s="6" t="n"/>
      <c r="L163" s="6" t="n"/>
      <c r="M163" s="10" t="n"/>
      <c r="N163" s="6" t="n"/>
      <c r="O163" s="11" t="n"/>
      <c r="P163" s="6" t="n"/>
      <c r="Q163" s="236" t="n"/>
      <c r="R163" s="6" t="n"/>
      <c r="S163" s="6" t="n"/>
      <c r="T163" s="6" t="n"/>
      <c r="U163" s="6" t="n"/>
      <c r="V163" s="6" t="n"/>
      <c r="W163" s="6" t="n"/>
      <c r="X163" s="6" t="n"/>
      <c r="Y163" s="6" t="n"/>
      <c r="Z163" s="6" t="n"/>
    </row>
    <row r="164" ht="16.5" customHeight="1" s="237">
      <c r="A164" s="6" t="n"/>
      <c r="B164" s="6" t="n"/>
      <c r="C164" s="6" t="n"/>
      <c r="D164" s="6" t="n"/>
      <c r="E164" s="6" t="n"/>
      <c r="F164" s="6" t="n"/>
      <c r="G164" s="6" t="n"/>
      <c r="H164" s="6" t="n"/>
      <c r="I164" s="6" t="n"/>
      <c r="J164" s="6" t="n"/>
      <c r="K164" s="6" t="n"/>
      <c r="L164" s="6" t="n"/>
      <c r="M164" s="10" t="n"/>
      <c r="N164" s="6" t="n"/>
      <c r="O164" s="11" t="n"/>
      <c r="P164" s="6" t="n"/>
      <c r="Q164" s="236" t="n"/>
      <c r="R164" s="6" t="n"/>
      <c r="S164" s="6" t="n"/>
      <c r="T164" s="6" t="n"/>
      <c r="U164" s="6" t="n"/>
      <c r="V164" s="6" t="n"/>
      <c r="W164" s="6" t="n"/>
      <c r="X164" s="6" t="n"/>
      <c r="Y164" s="6" t="n"/>
      <c r="Z164" s="6" t="n"/>
    </row>
    <row r="165" ht="16.5" customHeight="1" s="237">
      <c r="A165" s="6" t="n"/>
      <c r="B165" s="6" t="n"/>
      <c r="C165" s="6" t="n"/>
      <c r="D165" s="6" t="n"/>
      <c r="E165" s="6" t="n"/>
      <c r="F165" s="6" t="n"/>
      <c r="G165" s="6" t="n"/>
      <c r="H165" s="6" t="n"/>
      <c r="I165" s="6" t="n"/>
      <c r="J165" s="6" t="n"/>
      <c r="K165" s="6" t="n"/>
      <c r="L165" s="6" t="n"/>
      <c r="M165" s="10" t="n"/>
      <c r="N165" s="6" t="n"/>
      <c r="O165" s="11" t="n"/>
      <c r="P165" s="6" t="n"/>
      <c r="Q165" s="236" t="n"/>
      <c r="R165" s="6" t="n"/>
      <c r="S165" s="6" t="n"/>
      <c r="T165" s="6" t="n"/>
      <c r="U165" s="6" t="n"/>
      <c r="V165" s="6" t="n"/>
      <c r="W165" s="6" t="n"/>
      <c r="X165" s="6" t="n"/>
      <c r="Y165" s="6" t="n"/>
      <c r="Z165" s="6" t="n"/>
    </row>
    <row r="166" ht="16.5" customHeight="1" s="237">
      <c r="A166" s="6" t="n"/>
      <c r="B166" s="6" t="n"/>
      <c r="C166" s="6" t="n"/>
      <c r="D166" s="6" t="n"/>
      <c r="E166" s="6" t="n"/>
      <c r="F166" s="6" t="n"/>
      <c r="G166" s="6" t="n"/>
      <c r="H166" s="6" t="n"/>
      <c r="I166" s="6" t="n"/>
      <c r="J166" s="6" t="n"/>
      <c r="K166" s="6" t="n"/>
      <c r="L166" s="6" t="n"/>
      <c r="M166" s="10" t="n"/>
      <c r="N166" s="6" t="n"/>
      <c r="O166" s="11" t="n"/>
      <c r="P166" s="6" t="n"/>
      <c r="Q166" s="236" t="n"/>
      <c r="R166" s="6" t="n"/>
      <c r="S166" s="6" t="n"/>
      <c r="T166" s="6" t="n"/>
      <c r="U166" s="6" t="n"/>
      <c r="V166" s="6" t="n"/>
      <c r="W166" s="6" t="n"/>
      <c r="X166" s="6" t="n"/>
      <c r="Y166" s="6" t="n"/>
      <c r="Z166" s="6" t="n"/>
    </row>
    <row r="167" ht="16.5" customHeight="1" s="237">
      <c r="A167" s="6" t="n"/>
      <c r="B167" s="6" t="n"/>
      <c r="C167" s="6" t="n"/>
      <c r="D167" s="6" t="n"/>
      <c r="E167" s="6" t="n"/>
      <c r="F167" s="6" t="n"/>
      <c r="G167" s="6" t="n"/>
      <c r="H167" s="6" t="n"/>
      <c r="I167" s="6" t="n"/>
      <c r="J167" s="6" t="n"/>
      <c r="K167" s="6" t="n"/>
      <c r="L167" s="6" t="n"/>
      <c r="M167" s="10" t="n"/>
      <c r="N167" s="6" t="n"/>
      <c r="O167" s="11" t="n"/>
      <c r="P167" s="6" t="n"/>
      <c r="Q167" s="236" t="n"/>
      <c r="R167" s="6" t="n"/>
      <c r="S167" s="6" t="n"/>
      <c r="T167" s="6" t="n"/>
      <c r="U167" s="6" t="n"/>
      <c r="V167" s="6" t="n"/>
      <c r="W167" s="6" t="n"/>
      <c r="X167" s="6" t="n"/>
      <c r="Y167" s="6" t="n"/>
      <c r="Z167" s="6" t="n"/>
    </row>
    <row r="168" ht="16.5" customHeight="1" s="237">
      <c r="A168" s="6" t="n"/>
      <c r="B168" s="6" t="n"/>
      <c r="C168" s="6" t="n"/>
      <c r="D168" s="6" t="n"/>
      <c r="E168" s="6" t="n"/>
      <c r="F168" s="6" t="n"/>
      <c r="G168" s="6" t="n"/>
      <c r="H168" s="6" t="n"/>
      <c r="I168" s="6" t="n"/>
      <c r="J168" s="6" t="n"/>
      <c r="K168" s="6" t="n"/>
      <c r="L168" s="6" t="n"/>
      <c r="M168" s="10" t="n"/>
      <c r="N168" s="6" t="n"/>
      <c r="O168" s="11" t="n"/>
      <c r="P168" s="6" t="n"/>
      <c r="Q168" s="236" t="n"/>
      <c r="R168" s="6" t="n"/>
      <c r="S168" s="6" t="n"/>
      <c r="T168" s="6" t="n"/>
      <c r="U168" s="6" t="n"/>
      <c r="V168" s="6" t="n"/>
      <c r="W168" s="6" t="n"/>
      <c r="X168" s="6" t="n"/>
      <c r="Y168" s="6" t="n"/>
      <c r="Z168" s="6" t="n"/>
    </row>
    <row r="169" ht="16.5" customHeight="1" s="237">
      <c r="A169" s="6" t="n"/>
      <c r="B169" s="6" t="n"/>
      <c r="C169" s="6" t="n"/>
      <c r="D169" s="6" t="n"/>
      <c r="E169" s="6" t="n"/>
      <c r="F169" s="6" t="n"/>
      <c r="G169" s="6" t="n"/>
      <c r="H169" s="6" t="n"/>
      <c r="I169" s="6" t="n"/>
      <c r="J169" s="6" t="n"/>
      <c r="K169" s="6" t="n"/>
      <c r="L169" s="6" t="n"/>
      <c r="M169" s="10" t="n"/>
      <c r="N169" s="6" t="n"/>
      <c r="O169" s="11" t="n"/>
      <c r="P169" s="6" t="n"/>
      <c r="Q169" s="236" t="n"/>
      <c r="R169" s="6" t="n"/>
      <c r="S169" s="6" t="n"/>
      <c r="T169" s="6" t="n"/>
      <c r="U169" s="6" t="n"/>
      <c r="V169" s="6" t="n"/>
      <c r="W169" s="6" t="n"/>
      <c r="X169" s="6" t="n"/>
      <c r="Y169" s="6" t="n"/>
      <c r="Z169" s="6" t="n"/>
    </row>
    <row r="170" ht="16.5" customHeight="1" s="237">
      <c r="A170" s="6" t="n"/>
      <c r="B170" s="6" t="n"/>
      <c r="C170" s="6" t="n"/>
      <c r="D170" s="6" t="n"/>
      <c r="E170" s="6" t="n"/>
      <c r="F170" s="6" t="n"/>
      <c r="G170" s="6" t="n"/>
      <c r="H170" s="6" t="n"/>
      <c r="I170" s="6" t="n"/>
      <c r="J170" s="6" t="n"/>
      <c r="K170" s="6" t="n"/>
      <c r="L170" s="6" t="n"/>
      <c r="M170" s="10" t="n"/>
      <c r="N170" s="6" t="n"/>
      <c r="O170" s="11" t="n"/>
      <c r="P170" s="6" t="n"/>
      <c r="Q170" s="236" t="n"/>
      <c r="R170" s="6" t="n"/>
      <c r="S170" s="6" t="n"/>
      <c r="T170" s="6" t="n"/>
      <c r="U170" s="6" t="n"/>
      <c r="V170" s="6" t="n"/>
      <c r="W170" s="6" t="n"/>
      <c r="X170" s="6" t="n"/>
      <c r="Y170" s="6" t="n"/>
      <c r="Z170" s="6" t="n"/>
    </row>
    <row r="171" ht="16.5" customHeight="1" s="237">
      <c r="A171" s="6" t="n"/>
      <c r="B171" s="6" t="n"/>
      <c r="C171" s="6" t="n"/>
      <c r="D171" s="6" t="n"/>
      <c r="E171" s="6" t="n"/>
      <c r="F171" s="6" t="n"/>
      <c r="G171" s="6" t="n"/>
      <c r="H171" s="6" t="n"/>
      <c r="I171" s="6" t="n"/>
      <c r="J171" s="6" t="n"/>
      <c r="K171" s="6" t="n"/>
      <c r="L171" s="6" t="n"/>
      <c r="M171" s="10" t="n"/>
      <c r="N171" s="6" t="n"/>
      <c r="O171" s="11" t="n"/>
      <c r="P171" s="6" t="n"/>
      <c r="Q171" s="236" t="n"/>
      <c r="R171" s="6" t="n"/>
      <c r="S171" s="6" t="n"/>
      <c r="T171" s="6" t="n"/>
      <c r="U171" s="6" t="n"/>
      <c r="V171" s="6" t="n"/>
      <c r="W171" s="6" t="n"/>
      <c r="X171" s="6" t="n"/>
      <c r="Y171" s="6" t="n"/>
      <c r="Z171" s="6" t="n"/>
    </row>
    <row r="172" ht="16.5" customHeight="1" s="237">
      <c r="A172" s="6" t="n"/>
      <c r="B172" s="6" t="n"/>
      <c r="C172" s="6" t="n"/>
      <c r="D172" s="6" t="n"/>
      <c r="E172" s="6" t="n"/>
      <c r="F172" s="6" t="n"/>
      <c r="G172" s="6" t="n"/>
      <c r="H172" s="6" t="n"/>
      <c r="I172" s="6" t="n"/>
      <c r="J172" s="6" t="n"/>
      <c r="K172" s="6" t="n"/>
      <c r="L172" s="6" t="n"/>
      <c r="M172" s="10" t="n"/>
      <c r="N172" s="6" t="n"/>
      <c r="O172" s="11" t="n"/>
      <c r="P172" s="6" t="n"/>
      <c r="Q172" s="236" t="n"/>
      <c r="R172" s="6" t="n"/>
      <c r="S172" s="6" t="n"/>
      <c r="T172" s="6" t="n"/>
      <c r="U172" s="6" t="n"/>
      <c r="V172" s="6" t="n"/>
      <c r="W172" s="6" t="n"/>
      <c r="X172" s="6" t="n"/>
      <c r="Y172" s="6" t="n"/>
      <c r="Z172" s="6" t="n"/>
    </row>
    <row r="173" ht="16.5" customHeight="1" s="237">
      <c r="A173" s="6" t="n"/>
      <c r="B173" s="6" t="n"/>
      <c r="C173" s="6" t="n"/>
      <c r="D173" s="6" t="n"/>
      <c r="E173" s="6" t="n"/>
      <c r="F173" s="6" t="n"/>
      <c r="G173" s="6" t="n"/>
      <c r="H173" s="6" t="n"/>
      <c r="I173" s="6" t="n"/>
      <c r="J173" s="6" t="n"/>
      <c r="K173" s="6" t="n"/>
      <c r="L173" s="6" t="n"/>
      <c r="M173" s="10" t="n"/>
      <c r="N173" s="6" t="n"/>
      <c r="O173" s="11" t="n"/>
      <c r="P173" s="6" t="n"/>
      <c r="Q173" s="236" t="n"/>
      <c r="R173" s="6" t="n"/>
      <c r="S173" s="6" t="n"/>
      <c r="T173" s="6" t="n"/>
      <c r="U173" s="6" t="n"/>
      <c r="V173" s="6" t="n"/>
      <c r="W173" s="6" t="n"/>
      <c r="X173" s="6" t="n"/>
      <c r="Y173" s="6" t="n"/>
      <c r="Z173" s="6" t="n"/>
    </row>
    <row r="174" ht="16.5" customHeight="1" s="237">
      <c r="A174" s="6" t="n"/>
      <c r="B174" s="6" t="n"/>
      <c r="C174" s="6" t="n"/>
      <c r="D174" s="6" t="n"/>
      <c r="E174" s="6" t="n"/>
      <c r="F174" s="6" t="n"/>
      <c r="G174" s="6" t="n"/>
      <c r="H174" s="6" t="n"/>
      <c r="I174" s="6" t="n"/>
      <c r="J174" s="6" t="n"/>
      <c r="K174" s="6" t="n"/>
      <c r="L174" s="6" t="n"/>
      <c r="M174" s="10" t="n"/>
      <c r="N174" s="6" t="n"/>
      <c r="O174" s="11" t="n"/>
      <c r="P174" s="6" t="n"/>
      <c r="Q174" s="236" t="n"/>
      <c r="R174" s="6" t="n"/>
      <c r="S174" s="6" t="n"/>
      <c r="T174" s="6" t="n"/>
      <c r="U174" s="6" t="n"/>
      <c r="V174" s="6" t="n"/>
      <c r="W174" s="6" t="n"/>
      <c r="X174" s="6" t="n"/>
      <c r="Y174" s="6" t="n"/>
      <c r="Z174" s="6" t="n"/>
    </row>
    <row r="175" ht="16.5" customHeight="1" s="237">
      <c r="A175" s="6" t="n"/>
      <c r="B175" s="6" t="n"/>
      <c r="C175" s="6" t="n"/>
      <c r="D175" s="6" t="n"/>
      <c r="E175" s="6" t="n"/>
      <c r="F175" s="6" t="n"/>
      <c r="G175" s="6" t="n"/>
      <c r="H175" s="6" t="n"/>
      <c r="I175" s="6" t="n"/>
      <c r="J175" s="6" t="n"/>
      <c r="K175" s="6" t="n"/>
      <c r="L175" s="6" t="n"/>
      <c r="M175" s="10" t="n"/>
      <c r="N175" s="6" t="n"/>
      <c r="O175" s="11" t="n"/>
      <c r="P175" s="6" t="n"/>
      <c r="Q175" s="236" t="n"/>
      <c r="R175" s="6" t="n"/>
      <c r="S175" s="6" t="n"/>
      <c r="T175" s="6" t="n"/>
      <c r="U175" s="6" t="n"/>
      <c r="V175" s="6" t="n"/>
      <c r="W175" s="6" t="n"/>
      <c r="X175" s="6" t="n"/>
      <c r="Y175" s="6" t="n"/>
      <c r="Z175" s="6" t="n"/>
    </row>
    <row r="176" ht="16.5" customHeight="1" s="237">
      <c r="A176" s="6" t="n"/>
      <c r="B176" s="6" t="n"/>
      <c r="C176" s="6" t="n"/>
      <c r="D176" s="6" t="n"/>
      <c r="E176" s="6" t="n"/>
      <c r="F176" s="6" t="n"/>
      <c r="G176" s="6" t="n"/>
      <c r="H176" s="6" t="n"/>
      <c r="I176" s="6" t="n"/>
      <c r="J176" s="6" t="n"/>
      <c r="K176" s="6" t="n"/>
      <c r="L176" s="6" t="n"/>
      <c r="M176" s="10" t="n"/>
      <c r="N176" s="6" t="n"/>
      <c r="O176" s="11" t="n"/>
      <c r="P176" s="6" t="n"/>
      <c r="Q176" s="236" t="n"/>
      <c r="R176" s="6" t="n"/>
      <c r="S176" s="6" t="n"/>
      <c r="T176" s="6" t="n"/>
      <c r="U176" s="6" t="n"/>
      <c r="V176" s="6" t="n"/>
      <c r="W176" s="6" t="n"/>
      <c r="X176" s="6" t="n"/>
      <c r="Y176" s="6" t="n"/>
      <c r="Z176" s="6" t="n"/>
    </row>
    <row r="177" ht="16.5" customHeight="1" s="237">
      <c r="A177" s="6" t="n"/>
      <c r="B177" s="6" t="n"/>
      <c r="C177" s="6" t="n"/>
      <c r="D177" s="6" t="n"/>
      <c r="E177" s="6" t="n"/>
      <c r="F177" s="6" t="n"/>
      <c r="G177" s="6" t="n"/>
      <c r="H177" s="6" t="n"/>
      <c r="I177" s="6" t="n"/>
      <c r="J177" s="6" t="n"/>
      <c r="K177" s="6" t="n"/>
      <c r="L177" s="6" t="n"/>
      <c r="M177" s="10" t="n"/>
      <c r="N177" s="6" t="n"/>
      <c r="O177" s="11" t="n"/>
      <c r="P177" s="6" t="n"/>
      <c r="Q177" s="236" t="n"/>
      <c r="R177" s="6" t="n"/>
      <c r="S177" s="6" t="n"/>
      <c r="T177" s="6" t="n"/>
      <c r="U177" s="6" t="n"/>
      <c r="V177" s="6" t="n"/>
      <c r="W177" s="6" t="n"/>
      <c r="X177" s="6" t="n"/>
      <c r="Y177" s="6" t="n"/>
      <c r="Z177" s="6" t="n"/>
    </row>
    <row r="178" ht="16.5" customHeight="1" s="237">
      <c r="A178" s="6" t="n"/>
      <c r="B178" s="6" t="n"/>
      <c r="C178" s="6" t="n"/>
      <c r="D178" s="6" t="n"/>
      <c r="E178" s="6" t="n"/>
      <c r="F178" s="6" t="n"/>
      <c r="G178" s="6" t="n"/>
      <c r="H178" s="6" t="n"/>
      <c r="I178" s="6" t="n"/>
      <c r="J178" s="6" t="n"/>
      <c r="K178" s="6" t="n"/>
      <c r="L178" s="6" t="n"/>
      <c r="M178" s="10" t="n"/>
      <c r="N178" s="6" t="n"/>
      <c r="O178" s="11" t="n"/>
      <c r="P178" s="6" t="n"/>
      <c r="Q178" s="236" t="n"/>
      <c r="R178" s="6" t="n"/>
      <c r="S178" s="6" t="n"/>
      <c r="T178" s="6" t="n"/>
      <c r="U178" s="6" t="n"/>
      <c r="V178" s="6" t="n"/>
      <c r="W178" s="6" t="n"/>
      <c r="X178" s="6" t="n"/>
      <c r="Y178" s="6" t="n"/>
      <c r="Z178" s="6" t="n"/>
    </row>
    <row r="179" ht="16.5" customHeight="1" s="237">
      <c r="A179" s="6" t="n"/>
      <c r="B179" s="6" t="n"/>
      <c r="C179" s="6" t="n"/>
      <c r="D179" s="6" t="n"/>
      <c r="E179" s="6" t="n"/>
      <c r="F179" s="6" t="n"/>
      <c r="G179" s="6" t="n"/>
      <c r="H179" s="6" t="n"/>
      <c r="I179" s="6" t="n"/>
      <c r="J179" s="6" t="n"/>
      <c r="K179" s="6" t="n"/>
      <c r="L179" s="6" t="n"/>
      <c r="M179" s="10" t="n"/>
      <c r="N179" s="6" t="n"/>
      <c r="O179" s="11" t="n"/>
      <c r="P179" s="6" t="n"/>
      <c r="Q179" s="236" t="n"/>
      <c r="R179" s="6" t="n"/>
      <c r="S179" s="6" t="n"/>
      <c r="T179" s="6" t="n"/>
      <c r="U179" s="6" t="n"/>
      <c r="V179" s="6" t="n"/>
      <c r="W179" s="6" t="n"/>
      <c r="X179" s="6" t="n"/>
      <c r="Y179" s="6" t="n"/>
      <c r="Z179" s="6" t="n"/>
    </row>
    <row r="180" ht="16.5" customHeight="1" s="237">
      <c r="A180" s="6" t="n"/>
      <c r="B180" s="6" t="n"/>
      <c r="C180" s="6" t="n"/>
      <c r="D180" s="6" t="n"/>
      <c r="E180" s="6" t="n"/>
      <c r="F180" s="6" t="n"/>
      <c r="G180" s="6" t="n"/>
      <c r="H180" s="6" t="n"/>
      <c r="I180" s="6" t="n"/>
      <c r="J180" s="6" t="n"/>
      <c r="K180" s="6" t="n"/>
      <c r="L180" s="6" t="n"/>
      <c r="M180" s="10" t="n"/>
      <c r="N180" s="6" t="n"/>
      <c r="O180" s="11" t="n"/>
      <c r="P180" s="6" t="n"/>
      <c r="Q180" s="236" t="n"/>
      <c r="R180" s="6" t="n"/>
      <c r="S180" s="6" t="n"/>
      <c r="T180" s="6" t="n"/>
      <c r="U180" s="6" t="n"/>
      <c r="V180" s="6" t="n"/>
      <c r="W180" s="6" t="n"/>
      <c r="X180" s="6" t="n"/>
      <c r="Y180" s="6" t="n"/>
      <c r="Z180" s="6" t="n"/>
    </row>
    <row r="181" ht="16.5" customHeight="1" s="237">
      <c r="A181" s="6" t="n"/>
      <c r="B181" s="6" t="n"/>
      <c r="C181" s="6" t="n"/>
      <c r="D181" s="6" t="n"/>
      <c r="E181" s="6" t="n"/>
      <c r="F181" s="6" t="n"/>
      <c r="G181" s="6" t="n"/>
      <c r="H181" s="6" t="n"/>
      <c r="I181" s="6" t="n"/>
      <c r="J181" s="6" t="n"/>
      <c r="K181" s="6" t="n"/>
      <c r="L181" s="6" t="n"/>
      <c r="M181" s="10" t="n"/>
      <c r="N181" s="6" t="n"/>
      <c r="O181" s="11" t="n"/>
      <c r="P181" s="6" t="n"/>
      <c r="Q181" s="236" t="n"/>
      <c r="R181" s="6" t="n"/>
      <c r="S181" s="6" t="n"/>
      <c r="T181" s="6" t="n"/>
      <c r="U181" s="6" t="n"/>
      <c r="V181" s="6" t="n"/>
      <c r="W181" s="6" t="n"/>
      <c r="X181" s="6" t="n"/>
      <c r="Y181" s="6" t="n"/>
      <c r="Z181" s="6" t="n"/>
    </row>
    <row r="182" ht="16.5" customHeight="1" s="237">
      <c r="A182" s="6" t="n"/>
      <c r="B182" s="6" t="n"/>
      <c r="C182" s="6" t="n"/>
      <c r="D182" s="6" t="n"/>
      <c r="E182" s="6" t="n"/>
      <c r="F182" s="6" t="n"/>
      <c r="G182" s="6" t="n"/>
      <c r="H182" s="6" t="n"/>
      <c r="I182" s="6" t="n"/>
      <c r="J182" s="6" t="n"/>
      <c r="K182" s="6" t="n"/>
      <c r="L182" s="6" t="n"/>
      <c r="M182" s="10" t="n"/>
      <c r="N182" s="6" t="n"/>
      <c r="O182" s="11" t="n"/>
      <c r="P182" s="6" t="n"/>
      <c r="Q182" s="236" t="n"/>
      <c r="R182" s="6" t="n"/>
      <c r="S182" s="6" t="n"/>
      <c r="T182" s="6" t="n"/>
      <c r="U182" s="6" t="n"/>
      <c r="V182" s="6" t="n"/>
      <c r="W182" s="6" t="n"/>
      <c r="X182" s="6" t="n"/>
      <c r="Y182" s="6" t="n"/>
      <c r="Z182" s="6" t="n"/>
    </row>
    <row r="183" ht="16.5" customHeight="1" s="237">
      <c r="A183" s="6" t="n"/>
      <c r="B183" s="6" t="n"/>
      <c r="C183" s="6" t="n"/>
      <c r="D183" s="6" t="n"/>
      <c r="E183" s="6" t="n"/>
      <c r="F183" s="6" t="n"/>
      <c r="G183" s="6" t="n"/>
      <c r="H183" s="6" t="n"/>
      <c r="I183" s="6" t="n"/>
      <c r="J183" s="6" t="n"/>
      <c r="K183" s="6" t="n"/>
      <c r="L183" s="6" t="n"/>
      <c r="M183" s="10" t="n"/>
      <c r="N183" s="6" t="n"/>
      <c r="O183" s="11" t="n"/>
      <c r="P183" s="6" t="n"/>
      <c r="Q183" s="236" t="n"/>
      <c r="R183" s="6" t="n"/>
      <c r="S183" s="6" t="n"/>
      <c r="T183" s="6" t="n"/>
      <c r="U183" s="6" t="n"/>
      <c r="V183" s="6" t="n"/>
      <c r="W183" s="6" t="n"/>
      <c r="X183" s="6" t="n"/>
      <c r="Y183" s="6" t="n"/>
      <c r="Z183" s="6" t="n"/>
    </row>
    <row r="184" ht="16.5" customHeight="1" s="237">
      <c r="A184" s="6" t="n"/>
      <c r="B184" s="6" t="n"/>
      <c r="C184" s="6" t="n"/>
      <c r="D184" s="6" t="n"/>
      <c r="E184" s="6" t="n"/>
      <c r="F184" s="6" t="n"/>
      <c r="G184" s="6" t="n"/>
      <c r="H184" s="6" t="n"/>
      <c r="I184" s="6" t="n"/>
      <c r="J184" s="6" t="n"/>
      <c r="K184" s="6" t="n"/>
      <c r="L184" s="6" t="n"/>
      <c r="M184" s="10" t="n"/>
      <c r="N184" s="6" t="n"/>
      <c r="O184" s="11" t="n"/>
      <c r="P184" s="6" t="n"/>
      <c r="Q184" s="236" t="n"/>
      <c r="R184" s="6" t="n"/>
      <c r="S184" s="6" t="n"/>
      <c r="T184" s="6" t="n"/>
      <c r="U184" s="6" t="n"/>
      <c r="V184" s="6" t="n"/>
      <c r="W184" s="6" t="n"/>
      <c r="X184" s="6" t="n"/>
      <c r="Y184" s="6" t="n"/>
      <c r="Z184" s="6" t="n"/>
    </row>
    <row r="185" ht="16.5" customHeight="1" s="237">
      <c r="A185" s="6" t="n"/>
      <c r="B185" s="6" t="n"/>
      <c r="C185" s="6" t="n"/>
      <c r="D185" s="6" t="n"/>
      <c r="E185" s="6" t="n"/>
      <c r="F185" s="6" t="n"/>
      <c r="G185" s="6" t="n"/>
      <c r="H185" s="6" t="n"/>
      <c r="I185" s="6" t="n"/>
      <c r="J185" s="6" t="n"/>
      <c r="K185" s="6" t="n"/>
      <c r="L185" s="6" t="n"/>
      <c r="M185" s="10" t="n"/>
      <c r="N185" s="6" t="n"/>
      <c r="O185" s="11" t="n"/>
      <c r="P185" s="6" t="n"/>
      <c r="Q185" s="236" t="n"/>
      <c r="R185" s="6" t="n"/>
      <c r="S185" s="6" t="n"/>
      <c r="T185" s="6" t="n"/>
      <c r="U185" s="6" t="n"/>
      <c r="V185" s="6" t="n"/>
      <c r="W185" s="6" t="n"/>
      <c r="X185" s="6" t="n"/>
      <c r="Y185" s="6" t="n"/>
      <c r="Z185" s="6" t="n"/>
    </row>
    <row r="186" ht="16.5" customHeight="1" s="237">
      <c r="A186" s="6" t="n"/>
      <c r="B186" s="6" t="n"/>
      <c r="C186" s="6" t="n"/>
      <c r="D186" s="6" t="n"/>
      <c r="E186" s="6" t="n"/>
      <c r="F186" s="6" t="n"/>
      <c r="G186" s="6" t="n"/>
      <c r="H186" s="6" t="n"/>
      <c r="I186" s="6" t="n"/>
      <c r="J186" s="6" t="n"/>
      <c r="K186" s="6" t="n"/>
      <c r="L186" s="6" t="n"/>
      <c r="M186" s="10" t="n"/>
      <c r="N186" s="6" t="n"/>
      <c r="O186" s="11" t="n"/>
      <c r="P186" s="6" t="n"/>
      <c r="Q186" s="236" t="n"/>
      <c r="R186" s="6" t="n"/>
      <c r="S186" s="6" t="n"/>
      <c r="T186" s="6" t="n"/>
      <c r="U186" s="6" t="n"/>
      <c r="V186" s="6" t="n"/>
      <c r="W186" s="6" t="n"/>
      <c r="X186" s="6" t="n"/>
      <c r="Y186" s="6" t="n"/>
      <c r="Z186" s="6" t="n"/>
    </row>
    <row r="187" ht="16.5" customHeight="1" s="237">
      <c r="A187" s="6" t="n"/>
      <c r="B187" s="6" t="n"/>
      <c r="C187" s="6" t="n"/>
      <c r="D187" s="6" t="n"/>
      <c r="E187" s="6" t="n"/>
      <c r="F187" s="6" t="n"/>
      <c r="G187" s="6" t="n"/>
      <c r="H187" s="6" t="n"/>
      <c r="I187" s="6" t="n"/>
      <c r="J187" s="6" t="n"/>
      <c r="K187" s="6" t="n"/>
      <c r="L187" s="6" t="n"/>
      <c r="M187" s="10" t="n"/>
      <c r="N187" s="6" t="n"/>
      <c r="O187" s="11" t="n"/>
      <c r="P187" s="6" t="n"/>
      <c r="Q187" s="236" t="n"/>
      <c r="R187" s="6" t="n"/>
      <c r="S187" s="6" t="n"/>
      <c r="T187" s="6" t="n"/>
      <c r="U187" s="6" t="n"/>
      <c r="V187" s="6" t="n"/>
      <c r="W187" s="6" t="n"/>
      <c r="X187" s="6" t="n"/>
      <c r="Y187" s="6" t="n"/>
      <c r="Z187" s="6" t="n"/>
    </row>
    <row r="188" ht="16.5" customHeight="1" s="237">
      <c r="A188" s="6" t="n"/>
      <c r="B188" s="6" t="n"/>
      <c r="C188" s="6" t="n"/>
      <c r="D188" s="6" t="n"/>
      <c r="E188" s="6" t="n"/>
      <c r="F188" s="6" t="n"/>
      <c r="G188" s="6" t="n"/>
      <c r="H188" s="6" t="n"/>
      <c r="I188" s="6" t="n"/>
      <c r="J188" s="6" t="n"/>
      <c r="K188" s="6" t="n"/>
      <c r="L188" s="6" t="n"/>
      <c r="M188" s="10" t="n"/>
      <c r="N188" s="6" t="n"/>
      <c r="O188" s="11" t="n"/>
      <c r="P188" s="6" t="n"/>
      <c r="Q188" s="236" t="n"/>
      <c r="R188" s="6" t="n"/>
      <c r="S188" s="6" t="n"/>
      <c r="T188" s="6" t="n"/>
      <c r="U188" s="6" t="n"/>
      <c r="V188" s="6" t="n"/>
      <c r="W188" s="6" t="n"/>
      <c r="X188" s="6" t="n"/>
      <c r="Y188" s="6" t="n"/>
      <c r="Z188" s="6" t="n"/>
    </row>
    <row r="189" ht="16.5" customHeight="1" s="237">
      <c r="A189" s="6" t="n"/>
      <c r="B189" s="6" t="n"/>
      <c r="C189" s="6" t="n"/>
      <c r="D189" s="6" t="n"/>
      <c r="E189" s="6" t="n"/>
      <c r="F189" s="6" t="n"/>
      <c r="G189" s="6" t="n"/>
      <c r="H189" s="6" t="n"/>
      <c r="I189" s="6" t="n"/>
      <c r="J189" s="6" t="n"/>
      <c r="K189" s="6" t="n"/>
      <c r="L189" s="6" t="n"/>
      <c r="M189" s="10" t="n"/>
      <c r="N189" s="6" t="n"/>
      <c r="O189" s="11" t="n"/>
      <c r="P189" s="6" t="n"/>
      <c r="Q189" s="236" t="n"/>
      <c r="R189" s="6" t="n"/>
      <c r="S189" s="6" t="n"/>
      <c r="T189" s="6" t="n"/>
      <c r="U189" s="6" t="n"/>
      <c r="V189" s="6" t="n"/>
      <c r="W189" s="6" t="n"/>
      <c r="X189" s="6" t="n"/>
      <c r="Y189" s="6" t="n"/>
      <c r="Z189" s="6" t="n"/>
    </row>
    <row r="190" ht="16.5" customHeight="1" s="237">
      <c r="A190" s="6" t="n"/>
      <c r="B190" s="6" t="n"/>
      <c r="C190" s="6" t="n"/>
      <c r="D190" s="6" t="n"/>
      <c r="E190" s="6" t="n"/>
      <c r="F190" s="6" t="n"/>
      <c r="G190" s="6" t="n"/>
      <c r="H190" s="6" t="n"/>
      <c r="I190" s="6" t="n"/>
      <c r="J190" s="6" t="n"/>
      <c r="K190" s="6" t="n"/>
      <c r="L190" s="6" t="n"/>
      <c r="M190" s="10" t="n"/>
      <c r="N190" s="6" t="n"/>
      <c r="O190" s="11" t="n"/>
      <c r="P190" s="6" t="n"/>
      <c r="Q190" s="236" t="n"/>
      <c r="R190" s="6" t="n"/>
      <c r="S190" s="6" t="n"/>
      <c r="T190" s="6" t="n"/>
      <c r="U190" s="6" t="n"/>
      <c r="V190" s="6" t="n"/>
      <c r="W190" s="6" t="n"/>
      <c r="X190" s="6" t="n"/>
      <c r="Y190" s="6" t="n"/>
      <c r="Z190" s="6" t="n"/>
    </row>
    <row r="191" ht="16.5" customHeight="1" s="237">
      <c r="A191" s="6" t="n"/>
      <c r="B191" s="6" t="n"/>
      <c r="C191" s="6" t="n"/>
      <c r="D191" s="6" t="n"/>
      <c r="E191" s="6" t="n"/>
      <c r="F191" s="6" t="n"/>
      <c r="G191" s="6" t="n"/>
      <c r="H191" s="6" t="n"/>
      <c r="I191" s="6" t="n"/>
      <c r="J191" s="6" t="n"/>
      <c r="K191" s="6" t="n"/>
      <c r="L191" s="6" t="n"/>
      <c r="M191" s="10" t="n"/>
      <c r="N191" s="6" t="n"/>
      <c r="O191" s="11" t="n"/>
      <c r="P191" s="6" t="n"/>
      <c r="Q191" s="236" t="n"/>
      <c r="R191" s="6" t="n"/>
      <c r="S191" s="6" t="n"/>
      <c r="T191" s="6" t="n"/>
      <c r="U191" s="6" t="n"/>
      <c r="V191" s="6" t="n"/>
      <c r="W191" s="6" t="n"/>
      <c r="X191" s="6" t="n"/>
      <c r="Y191" s="6" t="n"/>
      <c r="Z191" s="6" t="n"/>
    </row>
    <row r="192" ht="16.5" customHeight="1" s="237">
      <c r="A192" s="6" t="n"/>
      <c r="B192" s="6" t="n"/>
      <c r="C192" s="6" t="n"/>
      <c r="D192" s="6" t="n"/>
      <c r="E192" s="6" t="n"/>
      <c r="F192" s="6" t="n"/>
      <c r="G192" s="6" t="n"/>
      <c r="H192" s="6" t="n"/>
      <c r="I192" s="6" t="n"/>
      <c r="J192" s="6" t="n"/>
      <c r="K192" s="6" t="n"/>
      <c r="L192" s="6" t="n"/>
      <c r="M192" s="10" t="n"/>
      <c r="N192" s="6" t="n"/>
      <c r="O192" s="11" t="n"/>
      <c r="P192" s="6" t="n"/>
      <c r="Q192" s="236" t="n"/>
      <c r="R192" s="6" t="n"/>
      <c r="S192" s="6" t="n"/>
      <c r="T192" s="6" t="n"/>
      <c r="U192" s="6" t="n"/>
      <c r="V192" s="6" t="n"/>
      <c r="W192" s="6" t="n"/>
      <c r="X192" s="6" t="n"/>
      <c r="Y192" s="6" t="n"/>
      <c r="Z192" s="6" t="n"/>
    </row>
    <row r="193" ht="16.5" customHeight="1" s="237">
      <c r="A193" s="6" t="n"/>
      <c r="B193" s="6" t="n"/>
      <c r="C193" s="6" t="n"/>
      <c r="D193" s="6" t="n"/>
      <c r="E193" s="6" t="n"/>
      <c r="F193" s="6" t="n"/>
      <c r="G193" s="6" t="n"/>
      <c r="H193" s="6" t="n"/>
      <c r="I193" s="6" t="n"/>
      <c r="J193" s="6" t="n"/>
      <c r="K193" s="6" t="n"/>
      <c r="L193" s="6" t="n"/>
      <c r="M193" s="10" t="n"/>
      <c r="N193" s="6" t="n"/>
      <c r="O193" s="11" t="n"/>
      <c r="P193" s="6" t="n"/>
      <c r="Q193" s="236" t="n"/>
      <c r="R193" s="6" t="n"/>
      <c r="S193" s="6" t="n"/>
      <c r="T193" s="6" t="n"/>
      <c r="U193" s="6" t="n"/>
      <c r="V193" s="6" t="n"/>
      <c r="W193" s="6" t="n"/>
      <c r="X193" s="6" t="n"/>
      <c r="Y193" s="6" t="n"/>
      <c r="Z193" s="6" t="n"/>
    </row>
    <row r="194" ht="16.5" customHeight="1" s="237">
      <c r="A194" s="6" t="n"/>
      <c r="B194" s="6" t="n"/>
      <c r="C194" s="6" t="n"/>
      <c r="D194" s="6" t="n"/>
      <c r="E194" s="6" t="n"/>
      <c r="F194" s="6" t="n"/>
      <c r="G194" s="6" t="n"/>
      <c r="H194" s="6" t="n"/>
      <c r="I194" s="6" t="n"/>
      <c r="J194" s="6" t="n"/>
      <c r="K194" s="6" t="n"/>
      <c r="L194" s="6" t="n"/>
      <c r="M194" s="10" t="n"/>
      <c r="N194" s="6" t="n"/>
      <c r="O194" s="11" t="n"/>
      <c r="P194" s="6" t="n"/>
      <c r="Q194" s="236" t="n"/>
      <c r="R194" s="6" t="n"/>
      <c r="S194" s="6" t="n"/>
      <c r="T194" s="6" t="n"/>
      <c r="U194" s="6" t="n"/>
      <c r="V194" s="6" t="n"/>
      <c r="W194" s="6" t="n"/>
      <c r="X194" s="6" t="n"/>
      <c r="Y194" s="6" t="n"/>
      <c r="Z194" s="6" t="n"/>
    </row>
    <row r="195" ht="16.5" customHeight="1" s="237">
      <c r="A195" s="6" t="n"/>
      <c r="B195" s="6" t="n"/>
      <c r="C195" s="6" t="n"/>
      <c r="D195" s="6" t="n"/>
      <c r="E195" s="6" t="n"/>
      <c r="F195" s="6" t="n"/>
      <c r="G195" s="6" t="n"/>
      <c r="H195" s="6" t="n"/>
      <c r="I195" s="6" t="n"/>
      <c r="J195" s="6" t="n"/>
      <c r="K195" s="6" t="n"/>
      <c r="L195" s="6" t="n"/>
      <c r="M195" s="10" t="n"/>
      <c r="N195" s="6" t="n"/>
      <c r="O195" s="11" t="n"/>
      <c r="P195" s="6" t="n"/>
      <c r="Q195" s="236" t="n"/>
      <c r="R195" s="6" t="n"/>
      <c r="S195" s="6" t="n"/>
      <c r="T195" s="6" t="n"/>
      <c r="U195" s="6" t="n"/>
      <c r="V195" s="6" t="n"/>
      <c r="W195" s="6" t="n"/>
      <c r="X195" s="6" t="n"/>
      <c r="Y195" s="6" t="n"/>
      <c r="Z195" s="6" t="n"/>
    </row>
    <row r="196" ht="16.5" customHeight="1" s="237">
      <c r="A196" s="6" t="n"/>
      <c r="B196" s="6" t="n"/>
      <c r="C196" s="6" t="n"/>
      <c r="D196" s="6" t="n"/>
      <c r="E196" s="6" t="n"/>
      <c r="F196" s="6" t="n"/>
      <c r="G196" s="6" t="n"/>
      <c r="H196" s="6" t="n"/>
      <c r="I196" s="6" t="n"/>
      <c r="J196" s="6" t="n"/>
      <c r="K196" s="6" t="n"/>
      <c r="L196" s="6" t="n"/>
      <c r="M196" s="10" t="n"/>
      <c r="N196" s="6" t="n"/>
      <c r="O196" s="11" t="n"/>
      <c r="P196" s="6" t="n"/>
      <c r="Q196" s="236" t="n"/>
      <c r="R196" s="6" t="n"/>
      <c r="S196" s="6" t="n"/>
      <c r="T196" s="6" t="n"/>
      <c r="U196" s="6" t="n"/>
      <c r="V196" s="6" t="n"/>
      <c r="W196" s="6" t="n"/>
      <c r="X196" s="6" t="n"/>
      <c r="Y196" s="6" t="n"/>
      <c r="Z196" s="6" t="n"/>
    </row>
    <row r="197" ht="16.5" customHeight="1" s="237">
      <c r="A197" s="6" t="n"/>
      <c r="B197" s="6" t="n"/>
      <c r="C197" s="6" t="n"/>
      <c r="D197" s="6" t="n"/>
      <c r="E197" s="6" t="n"/>
      <c r="F197" s="6" t="n"/>
      <c r="G197" s="6" t="n"/>
      <c r="H197" s="6" t="n"/>
      <c r="I197" s="6" t="n"/>
      <c r="J197" s="6" t="n"/>
      <c r="K197" s="6" t="n"/>
      <c r="L197" s="6" t="n"/>
      <c r="M197" s="10" t="n"/>
      <c r="N197" s="6" t="n"/>
      <c r="O197" s="11" t="n"/>
      <c r="P197" s="6" t="n"/>
      <c r="Q197" s="236" t="n"/>
      <c r="R197" s="6" t="n"/>
      <c r="S197" s="6" t="n"/>
      <c r="T197" s="6" t="n"/>
      <c r="U197" s="6" t="n"/>
      <c r="V197" s="6" t="n"/>
      <c r="W197" s="6" t="n"/>
      <c r="X197" s="6" t="n"/>
      <c r="Y197" s="6" t="n"/>
      <c r="Z197" s="6" t="n"/>
    </row>
    <row r="198" ht="16.5" customHeight="1" s="237">
      <c r="A198" s="6" t="n"/>
      <c r="B198" s="6" t="n"/>
      <c r="C198" s="6" t="n"/>
      <c r="D198" s="6" t="n"/>
      <c r="E198" s="6" t="n"/>
      <c r="F198" s="6" t="n"/>
      <c r="G198" s="6" t="n"/>
      <c r="H198" s="6" t="n"/>
      <c r="I198" s="6" t="n"/>
      <c r="J198" s="6" t="n"/>
      <c r="K198" s="6" t="n"/>
      <c r="L198" s="6" t="n"/>
      <c r="M198" s="10" t="n"/>
      <c r="N198" s="6" t="n"/>
      <c r="O198" s="11" t="n"/>
      <c r="P198" s="6" t="n"/>
      <c r="Q198" s="236" t="n"/>
      <c r="R198" s="6" t="n"/>
      <c r="S198" s="6" t="n"/>
      <c r="T198" s="6" t="n"/>
      <c r="U198" s="6" t="n"/>
      <c r="V198" s="6" t="n"/>
      <c r="W198" s="6" t="n"/>
      <c r="X198" s="6" t="n"/>
      <c r="Y198" s="6" t="n"/>
      <c r="Z198" s="6" t="n"/>
    </row>
    <row r="199" ht="16.5" customHeight="1" s="237">
      <c r="A199" s="6" t="n"/>
      <c r="B199" s="6" t="n"/>
      <c r="C199" s="6" t="n"/>
      <c r="D199" s="6" t="n"/>
      <c r="E199" s="6" t="n"/>
      <c r="F199" s="6" t="n"/>
      <c r="G199" s="6" t="n"/>
      <c r="H199" s="6" t="n"/>
      <c r="I199" s="6" t="n"/>
      <c r="J199" s="6" t="n"/>
      <c r="K199" s="6" t="n"/>
      <c r="L199" s="6" t="n"/>
      <c r="M199" s="10" t="n"/>
      <c r="N199" s="6" t="n"/>
      <c r="O199" s="11" t="n"/>
      <c r="P199" s="6" t="n"/>
      <c r="Q199" s="236" t="n"/>
      <c r="R199" s="6" t="n"/>
      <c r="S199" s="6" t="n"/>
      <c r="T199" s="6" t="n"/>
      <c r="U199" s="6" t="n"/>
      <c r="V199" s="6" t="n"/>
      <c r="W199" s="6" t="n"/>
      <c r="X199" s="6" t="n"/>
      <c r="Y199" s="6" t="n"/>
      <c r="Z199" s="6" t="n"/>
    </row>
    <row r="200" ht="16.5" customHeight="1" s="237">
      <c r="A200" s="6" t="n"/>
      <c r="B200" s="6" t="n"/>
      <c r="C200" s="6" t="n"/>
      <c r="D200" s="6" t="n"/>
      <c r="E200" s="6" t="n"/>
      <c r="F200" s="6" t="n"/>
      <c r="G200" s="6" t="n"/>
      <c r="H200" s="6" t="n"/>
      <c r="I200" s="6" t="n"/>
      <c r="J200" s="6" t="n"/>
      <c r="K200" s="6" t="n"/>
      <c r="L200" s="6" t="n"/>
      <c r="M200" s="10" t="n"/>
      <c r="N200" s="6" t="n"/>
      <c r="O200" s="11" t="n"/>
      <c r="P200" s="6" t="n"/>
      <c r="Q200" s="236" t="n"/>
      <c r="R200" s="6" t="n"/>
      <c r="S200" s="6" t="n"/>
      <c r="T200" s="6" t="n"/>
      <c r="U200" s="6" t="n"/>
      <c r="V200" s="6" t="n"/>
      <c r="W200" s="6" t="n"/>
      <c r="X200" s="6" t="n"/>
      <c r="Y200" s="6" t="n"/>
      <c r="Z200" s="6" t="n"/>
    </row>
    <row r="201" ht="16.5" customHeight="1" s="237">
      <c r="A201" s="6" t="n"/>
      <c r="B201" s="6" t="n"/>
      <c r="C201" s="6" t="n"/>
      <c r="D201" s="6" t="n"/>
      <c r="E201" s="6" t="n"/>
      <c r="F201" s="6" t="n"/>
      <c r="G201" s="6" t="n"/>
      <c r="H201" s="6" t="n"/>
      <c r="I201" s="6" t="n"/>
      <c r="J201" s="6" t="n"/>
      <c r="K201" s="6" t="n"/>
      <c r="L201" s="6" t="n"/>
      <c r="M201" s="10" t="n"/>
      <c r="N201" s="6" t="n"/>
      <c r="O201" s="11" t="n"/>
      <c r="P201" s="6" t="n"/>
      <c r="Q201" s="236" t="n"/>
      <c r="R201" s="6" t="n"/>
      <c r="S201" s="6" t="n"/>
      <c r="T201" s="6" t="n"/>
      <c r="U201" s="6" t="n"/>
      <c r="V201" s="6" t="n"/>
      <c r="W201" s="6" t="n"/>
      <c r="X201" s="6" t="n"/>
      <c r="Y201" s="6" t="n"/>
      <c r="Z201" s="6" t="n"/>
    </row>
    <row r="202" ht="16.5" customHeight="1" s="237">
      <c r="A202" s="6" t="n"/>
      <c r="B202" s="6" t="n"/>
      <c r="C202" s="6" t="n"/>
      <c r="D202" s="6" t="n"/>
      <c r="E202" s="6" t="n"/>
      <c r="F202" s="6" t="n"/>
      <c r="G202" s="6" t="n"/>
      <c r="H202" s="6" t="n"/>
      <c r="I202" s="6" t="n"/>
      <c r="J202" s="6" t="n"/>
      <c r="K202" s="6" t="n"/>
      <c r="L202" s="6" t="n"/>
      <c r="M202" s="10" t="n"/>
      <c r="N202" s="6" t="n"/>
      <c r="O202" s="11" t="n"/>
      <c r="P202" s="6" t="n"/>
      <c r="Q202" s="236" t="n"/>
      <c r="R202" s="6" t="n"/>
      <c r="S202" s="6" t="n"/>
      <c r="T202" s="6" t="n"/>
      <c r="U202" s="6" t="n"/>
      <c r="V202" s="6" t="n"/>
      <c r="W202" s="6" t="n"/>
      <c r="X202" s="6" t="n"/>
      <c r="Y202" s="6" t="n"/>
      <c r="Z202" s="6" t="n"/>
    </row>
    <row r="203" ht="16.5" customHeight="1" s="237">
      <c r="A203" s="6" t="n"/>
      <c r="B203" s="6" t="n"/>
      <c r="C203" s="6" t="n"/>
      <c r="D203" s="6" t="n"/>
      <c r="E203" s="6" t="n"/>
      <c r="F203" s="6" t="n"/>
      <c r="G203" s="6" t="n"/>
      <c r="H203" s="6" t="n"/>
      <c r="I203" s="6" t="n"/>
      <c r="J203" s="6" t="n"/>
      <c r="K203" s="6" t="n"/>
      <c r="L203" s="6" t="n"/>
      <c r="M203" s="10" t="n"/>
      <c r="N203" s="6" t="n"/>
      <c r="O203" s="11" t="n"/>
      <c r="P203" s="6" t="n"/>
      <c r="Q203" s="236" t="n"/>
      <c r="R203" s="6" t="n"/>
      <c r="S203" s="6" t="n"/>
      <c r="T203" s="6" t="n"/>
      <c r="U203" s="6" t="n"/>
      <c r="V203" s="6" t="n"/>
      <c r="W203" s="6" t="n"/>
      <c r="X203" s="6" t="n"/>
      <c r="Y203" s="6" t="n"/>
      <c r="Z203" s="6" t="n"/>
    </row>
    <row r="204" ht="16.5" customHeight="1" s="237">
      <c r="A204" s="6" t="n"/>
      <c r="B204" s="6" t="n"/>
      <c r="C204" s="6" t="n"/>
      <c r="D204" s="6" t="n"/>
      <c r="E204" s="6" t="n"/>
      <c r="F204" s="6" t="n"/>
      <c r="G204" s="6" t="n"/>
      <c r="H204" s="6" t="n"/>
      <c r="I204" s="6" t="n"/>
      <c r="J204" s="6" t="n"/>
      <c r="K204" s="6" t="n"/>
      <c r="L204" s="6" t="n"/>
      <c r="M204" s="10" t="n"/>
      <c r="N204" s="6" t="n"/>
      <c r="O204" s="11" t="n"/>
      <c r="P204" s="6" t="n"/>
      <c r="Q204" s="236" t="n"/>
      <c r="R204" s="6" t="n"/>
      <c r="S204" s="6" t="n"/>
      <c r="T204" s="6" t="n"/>
      <c r="U204" s="6" t="n"/>
      <c r="V204" s="6" t="n"/>
      <c r="W204" s="6" t="n"/>
      <c r="X204" s="6" t="n"/>
      <c r="Y204" s="6" t="n"/>
      <c r="Z204" s="6" t="n"/>
    </row>
    <row r="205" ht="16.5" customHeight="1" s="237">
      <c r="A205" s="6" t="n"/>
      <c r="B205" s="6" t="n"/>
      <c r="C205" s="6" t="n"/>
      <c r="D205" s="6" t="n"/>
      <c r="E205" s="6" t="n"/>
      <c r="F205" s="6" t="n"/>
      <c r="G205" s="6" t="n"/>
      <c r="H205" s="6" t="n"/>
      <c r="I205" s="6" t="n"/>
      <c r="J205" s="6" t="n"/>
      <c r="K205" s="6" t="n"/>
      <c r="L205" s="6" t="n"/>
      <c r="M205" s="10" t="n"/>
      <c r="N205" s="6" t="n"/>
      <c r="O205" s="11" t="n"/>
      <c r="P205" s="6" t="n"/>
      <c r="Q205" s="236" t="n"/>
      <c r="R205" s="6" t="n"/>
      <c r="S205" s="6" t="n"/>
      <c r="T205" s="6" t="n"/>
      <c r="U205" s="6" t="n"/>
      <c r="V205" s="6" t="n"/>
      <c r="W205" s="6" t="n"/>
      <c r="X205" s="6" t="n"/>
      <c r="Y205" s="6" t="n"/>
      <c r="Z205" s="6" t="n"/>
    </row>
    <row r="206" ht="16.5" customHeight="1" s="237">
      <c r="A206" s="6" t="n"/>
      <c r="B206" s="6" t="n"/>
      <c r="C206" s="6" t="n"/>
      <c r="D206" s="6" t="n"/>
      <c r="E206" s="6" t="n"/>
      <c r="F206" s="6" t="n"/>
      <c r="G206" s="6" t="n"/>
      <c r="H206" s="6" t="n"/>
      <c r="I206" s="6" t="n"/>
      <c r="J206" s="6" t="n"/>
      <c r="K206" s="6" t="n"/>
      <c r="L206" s="6" t="n"/>
      <c r="M206" s="10" t="n"/>
      <c r="N206" s="6" t="n"/>
      <c r="O206" s="11" t="n"/>
      <c r="P206" s="6" t="n"/>
      <c r="Q206" s="236" t="n"/>
      <c r="R206" s="6" t="n"/>
      <c r="S206" s="6" t="n"/>
      <c r="T206" s="6" t="n"/>
      <c r="U206" s="6" t="n"/>
      <c r="V206" s="6" t="n"/>
      <c r="W206" s="6" t="n"/>
      <c r="X206" s="6" t="n"/>
      <c r="Y206" s="6" t="n"/>
      <c r="Z206" s="6" t="n"/>
    </row>
    <row r="207" ht="16.5" customHeight="1" s="237">
      <c r="A207" s="6" t="n"/>
      <c r="B207" s="6" t="n"/>
      <c r="C207" s="6" t="n"/>
      <c r="D207" s="6" t="n"/>
      <c r="E207" s="6" t="n"/>
      <c r="F207" s="6" t="n"/>
      <c r="G207" s="6" t="n"/>
      <c r="H207" s="6" t="n"/>
      <c r="I207" s="6" t="n"/>
      <c r="J207" s="6" t="n"/>
      <c r="K207" s="6" t="n"/>
      <c r="L207" s="6" t="n"/>
      <c r="M207" s="10" t="n"/>
      <c r="N207" s="6" t="n"/>
      <c r="O207" s="11" t="n"/>
      <c r="P207" s="6" t="n"/>
      <c r="Q207" s="236" t="n"/>
      <c r="R207" s="6" t="n"/>
      <c r="S207" s="6" t="n"/>
      <c r="T207" s="6" t="n"/>
      <c r="U207" s="6" t="n"/>
      <c r="V207" s="6" t="n"/>
      <c r="W207" s="6" t="n"/>
      <c r="X207" s="6" t="n"/>
      <c r="Y207" s="6" t="n"/>
      <c r="Z207" s="6" t="n"/>
    </row>
    <row r="208" ht="16.5" customHeight="1" s="237">
      <c r="A208" s="6" t="n"/>
      <c r="B208" s="6" t="n"/>
      <c r="C208" s="6" t="n"/>
      <c r="D208" s="6" t="n"/>
      <c r="E208" s="6" t="n"/>
      <c r="F208" s="6" t="n"/>
      <c r="G208" s="6" t="n"/>
      <c r="H208" s="6" t="n"/>
      <c r="I208" s="6" t="n"/>
      <c r="J208" s="6" t="n"/>
      <c r="K208" s="6" t="n"/>
      <c r="L208" s="6" t="n"/>
      <c r="M208" s="10" t="n"/>
      <c r="N208" s="6" t="n"/>
      <c r="O208" s="11" t="n"/>
      <c r="P208" s="6" t="n"/>
      <c r="Q208" s="236" t="n"/>
      <c r="R208" s="6" t="n"/>
      <c r="S208" s="6" t="n"/>
      <c r="T208" s="6" t="n"/>
      <c r="U208" s="6" t="n"/>
      <c r="V208" s="6" t="n"/>
      <c r="W208" s="6" t="n"/>
      <c r="X208" s="6" t="n"/>
      <c r="Y208" s="6" t="n"/>
      <c r="Z208" s="6" t="n"/>
    </row>
    <row r="209" ht="16.5" customHeight="1" s="237">
      <c r="A209" s="6" t="n"/>
      <c r="B209" s="6" t="n"/>
      <c r="C209" s="6" t="n"/>
      <c r="D209" s="6" t="n"/>
      <c r="E209" s="6" t="n"/>
      <c r="F209" s="6" t="n"/>
      <c r="G209" s="6" t="n"/>
      <c r="H209" s="6" t="n"/>
      <c r="I209" s="6" t="n"/>
      <c r="J209" s="6" t="n"/>
      <c r="K209" s="6" t="n"/>
      <c r="L209" s="6" t="n"/>
      <c r="M209" s="10" t="n"/>
      <c r="N209" s="6" t="n"/>
      <c r="O209" s="11" t="n"/>
      <c r="P209" s="6" t="n"/>
      <c r="Q209" s="236" t="n"/>
      <c r="R209" s="6" t="n"/>
      <c r="S209" s="6" t="n"/>
      <c r="T209" s="6" t="n"/>
      <c r="U209" s="6" t="n"/>
      <c r="V209" s="6" t="n"/>
      <c r="W209" s="6" t="n"/>
      <c r="X209" s="6" t="n"/>
      <c r="Y209" s="6" t="n"/>
      <c r="Z209" s="6" t="n"/>
    </row>
    <row r="210" ht="16.5" customHeight="1" s="237">
      <c r="A210" s="6" t="n"/>
      <c r="B210" s="6" t="n"/>
      <c r="C210" s="6" t="n"/>
      <c r="D210" s="6" t="n"/>
      <c r="E210" s="6" t="n"/>
      <c r="F210" s="6" t="n"/>
      <c r="G210" s="6" t="n"/>
      <c r="H210" s="6" t="n"/>
      <c r="I210" s="6" t="n"/>
      <c r="J210" s="6" t="n"/>
      <c r="K210" s="6" t="n"/>
      <c r="L210" s="6" t="n"/>
      <c r="M210" s="10" t="n"/>
      <c r="N210" s="6" t="n"/>
      <c r="O210" s="11" t="n"/>
      <c r="P210" s="6" t="n"/>
      <c r="Q210" s="236" t="n"/>
      <c r="R210" s="6" t="n"/>
      <c r="S210" s="6" t="n"/>
      <c r="T210" s="6" t="n"/>
      <c r="U210" s="6" t="n"/>
      <c r="V210" s="6" t="n"/>
      <c r="W210" s="6" t="n"/>
      <c r="X210" s="6" t="n"/>
      <c r="Y210" s="6" t="n"/>
      <c r="Z210" s="6" t="n"/>
    </row>
    <row r="211" ht="16.5" customHeight="1" s="237">
      <c r="A211" s="6" t="n"/>
      <c r="B211" s="6" t="n"/>
      <c r="C211" s="6" t="n"/>
      <c r="D211" s="6" t="n"/>
      <c r="E211" s="6" t="n"/>
      <c r="F211" s="6" t="n"/>
      <c r="G211" s="6" t="n"/>
      <c r="H211" s="6" t="n"/>
      <c r="I211" s="6" t="n"/>
      <c r="J211" s="6" t="n"/>
      <c r="K211" s="6" t="n"/>
      <c r="L211" s="6" t="n"/>
      <c r="M211" s="10" t="n"/>
      <c r="N211" s="6" t="n"/>
      <c r="O211" s="11" t="n"/>
      <c r="P211" s="6" t="n"/>
      <c r="Q211" s="236" t="n"/>
      <c r="R211" s="6" t="n"/>
      <c r="S211" s="6" t="n"/>
      <c r="T211" s="6" t="n"/>
      <c r="U211" s="6" t="n"/>
      <c r="V211" s="6" t="n"/>
      <c r="W211" s="6" t="n"/>
      <c r="X211" s="6" t="n"/>
      <c r="Y211" s="6" t="n"/>
      <c r="Z211" s="6" t="n"/>
    </row>
    <row r="212" ht="16.5" customHeight="1" s="237">
      <c r="A212" s="6" t="n"/>
      <c r="B212" s="6" t="n"/>
      <c r="C212" s="6" t="n"/>
      <c r="D212" s="6" t="n"/>
      <c r="E212" s="6" t="n"/>
      <c r="F212" s="6" t="n"/>
      <c r="G212" s="6" t="n"/>
      <c r="H212" s="6" t="n"/>
      <c r="I212" s="6" t="n"/>
      <c r="J212" s="6" t="n"/>
      <c r="K212" s="6" t="n"/>
      <c r="L212" s="6" t="n"/>
      <c r="M212" s="10" t="n"/>
      <c r="N212" s="6" t="n"/>
      <c r="O212" s="11" t="n"/>
      <c r="P212" s="6" t="n"/>
      <c r="Q212" s="236" t="n"/>
      <c r="R212" s="6" t="n"/>
      <c r="S212" s="6" t="n"/>
      <c r="T212" s="6" t="n"/>
      <c r="U212" s="6" t="n"/>
      <c r="V212" s="6" t="n"/>
      <c r="W212" s="6" t="n"/>
      <c r="X212" s="6" t="n"/>
      <c r="Y212" s="6" t="n"/>
      <c r="Z212" s="6" t="n"/>
    </row>
    <row r="213" ht="16.5" customHeight="1" s="237">
      <c r="A213" s="6" t="n"/>
      <c r="B213" s="6" t="n"/>
      <c r="C213" s="6" t="n"/>
      <c r="D213" s="6" t="n"/>
      <c r="E213" s="6" t="n"/>
      <c r="F213" s="6" t="n"/>
      <c r="G213" s="6" t="n"/>
      <c r="H213" s="6" t="n"/>
      <c r="I213" s="6" t="n"/>
      <c r="J213" s="6" t="n"/>
      <c r="K213" s="6" t="n"/>
      <c r="L213" s="6" t="n"/>
      <c r="M213" s="10" t="n"/>
      <c r="N213" s="6" t="n"/>
      <c r="O213" s="11" t="n"/>
      <c r="P213" s="6" t="n"/>
      <c r="Q213" s="236" t="n"/>
      <c r="R213" s="6" t="n"/>
      <c r="S213" s="6" t="n"/>
      <c r="T213" s="6" t="n"/>
      <c r="U213" s="6" t="n"/>
      <c r="V213" s="6" t="n"/>
      <c r="W213" s="6" t="n"/>
      <c r="X213" s="6" t="n"/>
      <c r="Y213" s="6" t="n"/>
      <c r="Z213" s="6" t="n"/>
    </row>
    <row r="214" ht="16.5" customHeight="1" s="237">
      <c r="A214" s="6" t="n"/>
      <c r="B214" s="6" t="n"/>
      <c r="C214" s="6" t="n"/>
      <c r="D214" s="6" t="n"/>
      <c r="E214" s="6" t="n"/>
      <c r="F214" s="6" t="n"/>
      <c r="G214" s="6" t="n"/>
      <c r="H214" s="6" t="n"/>
      <c r="I214" s="6" t="n"/>
      <c r="J214" s="6" t="n"/>
      <c r="K214" s="6" t="n"/>
      <c r="L214" s="6" t="n"/>
      <c r="M214" s="10" t="n"/>
      <c r="N214" s="6" t="n"/>
      <c r="O214" s="11" t="n"/>
      <c r="P214" s="6" t="n"/>
      <c r="Q214" s="236" t="n"/>
      <c r="R214" s="6" t="n"/>
      <c r="S214" s="6" t="n"/>
      <c r="T214" s="6" t="n"/>
      <c r="U214" s="6" t="n"/>
      <c r="V214" s="6" t="n"/>
      <c r="W214" s="6" t="n"/>
      <c r="X214" s="6" t="n"/>
      <c r="Y214" s="6" t="n"/>
      <c r="Z214" s="6" t="n"/>
    </row>
    <row r="215" ht="16.5" customHeight="1" s="237">
      <c r="A215" s="6" t="n"/>
      <c r="B215" s="6" t="n"/>
      <c r="C215" s="6" t="n"/>
      <c r="D215" s="6" t="n"/>
      <c r="E215" s="6" t="n"/>
      <c r="F215" s="6" t="n"/>
      <c r="G215" s="6" t="n"/>
      <c r="H215" s="6" t="n"/>
      <c r="I215" s="6" t="n"/>
      <c r="J215" s="6" t="n"/>
      <c r="K215" s="6" t="n"/>
      <c r="L215" s="6" t="n"/>
      <c r="M215" s="10" t="n"/>
      <c r="N215" s="6" t="n"/>
      <c r="O215" s="11" t="n"/>
      <c r="P215" s="6" t="n"/>
      <c r="Q215" s="236" t="n"/>
      <c r="R215" s="6" t="n"/>
      <c r="S215" s="6" t="n"/>
      <c r="T215" s="6" t="n"/>
      <c r="U215" s="6" t="n"/>
      <c r="V215" s="6" t="n"/>
      <c r="W215" s="6" t="n"/>
      <c r="X215" s="6" t="n"/>
      <c r="Y215" s="6" t="n"/>
      <c r="Z215" s="6" t="n"/>
    </row>
    <row r="216" ht="16.5" customHeight="1" s="237">
      <c r="A216" s="6" t="n"/>
      <c r="B216" s="6" t="n"/>
      <c r="C216" s="6" t="n"/>
      <c r="D216" s="6" t="n"/>
      <c r="E216" s="6" t="n"/>
      <c r="F216" s="6" t="n"/>
      <c r="G216" s="6" t="n"/>
      <c r="H216" s="6" t="n"/>
      <c r="I216" s="6" t="n"/>
      <c r="J216" s="6" t="n"/>
      <c r="K216" s="6" t="n"/>
      <c r="L216" s="6" t="n"/>
      <c r="M216" s="10" t="n"/>
      <c r="N216" s="6" t="n"/>
      <c r="O216" s="11" t="n"/>
      <c r="P216" s="6" t="n"/>
      <c r="Q216" s="236" t="n"/>
      <c r="R216" s="6" t="n"/>
      <c r="S216" s="6" t="n"/>
      <c r="T216" s="6" t="n"/>
      <c r="U216" s="6" t="n"/>
      <c r="V216" s="6" t="n"/>
      <c r="W216" s="6" t="n"/>
      <c r="X216" s="6" t="n"/>
      <c r="Y216" s="6" t="n"/>
      <c r="Z216" s="6" t="n"/>
    </row>
    <row r="217" ht="16.5" customHeight="1" s="237">
      <c r="A217" s="6" t="n"/>
      <c r="B217" s="6" t="n"/>
      <c r="C217" s="6" t="n"/>
      <c r="D217" s="6" t="n"/>
      <c r="E217" s="6" t="n"/>
      <c r="F217" s="6" t="n"/>
      <c r="G217" s="6" t="n"/>
      <c r="H217" s="6" t="n"/>
      <c r="I217" s="6" t="n"/>
      <c r="J217" s="6" t="n"/>
      <c r="K217" s="6" t="n"/>
      <c r="L217" s="6" t="n"/>
      <c r="M217" s="10" t="n"/>
      <c r="N217" s="6" t="n"/>
      <c r="O217" s="11" t="n"/>
      <c r="P217" s="6" t="n"/>
      <c r="Q217" s="236" t="n"/>
      <c r="R217" s="6" t="n"/>
      <c r="S217" s="6" t="n"/>
      <c r="T217" s="6" t="n"/>
      <c r="U217" s="6" t="n"/>
      <c r="V217" s="6" t="n"/>
      <c r="W217" s="6" t="n"/>
      <c r="X217" s="6" t="n"/>
      <c r="Y217" s="6" t="n"/>
      <c r="Z217" s="6" t="n"/>
    </row>
    <row r="218" ht="16.5" customHeight="1" s="237">
      <c r="A218" s="6" t="n"/>
      <c r="B218" s="6" t="n"/>
      <c r="C218" s="6" t="n"/>
      <c r="D218" s="6" t="n"/>
      <c r="E218" s="6" t="n"/>
      <c r="F218" s="6" t="n"/>
      <c r="G218" s="6" t="n"/>
      <c r="H218" s="6" t="n"/>
      <c r="I218" s="6" t="n"/>
      <c r="J218" s="6" t="n"/>
      <c r="K218" s="6" t="n"/>
      <c r="L218" s="6" t="n"/>
      <c r="M218" s="10" t="n"/>
      <c r="N218" s="6" t="n"/>
      <c r="O218" s="11" t="n"/>
      <c r="P218" s="6" t="n"/>
      <c r="Q218" s="236" t="n"/>
      <c r="R218" s="6" t="n"/>
      <c r="S218" s="6" t="n"/>
      <c r="T218" s="6" t="n"/>
      <c r="U218" s="6" t="n"/>
      <c r="V218" s="6" t="n"/>
      <c r="W218" s="6" t="n"/>
      <c r="X218" s="6" t="n"/>
      <c r="Y218" s="6" t="n"/>
      <c r="Z218" s="6" t="n"/>
    </row>
    <row r="219" ht="16.5" customHeight="1" s="237">
      <c r="A219" s="6" t="n"/>
      <c r="B219" s="6" t="n"/>
      <c r="C219" s="6" t="n"/>
      <c r="D219" s="6" t="n"/>
      <c r="E219" s="6" t="n"/>
      <c r="F219" s="6" t="n"/>
      <c r="G219" s="6" t="n"/>
      <c r="H219" s="6" t="n"/>
      <c r="I219" s="6" t="n"/>
      <c r="J219" s="6" t="n"/>
      <c r="K219" s="6" t="n"/>
      <c r="L219" s="6" t="n"/>
      <c r="M219" s="10" t="n"/>
      <c r="N219" s="6" t="n"/>
      <c r="O219" s="11" t="n"/>
      <c r="P219" s="6" t="n"/>
      <c r="Q219" s="236" t="n"/>
      <c r="R219" s="6" t="n"/>
      <c r="S219" s="6" t="n"/>
      <c r="T219" s="6" t="n"/>
      <c r="U219" s="6" t="n"/>
      <c r="V219" s="6" t="n"/>
      <c r="W219" s="6" t="n"/>
      <c r="X219" s="6" t="n"/>
      <c r="Y219" s="6" t="n"/>
      <c r="Z219" s="6" t="n"/>
    </row>
    <row r="220" ht="16.5" customHeight="1" s="237">
      <c r="A220" s="6" t="n"/>
      <c r="B220" s="6" t="n"/>
      <c r="C220" s="6" t="n"/>
      <c r="D220" s="6" t="n"/>
      <c r="E220" s="6" t="n"/>
      <c r="F220" s="6" t="n"/>
      <c r="G220" s="6" t="n"/>
      <c r="H220" s="6" t="n"/>
      <c r="I220" s="6" t="n"/>
      <c r="J220" s="6" t="n"/>
      <c r="K220" s="6" t="n"/>
      <c r="L220" s="6" t="n"/>
      <c r="M220" s="10" t="n"/>
      <c r="N220" s="6" t="n"/>
      <c r="O220" s="11" t="n"/>
      <c r="P220" s="6" t="n"/>
      <c r="Q220" s="236" t="n"/>
      <c r="R220" s="6" t="n"/>
      <c r="S220" s="6" t="n"/>
      <c r="T220" s="6" t="n"/>
      <c r="U220" s="6" t="n"/>
      <c r="V220" s="6" t="n"/>
      <c r="W220" s="6" t="n"/>
      <c r="X220" s="6" t="n"/>
      <c r="Y220" s="6" t="n"/>
      <c r="Z220" s="6" t="n"/>
    </row>
    <row r="221" ht="16.5" customHeight="1" s="237">
      <c r="A221" s="6" t="n"/>
      <c r="B221" s="6" t="n"/>
      <c r="C221" s="6" t="n"/>
      <c r="D221" s="6" t="n"/>
      <c r="E221" s="6" t="n"/>
      <c r="F221" s="6" t="n"/>
      <c r="G221" s="6" t="n"/>
      <c r="H221" s="6" t="n"/>
      <c r="I221" s="6" t="n"/>
      <c r="J221" s="6" t="n"/>
      <c r="K221" s="6" t="n"/>
      <c r="L221" s="6" t="n"/>
      <c r="M221" s="10" t="n"/>
      <c r="N221" s="6" t="n"/>
      <c r="O221" s="11" t="n"/>
      <c r="P221" s="6" t="n"/>
      <c r="Q221" s="236" t="n"/>
      <c r="R221" s="6" t="n"/>
      <c r="S221" s="6" t="n"/>
      <c r="T221" s="6" t="n"/>
      <c r="U221" s="6" t="n"/>
      <c r="V221" s="6" t="n"/>
      <c r="W221" s="6" t="n"/>
      <c r="X221" s="6" t="n"/>
      <c r="Y221" s="6" t="n"/>
      <c r="Z221" s="6" t="n"/>
    </row>
    <row r="222" ht="16.5" customHeight="1" s="237">
      <c r="A222" s="6" t="n"/>
      <c r="B222" s="6" t="n"/>
      <c r="C222" s="6" t="n"/>
      <c r="D222" s="6" t="n"/>
      <c r="E222" s="6" t="n"/>
      <c r="F222" s="6" t="n"/>
      <c r="G222" s="6" t="n"/>
      <c r="H222" s="6" t="n"/>
      <c r="I222" s="6" t="n"/>
      <c r="J222" s="6" t="n"/>
      <c r="K222" s="6" t="n"/>
      <c r="L222" s="6" t="n"/>
      <c r="M222" s="10" t="n"/>
      <c r="N222" s="6" t="n"/>
      <c r="O222" s="11" t="n"/>
      <c r="P222" s="6" t="n"/>
      <c r="Q222" s="236" t="n"/>
      <c r="R222" s="6" t="n"/>
      <c r="S222" s="6" t="n"/>
      <c r="T222" s="6" t="n"/>
      <c r="U222" s="6" t="n"/>
      <c r="V222" s="6" t="n"/>
      <c r="W222" s="6" t="n"/>
      <c r="X222" s="6" t="n"/>
      <c r="Y222" s="6" t="n"/>
      <c r="Z222" s="6" t="n"/>
    </row>
    <row r="223" ht="16.5" customHeight="1" s="237">
      <c r="A223" s="6" t="n"/>
      <c r="B223" s="6" t="n"/>
      <c r="C223" s="6" t="n"/>
      <c r="D223" s="6" t="n"/>
      <c r="E223" s="6" t="n"/>
      <c r="F223" s="6" t="n"/>
      <c r="G223" s="6" t="n"/>
      <c r="H223" s="6" t="n"/>
      <c r="I223" s="6" t="n"/>
      <c r="J223" s="6" t="n"/>
      <c r="K223" s="6" t="n"/>
      <c r="L223" s="6" t="n"/>
      <c r="M223" s="10" t="n"/>
      <c r="N223" s="6" t="n"/>
      <c r="O223" s="11" t="n"/>
      <c r="P223" s="6" t="n"/>
      <c r="Q223" s="236" t="n"/>
      <c r="R223" s="6" t="n"/>
      <c r="S223" s="6" t="n"/>
      <c r="T223" s="6" t="n"/>
      <c r="U223" s="6" t="n"/>
      <c r="V223" s="6" t="n"/>
      <c r="W223" s="6" t="n"/>
      <c r="X223" s="6" t="n"/>
      <c r="Y223" s="6" t="n"/>
      <c r="Z223" s="6" t="n"/>
    </row>
    <row r="224" ht="16.5" customHeight="1" s="237">
      <c r="A224" s="6" t="n"/>
      <c r="B224" s="6" t="n"/>
      <c r="C224" s="6" t="n"/>
      <c r="D224" s="6" t="n"/>
      <c r="E224" s="6" t="n"/>
      <c r="F224" s="6" t="n"/>
      <c r="G224" s="6" t="n"/>
      <c r="H224" s="6" t="n"/>
      <c r="I224" s="6" t="n"/>
      <c r="J224" s="6" t="n"/>
      <c r="K224" s="6" t="n"/>
      <c r="L224" s="6" t="n"/>
      <c r="M224" s="10" t="n"/>
      <c r="N224" s="6" t="n"/>
      <c r="O224" s="11" t="n"/>
      <c r="P224" s="6" t="n"/>
      <c r="Q224" s="236" t="n"/>
      <c r="R224" s="6" t="n"/>
      <c r="S224" s="6" t="n"/>
      <c r="T224" s="6" t="n"/>
      <c r="U224" s="6" t="n"/>
      <c r="V224" s="6" t="n"/>
      <c r="W224" s="6" t="n"/>
      <c r="X224" s="6" t="n"/>
      <c r="Y224" s="6" t="n"/>
      <c r="Z224" s="6" t="n"/>
    </row>
    <row r="225" ht="16.5" customHeight="1" s="237">
      <c r="A225" s="6" t="n"/>
      <c r="B225" s="6" t="n"/>
      <c r="C225" s="6" t="n"/>
      <c r="D225" s="6" t="n"/>
      <c r="E225" s="6" t="n"/>
      <c r="F225" s="6" t="n"/>
      <c r="G225" s="6" t="n"/>
      <c r="H225" s="6" t="n"/>
      <c r="I225" s="6" t="n"/>
      <c r="J225" s="6" t="n"/>
      <c r="K225" s="6" t="n"/>
      <c r="L225" s="6" t="n"/>
      <c r="M225" s="10" t="n"/>
      <c r="N225" s="6" t="n"/>
      <c r="O225" s="11" t="n"/>
      <c r="P225" s="6" t="n"/>
      <c r="Q225" s="236" t="n"/>
      <c r="R225" s="6" t="n"/>
      <c r="S225" s="6" t="n"/>
      <c r="T225" s="6" t="n"/>
      <c r="U225" s="6" t="n"/>
      <c r="V225" s="6" t="n"/>
      <c r="W225" s="6" t="n"/>
      <c r="X225" s="6" t="n"/>
      <c r="Y225" s="6" t="n"/>
      <c r="Z225" s="6" t="n"/>
    </row>
    <row r="226" ht="16.5" customHeight="1" s="237">
      <c r="A226" s="6" t="n"/>
      <c r="B226" s="6" t="n"/>
      <c r="C226" s="6" t="n"/>
      <c r="D226" s="6" t="n"/>
      <c r="E226" s="6" t="n"/>
      <c r="F226" s="6" t="n"/>
      <c r="G226" s="6" t="n"/>
      <c r="H226" s="6" t="n"/>
      <c r="I226" s="6" t="n"/>
      <c r="J226" s="6" t="n"/>
      <c r="K226" s="6" t="n"/>
      <c r="L226" s="6" t="n"/>
      <c r="M226" s="10" t="n"/>
      <c r="N226" s="6" t="n"/>
      <c r="O226" s="11" t="n"/>
      <c r="P226" s="6" t="n"/>
      <c r="Q226" s="236" t="n"/>
      <c r="R226" s="6" t="n"/>
      <c r="S226" s="6" t="n"/>
      <c r="T226" s="6" t="n"/>
      <c r="U226" s="6" t="n"/>
      <c r="V226" s="6" t="n"/>
      <c r="W226" s="6" t="n"/>
      <c r="X226" s="6" t="n"/>
      <c r="Y226" s="6" t="n"/>
      <c r="Z226" s="6" t="n"/>
    </row>
    <row r="227" ht="16.5" customHeight="1" s="237">
      <c r="A227" s="6" t="n"/>
      <c r="B227" s="6" t="n"/>
      <c r="C227" s="6" t="n"/>
      <c r="D227" s="6" t="n"/>
      <c r="E227" s="6" t="n"/>
      <c r="F227" s="6" t="n"/>
      <c r="G227" s="6" t="n"/>
      <c r="H227" s="6" t="n"/>
      <c r="I227" s="6" t="n"/>
      <c r="J227" s="6" t="n"/>
      <c r="K227" s="6" t="n"/>
      <c r="L227" s="6" t="n"/>
      <c r="M227" s="10" t="n"/>
      <c r="N227" s="6" t="n"/>
      <c r="O227" s="11" t="n"/>
      <c r="P227" s="6" t="n"/>
      <c r="Q227" s="236" t="n"/>
      <c r="R227" s="6" t="n"/>
      <c r="S227" s="6" t="n"/>
      <c r="T227" s="6" t="n"/>
      <c r="U227" s="6" t="n"/>
      <c r="V227" s="6" t="n"/>
      <c r="W227" s="6" t="n"/>
      <c r="X227" s="6" t="n"/>
      <c r="Y227" s="6" t="n"/>
      <c r="Z227" s="6" t="n"/>
    </row>
    <row r="228" ht="16.5" customHeight="1" s="237">
      <c r="A228" s="6" t="n"/>
      <c r="B228" s="6" t="n"/>
      <c r="C228" s="6" t="n"/>
      <c r="D228" s="6" t="n"/>
      <c r="E228" s="6" t="n"/>
      <c r="F228" s="6" t="n"/>
      <c r="G228" s="6" t="n"/>
      <c r="H228" s="6" t="n"/>
      <c r="I228" s="6" t="n"/>
      <c r="J228" s="6" t="n"/>
      <c r="K228" s="6" t="n"/>
      <c r="L228" s="6" t="n"/>
      <c r="M228" s="10" t="n"/>
      <c r="N228" s="6" t="n"/>
      <c r="O228" s="11" t="n"/>
      <c r="P228" s="6" t="n"/>
      <c r="Q228" s="236" t="n"/>
      <c r="R228" s="6" t="n"/>
      <c r="S228" s="6" t="n"/>
      <c r="T228" s="6" t="n"/>
      <c r="U228" s="6" t="n"/>
      <c r="V228" s="6" t="n"/>
      <c r="W228" s="6" t="n"/>
      <c r="X228" s="6" t="n"/>
      <c r="Y228" s="6" t="n"/>
      <c r="Z228" s="6" t="n"/>
    </row>
    <row r="229" ht="16.5" customHeight="1" s="237">
      <c r="A229" s="6" t="n"/>
      <c r="B229" s="6" t="n"/>
      <c r="C229" s="6" t="n"/>
      <c r="D229" s="6" t="n"/>
      <c r="E229" s="6" t="n"/>
      <c r="F229" s="6" t="n"/>
      <c r="G229" s="6" t="n"/>
      <c r="H229" s="6" t="n"/>
      <c r="I229" s="6" t="n"/>
      <c r="J229" s="6" t="n"/>
      <c r="K229" s="6" t="n"/>
      <c r="L229" s="6" t="n"/>
      <c r="M229" s="10" t="n"/>
      <c r="N229" s="6" t="n"/>
      <c r="O229" s="11" t="n"/>
      <c r="P229" s="6" t="n"/>
      <c r="Q229" s="236" t="n"/>
      <c r="R229" s="6" t="n"/>
      <c r="S229" s="6" t="n"/>
      <c r="T229" s="6" t="n"/>
      <c r="U229" s="6" t="n"/>
      <c r="V229" s="6" t="n"/>
      <c r="W229" s="6" t="n"/>
      <c r="X229" s="6" t="n"/>
      <c r="Y229" s="6" t="n"/>
      <c r="Z229" s="6" t="n"/>
    </row>
    <row r="230" ht="16.5" customHeight="1" s="237">
      <c r="A230" s="6" t="n"/>
      <c r="B230" s="6" t="n"/>
      <c r="C230" s="6" t="n"/>
      <c r="D230" s="6" t="n"/>
      <c r="E230" s="6" t="n"/>
      <c r="F230" s="6" t="n"/>
      <c r="G230" s="6" t="n"/>
      <c r="H230" s="6" t="n"/>
      <c r="I230" s="6" t="n"/>
      <c r="J230" s="6" t="n"/>
      <c r="K230" s="6" t="n"/>
      <c r="L230" s="6" t="n"/>
      <c r="M230" s="10" t="n"/>
      <c r="N230" s="6" t="n"/>
      <c r="O230" s="11" t="n"/>
      <c r="P230" s="6" t="n"/>
      <c r="Q230" s="236" t="n"/>
      <c r="R230" s="6" t="n"/>
      <c r="S230" s="6" t="n"/>
      <c r="T230" s="6" t="n"/>
      <c r="U230" s="6" t="n"/>
      <c r="V230" s="6" t="n"/>
      <c r="W230" s="6" t="n"/>
      <c r="X230" s="6" t="n"/>
      <c r="Y230" s="6" t="n"/>
      <c r="Z230" s="6" t="n"/>
    </row>
    <row r="231" ht="16.5" customHeight="1" s="237">
      <c r="A231" s="6" t="n"/>
      <c r="B231" s="6" t="n"/>
      <c r="C231" s="6" t="n"/>
      <c r="D231" s="6" t="n"/>
      <c r="E231" s="6" t="n"/>
      <c r="F231" s="6" t="n"/>
      <c r="G231" s="6" t="n"/>
      <c r="H231" s="6" t="n"/>
      <c r="I231" s="6" t="n"/>
      <c r="J231" s="6" t="n"/>
      <c r="K231" s="6" t="n"/>
      <c r="L231" s="6" t="n"/>
      <c r="M231" s="10" t="n"/>
      <c r="N231" s="6" t="n"/>
      <c r="O231" s="11" t="n"/>
      <c r="P231" s="6" t="n"/>
      <c r="Q231" s="236" t="n"/>
      <c r="R231" s="6" t="n"/>
      <c r="S231" s="6" t="n"/>
      <c r="T231" s="6" t="n"/>
      <c r="U231" s="6" t="n"/>
      <c r="V231" s="6" t="n"/>
      <c r="W231" s="6" t="n"/>
      <c r="X231" s="6" t="n"/>
      <c r="Y231" s="6" t="n"/>
      <c r="Z231" s="6" t="n"/>
    </row>
    <row r="232" ht="16.5" customHeight="1" s="237">
      <c r="A232" s="6" t="n"/>
      <c r="B232" s="6" t="n"/>
      <c r="C232" s="6" t="n"/>
      <c r="D232" s="6" t="n"/>
      <c r="E232" s="6" t="n"/>
      <c r="F232" s="6" t="n"/>
      <c r="G232" s="6" t="n"/>
      <c r="H232" s="6" t="n"/>
      <c r="I232" s="6" t="n"/>
      <c r="J232" s="6" t="n"/>
      <c r="K232" s="6" t="n"/>
      <c r="L232" s="6" t="n"/>
      <c r="M232" s="10" t="n"/>
      <c r="N232" s="6" t="n"/>
      <c r="O232" s="11" t="n"/>
      <c r="P232" s="6" t="n"/>
      <c r="Q232" s="236" t="n"/>
      <c r="R232" s="6" t="n"/>
      <c r="S232" s="6" t="n"/>
      <c r="T232" s="6" t="n"/>
      <c r="U232" s="6" t="n"/>
      <c r="V232" s="6" t="n"/>
      <c r="W232" s="6" t="n"/>
      <c r="X232" s="6" t="n"/>
      <c r="Y232" s="6" t="n"/>
      <c r="Z232" s="6" t="n"/>
    </row>
    <row r="233" ht="16.5" customHeight="1" s="237">
      <c r="A233" s="6" t="n"/>
      <c r="B233" s="6" t="n"/>
      <c r="C233" s="6" t="n"/>
      <c r="D233" s="6" t="n"/>
      <c r="E233" s="6" t="n"/>
      <c r="F233" s="6" t="n"/>
      <c r="G233" s="6" t="n"/>
      <c r="H233" s="6" t="n"/>
      <c r="I233" s="6" t="n"/>
      <c r="J233" s="6" t="n"/>
      <c r="K233" s="6" t="n"/>
      <c r="L233" s="6" t="n"/>
      <c r="M233" s="10" t="n"/>
      <c r="N233" s="6" t="n"/>
      <c r="O233" s="11" t="n"/>
      <c r="P233" s="6" t="n"/>
      <c r="Q233" s="236" t="n"/>
      <c r="R233" s="6" t="n"/>
      <c r="S233" s="6" t="n"/>
      <c r="T233" s="6" t="n"/>
      <c r="U233" s="6" t="n"/>
      <c r="V233" s="6" t="n"/>
      <c r="W233" s="6" t="n"/>
      <c r="X233" s="6" t="n"/>
      <c r="Y233" s="6" t="n"/>
      <c r="Z233" s="6" t="n"/>
    </row>
    <row r="234" ht="16.5" customHeight="1" s="237">
      <c r="A234" s="6" t="n"/>
      <c r="B234" s="6" t="n"/>
      <c r="C234" s="6" t="n"/>
      <c r="D234" s="6" t="n"/>
      <c r="E234" s="6" t="n"/>
      <c r="F234" s="6" t="n"/>
      <c r="G234" s="6" t="n"/>
      <c r="H234" s="6" t="n"/>
      <c r="I234" s="6" t="n"/>
      <c r="J234" s="6" t="n"/>
      <c r="K234" s="6" t="n"/>
      <c r="L234" s="6" t="n"/>
      <c r="M234" s="10" t="n"/>
      <c r="N234" s="6" t="n"/>
      <c r="O234" s="11" t="n"/>
      <c r="P234" s="6" t="n"/>
      <c r="Q234" s="236" t="n"/>
      <c r="R234" s="6" t="n"/>
      <c r="S234" s="6" t="n"/>
      <c r="T234" s="6" t="n"/>
      <c r="U234" s="6" t="n"/>
      <c r="V234" s="6" t="n"/>
      <c r="W234" s="6" t="n"/>
      <c r="X234" s="6" t="n"/>
      <c r="Y234" s="6" t="n"/>
      <c r="Z234" s="6" t="n"/>
    </row>
    <row r="235" ht="16.5" customHeight="1" s="237">
      <c r="A235" s="6" t="n"/>
      <c r="B235" s="6" t="n"/>
      <c r="C235" s="6" t="n"/>
      <c r="D235" s="6" t="n"/>
      <c r="E235" s="6" t="n"/>
      <c r="F235" s="6" t="n"/>
      <c r="G235" s="6" t="n"/>
      <c r="H235" s="6" t="n"/>
      <c r="I235" s="6" t="n"/>
      <c r="J235" s="6" t="n"/>
      <c r="K235" s="6" t="n"/>
      <c r="L235" s="6" t="n"/>
      <c r="M235" s="10" t="n"/>
      <c r="N235" s="6" t="n"/>
      <c r="O235" s="11" t="n"/>
      <c r="P235" s="6" t="n"/>
      <c r="Q235" s="236" t="n"/>
      <c r="R235" s="6" t="n"/>
      <c r="S235" s="6" t="n"/>
      <c r="T235" s="6" t="n"/>
      <c r="U235" s="6" t="n"/>
      <c r="V235" s="6" t="n"/>
      <c r="W235" s="6" t="n"/>
      <c r="X235" s="6" t="n"/>
      <c r="Y235" s="6" t="n"/>
      <c r="Z235" s="6" t="n"/>
    </row>
    <row r="236" ht="16.5" customHeight="1" s="237">
      <c r="A236" s="6" t="n"/>
      <c r="B236" s="6" t="n"/>
      <c r="C236" s="6" t="n"/>
      <c r="D236" s="6" t="n"/>
      <c r="E236" s="6" t="n"/>
      <c r="F236" s="6" t="n"/>
      <c r="G236" s="6" t="n"/>
      <c r="H236" s="6" t="n"/>
      <c r="I236" s="6" t="n"/>
      <c r="J236" s="6" t="n"/>
      <c r="K236" s="6" t="n"/>
      <c r="L236" s="6" t="n"/>
      <c r="M236" s="10" t="n"/>
      <c r="N236" s="6" t="n"/>
      <c r="O236" s="11" t="n"/>
      <c r="P236" s="6" t="n"/>
      <c r="Q236" s="236" t="n"/>
      <c r="R236" s="6" t="n"/>
      <c r="S236" s="6" t="n"/>
      <c r="T236" s="6" t="n"/>
      <c r="U236" s="6" t="n"/>
      <c r="V236" s="6" t="n"/>
      <c r="W236" s="6" t="n"/>
      <c r="X236" s="6" t="n"/>
      <c r="Y236" s="6" t="n"/>
      <c r="Z236" s="6" t="n"/>
    </row>
    <row r="237" ht="16.5" customHeight="1" s="237">
      <c r="A237" s="6" t="n"/>
      <c r="B237" s="6" t="n"/>
      <c r="C237" s="6" t="n"/>
      <c r="D237" s="6" t="n"/>
      <c r="E237" s="6" t="n"/>
      <c r="F237" s="6" t="n"/>
      <c r="G237" s="6" t="n"/>
      <c r="H237" s="6" t="n"/>
      <c r="I237" s="6" t="n"/>
      <c r="J237" s="6" t="n"/>
      <c r="K237" s="6" t="n"/>
      <c r="L237" s="6" t="n"/>
      <c r="M237" s="10" t="n"/>
      <c r="N237" s="6" t="n"/>
      <c r="O237" s="11" t="n"/>
      <c r="P237" s="6" t="n"/>
      <c r="Q237" s="236" t="n"/>
      <c r="R237" s="6" t="n"/>
      <c r="S237" s="6" t="n"/>
      <c r="T237" s="6" t="n"/>
      <c r="U237" s="6" t="n"/>
      <c r="V237" s="6" t="n"/>
      <c r="W237" s="6" t="n"/>
      <c r="X237" s="6" t="n"/>
      <c r="Y237" s="6" t="n"/>
      <c r="Z237" s="6" t="n"/>
    </row>
    <row r="238" ht="16.5" customHeight="1" s="237">
      <c r="A238" s="6" t="n"/>
      <c r="B238" s="6" t="n"/>
      <c r="C238" s="6" t="n"/>
      <c r="D238" s="6" t="n"/>
      <c r="E238" s="6" t="n"/>
      <c r="F238" s="6" t="n"/>
      <c r="G238" s="6" t="n"/>
      <c r="H238" s="6" t="n"/>
      <c r="I238" s="6" t="n"/>
      <c r="J238" s="6" t="n"/>
      <c r="K238" s="6" t="n"/>
      <c r="L238" s="6" t="n"/>
      <c r="M238" s="10" t="n"/>
      <c r="N238" s="6" t="n"/>
      <c r="O238" s="11" t="n"/>
      <c r="P238" s="6" t="n"/>
      <c r="Q238" s="236" t="n"/>
      <c r="R238" s="6" t="n"/>
      <c r="S238" s="6" t="n"/>
      <c r="T238" s="6" t="n"/>
      <c r="U238" s="6" t="n"/>
      <c r="V238" s="6" t="n"/>
      <c r="W238" s="6" t="n"/>
      <c r="X238" s="6" t="n"/>
      <c r="Y238" s="6" t="n"/>
      <c r="Z238" s="6" t="n"/>
    </row>
    <row r="239" ht="16.5" customHeight="1" s="237">
      <c r="A239" s="6" t="n"/>
      <c r="B239" s="6" t="n"/>
      <c r="C239" s="6" t="n"/>
      <c r="D239" s="6" t="n"/>
      <c r="E239" s="6" t="n"/>
      <c r="F239" s="6" t="n"/>
      <c r="G239" s="6" t="n"/>
      <c r="H239" s="6" t="n"/>
      <c r="I239" s="6" t="n"/>
      <c r="J239" s="6" t="n"/>
      <c r="K239" s="6" t="n"/>
      <c r="L239" s="6" t="n"/>
      <c r="M239" s="10" t="n"/>
      <c r="N239" s="6" t="n"/>
      <c r="O239" s="11" t="n"/>
      <c r="P239" s="6" t="n"/>
      <c r="Q239" s="236" t="n"/>
      <c r="R239" s="6" t="n"/>
      <c r="S239" s="6" t="n"/>
      <c r="T239" s="6" t="n"/>
      <c r="U239" s="6" t="n"/>
      <c r="V239" s="6" t="n"/>
      <c r="W239" s="6" t="n"/>
      <c r="X239" s="6" t="n"/>
      <c r="Y239" s="6" t="n"/>
      <c r="Z239" s="6" t="n"/>
    </row>
    <row r="240" ht="16.5" customHeight="1" s="237">
      <c r="A240" s="6" t="n"/>
      <c r="B240" s="6" t="n"/>
      <c r="C240" s="6" t="n"/>
      <c r="D240" s="6" t="n"/>
      <c r="E240" s="6" t="n"/>
      <c r="F240" s="6" t="n"/>
      <c r="G240" s="6" t="n"/>
      <c r="H240" s="6" t="n"/>
      <c r="I240" s="6" t="n"/>
      <c r="J240" s="6" t="n"/>
      <c r="K240" s="6" t="n"/>
      <c r="L240" s="6" t="n"/>
      <c r="M240" s="10" t="n"/>
      <c r="N240" s="6" t="n"/>
      <c r="O240" s="11" t="n"/>
      <c r="P240" s="6" t="n"/>
      <c r="Q240" s="236" t="n"/>
      <c r="R240" s="6" t="n"/>
      <c r="S240" s="6" t="n"/>
      <c r="T240" s="6" t="n"/>
      <c r="U240" s="6" t="n"/>
      <c r="V240" s="6" t="n"/>
      <c r="W240" s="6" t="n"/>
      <c r="X240" s="6" t="n"/>
      <c r="Y240" s="6" t="n"/>
      <c r="Z240" s="6" t="n"/>
    </row>
    <row r="241" ht="16.5" customHeight="1" s="237">
      <c r="A241" s="6" t="n"/>
      <c r="B241" s="6" t="n"/>
      <c r="C241" s="6" t="n"/>
      <c r="D241" s="6" t="n"/>
      <c r="E241" s="6" t="n"/>
      <c r="F241" s="6" t="n"/>
      <c r="G241" s="6" t="n"/>
      <c r="H241" s="6" t="n"/>
      <c r="I241" s="6" t="n"/>
      <c r="J241" s="6" t="n"/>
      <c r="K241" s="6" t="n"/>
      <c r="L241" s="6" t="n"/>
      <c r="M241" s="10" t="n"/>
      <c r="N241" s="6" t="n"/>
      <c r="O241" s="11" t="n"/>
      <c r="P241" s="6" t="n"/>
      <c r="Q241" s="236" t="n"/>
      <c r="R241" s="6" t="n"/>
      <c r="S241" s="6" t="n"/>
      <c r="T241" s="6" t="n"/>
      <c r="U241" s="6" t="n"/>
      <c r="V241" s="6" t="n"/>
      <c r="W241" s="6" t="n"/>
      <c r="X241" s="6" t="n"/>
      <c r="Y241" s="6" t="n"/>
      <c r="Z241" s="6" t="n"/>
    </row>
    <row r="242" ht="16.5" customHeight="1" s="237">
      <c r="A242" s="6" t="n"/>
      <c r="B242" s="6" t="n"/>
      <c r="C242" s="6" t="n"/>
      <c r="D242" s="6" t="n"/>
      <c r="E242" s="6" t="n"/>
      <c r="F242" s="6" t="n"/>
      <c r="G242" s="6" t="n"/>
      <c r="H242" s="6" t="n"/>
      <c r="I242" s="6" t="n"/>
      <c r="J242" s="6" t="n"/>
      <c r="K242" s="6" t="n"/>
      <c r="L242" s="6" t="n"/>
      <c r="M242" s="10" t="n"/>
      <c r="N242" s="6" t="n"/>
      <c r="O242" s="11" t="n"/>
      <c r="P242" s="6" t="n"/>
      <c r="Q242" s="236" t="n"/>
      <c r="R242" s="6" t="n"/>
      <c r="S242" s="6" t="n"/>
      <c r="T242" s="6" t="n"/>
      <c r="U242" s="6" t="n"/>
      <c r="V242" s="6" t="n"/>
      <c r="W242" s="6" t="n"/>
      <c r="X242" s="6" t="n"/>
      <c r="Y242" s="6" t="n"/>
      <c r="Z242" s="6" t="n"/>
    </row>
    <row r="243" ht="16.5" customHeight="1" s="237">
      <c r="A243" s="6" t="n"/>
      <c r="B243" s="6" t="n"/>
      <c r="C243" s="6" t="n"/>
      <c r="D243" s="6" t="n"/>
      <c r="E243" s="6" t="n"/>
      <c r="F243" s="6" t="n"/>
      <c r="G243" s="6" t="n"/>
      <c r="H243" s="6" t="n"/>
      <c r="I243" s="6" t="n"/>
      <c r="J243" s="6" t="n"/>
      <c r="K243" s="6" t="n"/>
      <c r="L243" s="6" t="n"/>
      <c r="M243" s="10" t="n"/>
      <c r="N243" s="6" t="n"/>
      <c r="O243" s="11" t="n"/>
      <c r="P243" s="6" t="n"/>
      <c r="Q243" s="236" t="n"/>
      <c r="R243" s="6" t="n"/>
      <c r="S243" s="6" t="n"/>
      <c r="T243" s="6" t="n"/>
      <c r="U243" s="6" t="n"/>
      <c r="V243" s="6" t="n"/>
      <c r="W243" s="6" t="n"/>
      <c r="X243" s="6" t="n"/>
      <c r="Y243" s="6" t="n"/>
      <c r="Z243" s="6" t="n"/>
    </row>
    <row r="244" ht="16.5" customHeight="1" s="237">
      <c r="A244" s="6" t="n"/>
      <c r="B244" s="6" t="n"/>
      <c r="C244" s="6" t="n"/>
      <c r="D244" s="6" t="n"/>
      <c r="E244" s="6" t="n"/>
      <c r="F244" s="6" t="n"/>
      <c r="G244" s="6" t="n"/>
      <c r="H244" s="6" t="n"/>
      <c r="I244" s="6" t="n"/>
      <c r="J244" s="6" t="n"/>
      <c r="K244" s="6" t="n"/>
      <c r="L244" s="6" t="n"/>
      <c r="M244" s="10" t="n"/>
      <c r="N244" s="6" t="n"/>
      <c r="O244" s="11" t="n"/>
      <c r="P244" s="6" t="n"/>
      <c r="Q244" s="236" t="n"/>
      <c r="R244" s="6" t="n"/>
      <c r="S244" s="6" t="n"/>
      <c r="T244" s="6" t="n"/>
      <c r="U244" s="6" t="n"/>
      <c r="V244" s="6" t="n"/>
      <c r="W244" s="6" t="n"/>
      <c r="X244" s="6" t="n"/>
      <c r="Y244" s="6" t="n"/>
      <c r="Z244" s="6" t="n"/>
    </row>
    <row r="245" ht="16.5" customHeight="1" s="237">
      <c r="A245" s="6" t="n"/>
      <c r="B245" s="6" t="n"/>
      <c r="C245" s="6" t="n"/>
      <c r="D245" s="6" t="n"/>
      <c r="E245" s="6" t="n"/>
      <c r="F245" s="6" t="n"/>
      <c r="G245" s="6" t="n"/>
      <c r="H245" s="6" t="n"/>
      <c r="I245" s="6" t="n"/>
      <c r="J245" s="6" t="n"/>
      <c r="K245" s="6" t="n"/>
      <c r="L245" s="6" t="n"/>
      <c r="M245" s="10" t="n"/>
      <c r="N245" s="6" t="n"/>
      <c r="O245" s="11" t="n"/>
      <c r="P245" s="6" t="n"/>
      <c r="Q245" s="236" t="n"/>
      <c r="R245" s="6" t="n"/>
      <c r="S245" s="6" t="n"/>
      <c r="T245" s="6" t="n"/>
      <c r="U245" s="6" t="n"/>
      <c r="V245" s="6" t="n"/>
      <c r="W245" s="6" t="n"/>
      <c r="X245" s="6" t="n"/>
      <c r="Y245" s="6" t="n"/>
      <c r="Z245" s="6" t="n"/>
    </row>
    <row r="246" ht="16.5" customHeight="1" s="237">
      <c r="A246" s="6" t="n"/>
      <c r="B246" s="6" t="n"/>
      <c r="C246" s="6" t="n"/>
      <c r="D246" s="6" t="n"/>
      <c r="E246" s="6" t="n"/>
      <c r="F246" s="6" t="n"/>
      <c r="G246" s="6" t="n"/>
      <c r="H246" s="6" t="n"/>
      <c r="I246" s="6" t="n"/>
      <c r="J246" s="6" t="n"/>
      <c r="K246" s="6" t="n"/>
      <c r="L246" s="6" t="n"/>
      <c r="M246" s="10" t="n"/>
      <c r="N246" s="6" t="n"/>
      <c r="O246" s="11" t="n"/>
      <c r="P246" s="6" t="n"/>
      <c r="Q246" s="236" t="n"/>
      <c r="R246" s="6" t="n"/>
      <c r="S246" s="6" t="n"/>
      <c r="T246" s="6" t="n"/>
      <c r="U246" s="6" t="n"/>
      <c r="V246" s="6" t="n"/>
      <c r="W246" s="6" t="n"/>
      <c r="X246" s="6" t="n"/>
      <c r="Y246" s="6" t="n"/>
      <c r="Z246" s="6" t="n"/>
    </row>
    <row r="247" ht="16.5" customHeight="1" s="237">
      <c r="A247" s="6" t="n"/>
      <c r="B247" s="6" t="n"/>
      <c r="C247" s="6" t="n"/>
      <c r="D247" s="6" t="n"/>
      <c r="E247" s="6" t="n"/>
      <c r="F247" s="6" t="n"/>
      <c r="G247" s="6" t="n"/>
      <c r="H247" s="6" t="n"/>
      <c r="I247" s="6" t="n"/>
      <c r="J247" s="6" t="n"/>
      <c r="K247" s="6" t="n"/>
      <c r="L247" s="6" t="n"/>
      <c r="M247" s="10" t="n"/>
      <c r="N247" s="6" t="n"/>
      <c r="O247" s="11" t="n"/>
      <c r="P247" s="6" t="n"/>
      <c r="Q247" s="236" t="n"/>
      <c r="R247" s="6" t="n"/>
      <c r="S247" s="6" t="n"/>
      <c r="T247" s="6" t="n"/>
      <c r="U247" s="6" t="n"/>
      <c r="V247" s="6" t="n"/>
      <c r="W247" s="6" t="n"/>
      <c r="X247" s="6" t="n"/>
      <c r="Y247" s="6" t="n"/>
      <c r="Z247" s="6" t="n"/>
    </row>
    <row r="248" ht="16.5" customHeight="1" s="237">
      <c r="A248" s="6" t="n"/>
      <c r="B248" s="6" t="n"/>
      <c r="C248" s="6" t="n"/>
      <c r="D248" s="6" t="n"/>
      <c r="E248" s="6" t="n"/>
      <c r="F248" s="6" t="n"/>
      <c r="G248" s="6" t="n"/>
      <c r="H248" s="6" t="n"/>
      <c r="I248" s="6" t="n"/>
      <c r="J248" s="6" t="n"/>
      <c r="K248" s="6" t="n"/>
      <c r="L248" s="6" t="n"/>
      <c r="M248" s="10" t="n"/>
      <c r="N248" s="6" t="n"/>
      <c r="O248" s="11" t="n"/>
      <c r="P248" s="6" t="n"/>
      <c r="Q248" s="236" t="n"/>
      <c r="R248" s="6" t="n"/>
      <c r="S248" s="6" t="n"/>
      <c r="T248" s="6" t="n"/>
      <c r="U248" s="6" t="n"/>
      <c r="V248" s="6" t="n"/>
      <c r="W248" s="6" t="n"/>
      <c r="X248" s="6" t="n"/>
      <c r="Y248" s="6" t="n"/>
      <c r="Z248" s="6" t="n"/>
    </row>
    <row r="249" ht="16.5" customHeight="1" s="237">
      <c r="A249" s="6" t="n"/>
      <c r="B249" s="6" t="n"/>
      <c r="C249" s="6" t="n"/>
      <c r="D249" s="6" t="n"/>
      <c r="E249" s="6" t="n"/>
      <c r="F249" s="6" t="n"/>
      <c r="G249" s="6" t="n"/>
      <c r="H249" s="6" t="n"/>
      <c r="I249" s="6" t="n"/>
      <c r="J249" s="6" t="n"/>
      <c r="K249" s="6" t="n"/>
      <c r="L249" s="6" t="n"/>
      <c r="M249" s="10" t="n"/>
      <c r="N249" s="6" t="n"/>
      <c r="O249" s="11" t="n"/>
      <c r="P249" s="6" t="n"/>
      <c r="Q249" s="236" t="n"/>
      <c r="R249" s="6" t="n"/>
      <c r="S249" s="6" t="n"/>
      <c r="T249" s="6" t="n"/>
      <c r="U249" s="6" t="n"/>
      <c r="V249" s="6" t="n"/>
      <c r="W249" s="6" t="n"/>
      <c r="X249" s="6" t="n"/>
      <c r="Y249" s="6" t="n"/>
      <c r="Z249" s="6" t="n"/>
    </row>
    <row r="250" ht="16.5" customHeight="1" s="237">
      <c r="A250" s="6" t="n"/>
      <c r="B250" s="6" t="n"/>
      <c r="C250" s="6" t="n"/>
      <c r="D250" s="6" t="n"/>
      <c r="E250" s="6" t="n"/>
      <c r="F250" s="6" t="n"/>
      <c r="G250" s="6" t="n"/>
      <c r="H250" s="6" t="n"/>
      <c r="I250" s="6" t="n"/>
      <c r="J250" s="6" t="n"/>
      <c r="K250" s="6" t="n"/>
      <c r="L250" s="6" t="n"/>
      <c r="M250" s="10" t="n"/>
      <c r="N250" s="6" t="n"/>
      <c r="O250" s="11" t="n"/>
      <c r="P250" s="6" t="n"/>
      <c r="Q250" s="236" t="n"/>
      <c r="R250" s="6" t="n"/>
      <c r="S250" s="6" t="n"/>
      <c r="T250" s="6" t="n"/>
      <c r="U250" s="6" t="n"/>
      <c r="V250" s="6" t="n"/>
      <c r="W250" s="6" t="n"/>
      <c r="X250" s="6" t="n"/>
      <c r="Y250" s="6" t="n"/>
      <c r="Z250" s="6" t="n"/>
    </row>
    <row r="251" ht="16.5" customHeight="1" s="237">
      <c r="A251" s="6" t="n"/>
      <c r="B251" s="6" t="n"/>
      <c r="C251" s="6" t="n"/>
      <c r="D251" s="6" t="n"/>
      <c r="E251" s="6" t="n"/>
      <c r="F251" s="6" t="n"/>
      <c r="G251" s="6" t="n"/>
      <c r="H251" s="6" t="n"/>
      <c r="I251" s="6" t="n"/>
      <c r="J251" s="6" t="n"/>
      <c r="K251" s="6" t="n"/>
      <c r="L251" s="6" t="n"/>
      <c r="M251" s="10" t="n"/>
      <c r="N251" s="6" t="n"/>
      <c r="O251" s="11" t="n"/>
      <c r="P251" s="6" t="n"/>
      <c r="Q251" s="236" t="n"/>
      <c r="R251" s="6" t="n"/>
      <c r="S251" s="6" t="n"/>
      <c r="T251" s="6" t="n"/>
      <c r="U251" s="6" t="n"/>
      <c r="V251" s="6" t="n"/>
      <c r="W251" s="6" t="n"/>
      <c r="X251" s="6" t="n"/>
      <c r="Y251" s="6" t="n"/>
      <c r="Z251" s="6" t="n"/>
    </row>
    <row r="252" ht="16.5" customHeight="1" s="237">
      <c r="A252" s="6" t="n"/>
      <c r="B252" s="6" t="n"/>
      <c r="C252" s="6" t="n"/>
      <c r="D252" s="6" t="n"/>
      <c r="E252" s="6" t="n"/>
      <c r="F252" s="6" t="n"/>
      <c r="G252" s="6" t="n"/>
      <c r="H252" s="6" t="n"/>
      <c r="I252" s="6" t="n"/>
      <c r="J252" s="6" t="n"/>
      <c r="K252" s="6" t="n"/>
      <c r="L252" s="6" t="n"/>
      <c r="M252" s="10" t="n"/>
      <c r="N252" s="6" t="n"/>
      <c r="O252" s="11" t="n"/>
      <c r="P252" s="6" t="n"/>
      <c r="Q252" s="236" t="n"/>
      <c r="R252" s="6" t="n"/>
      <c r="S252" s="6" t="n"/>
      <c r="T252" s="6" t="n"/>
      <c r="U252" s="6" t="n"/>
      <c r="V252" s="6" t="n"/>
      <c r="W252" s="6" t="n"/>
      <c r="X252" s="6" t="n"/>
      <c r="Y252" s="6" t="n"/>
      <c r="Z252" s="6" t="n"/>
    </row>
    <row r="253" ht="16.5" customHeight="1" s="237">
      <c r="A253" s="6" t="n"/>
      <c r="B253" s="6" t="n"/>
      <c r="C253" s="6" t="n"/>
      <c r="D253" s="6" t="n"/>
      <c r="E253" s="6" t="n"/>
      <c r="F253" s="6" t="n"/>
      <c r="G253" s="6" t="n"/>
      <c r="H253" s="6" t="n"/>
      <c r="I253" s="6" t="n"/>
      <c r="J253" s="6" t="n"/>
      <c r="K253" s="6" t="n"/>
      <c r="L253" s="6" t="n"/>
      <c r="M253" s="10" t="n"/>
      <c r="N253" s="6" t="n"/>
      <c r="O253" s="11" t="n"/>
      <c r="P253" s="6" t="n"/>
      <c r="Q253" s="236" t="n"/>
      <c r="R253" s="6" t="n"/>
      <c r="S253" s="6" t="n"/>
      <c r="T253" s="6" t="n"/>
      <c r="U253" s="6" t="n"/>
      <c r="V253" s="6" t="n"/>
      <c r="W253" s="6" t="n"/>
      <c r="X253" s="6" t="n"/>
      <c r="Y253" s="6" t="n"/>
      <c r="Z253" s="6" t="n"/>
    </row>
    <row r="254" ht="15.75" customHeight="1" s="237"/>
    <row r="255" ht="15.75" customHeight="1" s="237"/>
    <row r="256" ht="15.75" customHeight="1" s="237"/>
    <row r="257" ht="15.75" customHeight="1" s="237"/>
    <row r="258" ht="15.75" customHeight="1" s="237"/>
    <row r="259" ht="15.75" customHeight="1" s="237"/>
    <row r="260" ht="15.75" customHeight="1" s="237"/>
    <row r="261" ht="15.75" customHeight="1" s="237"/>
    <row r="262" ht="15.75" customHeight="1" s="237"/>
    <row r="263" ht="15.75" customHeight="1" s="237"/>
    <row r="264" ht="15.75" customHeight="1" s="237"/>
    <row r="265" ht="15.75" customHeight="1" s="237"/>
    <row r="266" ht="15.75" customHeight="1" s="237"/>
    <row r="267" ht="15.75" customHeight="1" s="237"/>
    <row r="268" ht="15.75" customHeight="1" s="237"/>
    <row r="269" ht="15.75" customHeight="1" s="237"/>
    <row r="270" ht="15.75" customHeight="1" s="237"/>
    <row r="271" ht="15.75" customHeight="1" s="237"/>
    <row r="272" ht="15.75" customHeight="1" s="237"/>
    <row r="273" ht="15.75" customHeight="1" s="237"/>
    <row r="274" ht="15.75" customHeight="1" s="237"/>
    <row r="275" ht="15.75" customHeight="1" s="237"/>
    <row r="276" ht="15.75" customHeight="1" s="237"/>
    <row r="277" ht="15.75" customHeight="1" s="237"/>
    <row r="278" ht="15.75" customHeight="1" s="237"/>
    <row r="279" ht="15.75" customHeight="1" s="237"/>
    <row r="280" ht="15.75" customHeight="1" s="237"/>
    <row r="281" ht="15.75" customHeight="1" s="237"/>
    <row r="282" ht="15.75" customHeight="1" s="237"/>
    <row r="283" ht="15.75" customHeight="1" s="237"/>
    <row r="284" ht="15.75" customHeight="1" s="237"/>
    <row r="285" ht="15.75" customHeight="1" s="237"/>
    <row r="286" ht="15.75" customHeight="1" s="237"/>
    <row r="287" ht="15.75" customHeight="1" s="237"/>
    <row r="288" ht="15.75" customHeight="1" s="237"/>
    <row r="289" ht="15.75" customHeight="1" s="237"/>
    <row r="290" ht="15.75" customHeight="1" s="237"/>
    <row r="291" ht="15.75" customHeight="1" s="237"/>
    <row r="292" ht="15.75" customHeight="1" s="237"/>
    <row r="293" ht="15.75" customHeight="1" s="237"/>
    <row r="294" ht="15.75" customHeight="1" s="237"/>
    <row r="295" ht="15.75" customHeight="1" s="237"/>
    <row r="296" ht="15.75" customHeight="1" s="237"/>
    <row r="297" ht="15.75" customHeight="1" s="237"/>
    <row r="298" ht="15.75" customHeight="1" s="237"/>
    <row r="299" ht="15.75" customHeight="1" s="237"/>
    <row r="300" ht="15.75" customHeight="1" s="237"/>
    <row r="301" ht="15.75" customHeight="1" s="237"/>
    <row r="302" ht="15.75" customHeight="1" s="237"/>
    <row r="303" ht="15.75" customHeight="1" s="237"/>
    <row r="304" ht="15.75" customHeight="1" s="237"/>
    <row r="305" ht="15.75" customHeight="1" s="237"/>
    <row r="306" ht="15.75" customHeight="1" s="237"/>
    <row r="307" ht="15.75" customHeight="1" s="237"/>
    <row r="308" ht="15.75" customHeight="1" s="237"/>
    <row r="309" ht="15.75" customHeight="1" s="237"/>
    <row r="310" ht="15.75" customHeight="1" s="237"/>
    <row r="311" ht="15.75" customHeight="1" s="237"/>
    <row r="312" ht="15.75" customHeight="1" s="237"/>
    <row r="313" ht="15.75" customHeight="1" s="237"/>
    <row r="314" ht="15.75" customHeight="1" s="237"/>
    <row r="315" ht="15.75" customHeight="1" s="237"/>
    <row r="316" ht="15.75" customHeight="1" s="237"/>
    <row r="317" ht="15.75" customHeight="1" s="237"/>
    <row r="318" ht="15.75" customHeight="1" s="237"/>
    <row r="319" ht="15.75" customHeight="1" s="237"/>
    <row r="320" ht="15.75" customHeight="1" s="237"/>
    <row r="321" ht="15.75" customHeight="1" s="237"/>
    <row r="322" ht="15.75" customHeight="1" s="237"/>
    <row r="323" ht="15.75" customHeight="1" s="237"/>
    <row r="324" ht="15.75" customHeight="1" s="237"/>
    <row r="325" ht="15.75" customHeight="1" s="237"/>
    <row r="326" ht="15.75" customHeight="1" s="237"/>
    <row r="327" ht="15.75" customHeight="1" s="237"/>
    <row r="328" ht="15.75" customHeight="1" s="237"/>
    <row r="329" ht="15.75" customHeight="1" s="237"/>
    <row r="330" ht="15.75" customHeight="1" s="237"/>
    <row r="331" ht="15.75" customHeight="1" s="237"/>
    <row r="332" ht="15.75" customHeight="1" s="237"/>
    <row r="333" ht="15.75" customHeight="1" s="237"/>
    <row r="334" ht="15.75" customHeight="1" s="237"/>
    <row r="335" ht="15.75" customHeight="1" s="237"/>
    <row r="336" ht="15.75" customHeight="1" s="237"/>
    <row r="337" ht="15.75" customHeight="1" s="237"/>
    <row r="338" ht="15.75" customHeight="1" s="237"/>
    <row r="339" ht="15.75" customHeight="1" s="237"/>
    <row r="340" ht="15.75" customHeight="1" s="237"/>
    <row r="341" ht="15.75" customHeight="1" s="237"/>
    <row r="342" ht="15.75" customHeight="1" s="237"/>
    <row r="343" ht="15.75" customHeight="1" s="237"/>
    <row r="344" ht="15.75" customHeight="1" s="237"/>
    <row r="345" ht="15.75" customHeight="1" s="237"/>
    <row r="346" ht="15.75" customHeight="1" s="237"/>
    <row r="347" ht="15.75" customHeight="1" s="237"/>
    <row r="348" ht="15.75" customHeight="1" s="237"/>
    <row r="349" ht="15.75" customHeight="1" s="237"/>
    <row r="350" ht="15.75" customHeight="1" s="237"/>
    <row r="351" ht="15.75" customHeight="1" s="237"/>
    <row r="352" ht="15.75" customHeight="1" s="237"/>
    <row r="353" ht="15.75" customHeight="1" s="237"/>
    <row r="354" ht="15.75" customHeight="1" s="237"/>
    <row r="355" ht="15.75" customHeight="1" s="237"/>
    <row r="356" ht="15.75" customHeight="1" s="237"/>
    <row r="357" ht="15.75" customHeight="1" s="237"/>
    <row r="358" ht="15.75" customHeight="1" s="237"/>
    <row r="359" ht="15.75" customHeight="1" s="237"/>
    <row r="360" ht="15.75" customHeight="1" s="237"/>
    <row r="361" ht="15.75" customHeight="1" s="237"/>
    <row r="362" ht="15.75" customHeight="1" s="237"/>
    <row r="363" ht="15.75" customHeight="1" s="237"/>
    <row r="364" ht="15.75" customHeight="1" s="237"/>
    <row r="365" ht="15.75" customHeight="1" s="237"/>
    <row r="366" ht="15.75" customHeight="1" s="237"/>
    <row r="367" ht="15.75" customHeight="1" s="237"/>
    <row r="368" ht="15.75" customHeight="1" s="237"/>
    <row r="369" ht="15.75" customHeight="1" s="237"/>
    <row r="370" ht="15.75" customHeight="1" s="237"/>
    <row r="371" ht="15.75" customHeight="1" s="237"/>
    <row r="372" ht="15.75" customHeight="1" s="237"/>
    <row r="373" ht="15.75" customHeight="1" s="237"/>
    <row r="374" ht="15.75" customHeight="1" s="237"/>
    <row r="375" ht="15.75" customHeight="1" s="237"/>
    <row r="376" ht="15.75" customHeight="1" s="237"/>
    <row r="377" ht="15.75" customHeight="1" s="237"/>
    <row r="378" ht="15.75" customHeight="1" s="237"/>
    <row r="379" ht="15.75" customHeight="1" s="237"/>
    <row r="380" ht="15.75" customHeight="1" s="237"/>
    <row r="381" ht="15.75" customHeight="1" s="237"/>
    <row r="382" ht="15.75" customHeight="1" s="237"/>
    <row r="383" ht="15.75" customHeight="1" s="237"/>
    <row r="384" ht="15.75" customHeight="1" s="237"/>
    <row r="385" ht="15.75" customHeight="1" s="237"/>
    <row r="386" ht="15.75" customHeight="1" s="237"/>
    <row r="387" ht="15.75" customHeight="1" s="237"/>
    <row r="388" ht="15.75" customHeight="1" s="237"/>
    <row r="389" ht="15.75" customHeight="1" s="237"/>
    <row r="390" ht="15.75" customHeight="1" s="237"/>
    <row r="391" ht="15.75" customHeight="1" s="237"/>
    <row r="392" ht="15.75" customHeight="1" s="237"/>
    <row r="393" ht="15.75" customHeight="1" s="237"/>
    <row r="394" ht="15.75" customHeight="1" s="237"/>
    <row r="395" ht="15.75" customHeight="1" s="237"/>
    <row r="396" ht="15.75" customHeight="1" s="237"/>
    <row r="397" ht="15.75" customHeight="1" s="237"/>
    <row r="398" ht="15.75" customHeight="1" s="237"/>
    <row r="399" ht="15.75" customHeight="1" s="237"/>
    <row r="400" ht="15.75" customHeight="1" s="237"/>
    <row r="401" ht="15.75" customHeight="1" s="237"/>
    <row r="402" ht="15.75" customHeight="1" s="237"/>
    <row r="403" ht="15.75" customHeight="1" s="237"/>
    <row r="404" ht="15.75" customHeight="1" s="237"/>
    <row r="405" ht="15.75" customHeight="1" s="237"/>
    <row r="406" ht="15.75" customHeight="1" s="237"/>
    <row r="407" ht="15.75" customHeight="1" s="237"/>
    <row r="408" ht="15.75" customHeight="1" s="237"/>
    <row r="409" ht="15.75" customHeight="1" s="237"/>
    <row r="410" ht="15.75" customHeight="1" s="237"/>
    <row r="411" ht="15.75" customHeight="1" s="237"/>
    <row r="412" ht="15.75" customHeight="1" s="237"/>
    <row r="413" ht="15.75" customHeight="1" s="237"/>
    <row r="414" ht="15.75" customHeight="1" s="237"/>
    <row r="415" ht="15.75" customHeight="1" s="237"/>
    <row r="416" ht="15.75" customHeight="1" s="237"/>
    <row r="417" ht="15.75" customHeight="1" s="237"/>
    <row r="418" ht="15.75" customHeight="1" s="237"/>
    <row r="419" ht="15.75" customHeight="1" s="237"/>
    <row r="420" ht="15.75" customHeight="1" s="237"/>
    <row r="421" ht="15.75" customHeight="1" s="237"/>
    <row r="422" ht="15.75" customHeight="1" s="237"/>
    <row r="423" ht="15.75" customHeight="1" s="237"/>
    <row r="424" ht="15.75" customHeight="1" s="237"/>
    <row r="425" ht="15.75" customHeight="1" s="237"/>
    <row r="426" ht="15.75" customHeight="1" s="237"/>
    <row r="427" ht="15.75" customHeight="1" s="237"/>
    <row r="428" ht="15.75" customHeight="1" s="237"/>
    <row r="429" ht="15.75" customHeight="1" s="237"/>
    <row r="430" ht="15.75" customHeight="1" s="237"/>
    <row r="431" ht="15.75" customHeight="1" s="237"/>
    <row r="432" ht="15.75" customHeight="1" s="237"/>
    <row r="433" ht="15.75" customHeight="1" s="237"/>
    <row r="434" ht="15.75" customHeight="1" s="237"/>
    <row r="435" ht="15.75" customHeight="1" s="237"/>
    <row r="436" ht="15.75" customHeight="1" s="237"/>
    <row r="437" ht="15.75" customHeight="1" s="237"/>
    <row r="438" ht="15.75" customHeight="1" s="237"/>
    <row r="439" ht="15.75" customHeight="1" s="237"/>
    <row r="440" ht="15.75" customHeight="1" s="237"/>
    <row r="441" ht="15.75" customHeight="1" s="237"/>
    <row r="442" ht="15.75" customHeight="1" s="237"/>
    <row r="443" ht="15.75" customHeight="1" s="237"/>
    <row r="444" ht="15.75" customHeight="1" s="237"/>
    <row r="445" ht="15.75" customHeight="1" s="237"/>
    <row r="446" ht="15.75" customHeight="1" s="237"/>
    <row r="447" ht="15.75" customHeight="1" s="237"/>
    <row r="448" ht="15.75" customHeight="1" s="237"/>
    <row r="449" ht="15.75" customHeight="1" s="237"/>
    <row r="450" ht="15.75" customHeight="1" s="237"/>
    <row r="451" ht="15.75" customHeight="1" s="237"/>
    <row r="452" ht="15.75" customHeight="1" s="237"/>
    <row r="453" ht="15.75" customHeight="1" s="237"/>
    <row r="454" ht="15.75" customHeight="1" s="237"/>
    <row r="455" ht="15.75" customHeight="1" s="237"/>
    <row r="456" ht="15.75" customHeight="1" s="237"/>
    <row r="457" ht="15.75" customHeight="1" s="237"/>
    <row r="458" ht="15.75" customHeight="1" s="237"/>
    <row r="459" ht="15.75" customHeight="1" s="237"/>
    <row r="460" ht="15.75" customHeight="1" s="237"/>
    <row r="461" ht="15.75" customHeight="1" s="237"/>
    <row r="462" ht="15.75" customHeight="1" s="237"/>
    <row r="463" ht="15.75" customHeight="1" s="237"/>
    <row r="464" ht="15.75" customHeight="1" s="237"/>
    <row r="465" ht="15.75" customHeight="1" s="237"/>
    <row r="466" ht="15.75" customHeight="1" s="237"/>
    <row r="467" ht="15.75" customHeight="1" s="237"/>
    <row r="468" ht="15.75" customHeight="1" s="237"/>
    <row r="469" ht="15.75" customHeight="1" s="237"/>
    <row r="470" ht="15.75" customHeight="1" s="237"/>
    <row r="471" ht="15.75" customHeight="1" s="237"/>
    <row r="472" ht="15.75" customHeight="1" s="237"/>
    <row r="473" ht="15.75" customHeight="1" s="237"/>
    <row r="474" ht="15.75" customHeight="1" s="237"/>
    <row r="475" ht="15.75" customHeight="1" s="237"/>
    <row r="476" ht="15.75" customHeight="1" s="237"/>
    <row r="477" ht="15.75" customHeight="1" s="237"/>
    <row r="478" ht="15.75" customHeight="1" s="237"/>
    <row r="479" ht="15.75" customHeight="1" s="237"/>
    <row r="480" ht="15.75" customHeight="1" s="237"/>
    <row r="481" ht="15.75" customHeight="1" s="237"/>
    <row r="482" ht="15.75" customHeight="1" s="237"/>
    <row r="483" ht="15.75" customHeight="1" s="237"/>
    <row r="484" ht="15.75" customHeight="1" s="237"/>
    <row r="485" ht="15.75" customHeight="1" s="237"/>
    <row r="486" ht="15.75" customHeight="1" s="237"/>
    <row r="487" ht="15.75" customHeight="1" s="237"/>
    <row r="488" ht="15.75" customHeight="1" s="237"/>
    <row r="489" ht="15.75" customHeight="1" s="237"/>
    <row r="490" ht="15.75" customHeight="1" s="237"/>
    <row r="491" ht="15.75" customHeight="1" s="237"/>
    <row r="492" ht="15.75" customHeight="1" s="237"/>
    <row r="493" ht="15.75" customHeight="1" s="237"/>
    <row r="494" ht="15.75" customHeight="1" s="237"/>
    <row r="495" ht="15.75" customHeight="1" s="237"/>
    <row r="496" ht="15.75" customHeight="1" s="237"/>
    <row r="497" ht="15.75" customHeight="1" s="237"/>
    <row r="498" ht="15.75" customHeight="1" s="237"/>
    <row r="499" ht="15.75" customHeight="1" s="237"/>
    <row r="500" ht="15.75" customHeight="1" s="237"/>
    <row r="501" ht="15.75" customHeight="1" s="237"/>
    <row r="502" ht="15.75" customHeight="1" s="237"/>
    <row r="503" ht="15.75" customHeight="1" s="237"/>
    <row r="504" ht="15.75" customHeight="1" s="237"/>
    <row r="505" ht="15.75" customHeight="1" s="237"/>
    <row r="506" ht="15.75" customHeight="1" s="237"/>
    <row r="507" ht="15.75" customHeight="1" s="237"/>
    <row r="508" ht="15.75" customHeight="1" s="237"/>
    <row r="509" ht="15.75" customHeight="1" s="237"/>
    <row r="510" ht="15.75" customHeight="1" s="237"/>
    <row r="511" ht="15.75" customHeight="1" s="237"/>
    <row r="512" ht="15.75" customHeight="1" s="237"/>
    <row r="513" ht="15.75" customHeight="1" s="237"/>
    <row r="514" ht="15.75" customHeight="1" s="237"/>
    <row r="515" ht="15.75" customHeight="1" s="237"/>
    <row r="516" ht="15.75" customHeight="1" s="237"/>
    <row r="517" ht="15.75" customHeight="1" s="237"/>
    <row r="518" ht="15.75" customHeight="1" s="237"/>
    <row r="519" ht="15.75" customHeight="1" s="237"/>
    <row r="520" ht="15.75" customHeight="1" s="237"/>
    <row r="521" ht="15.75" customHeight="1" s="237"/>
    <row r="522" ht="15.75" customHeight="1" s="237"/>
    <row r="523" ht="15.75" customHeight="1" s="237"/>
    <row r="524" ht="15.75" customHeight="1" s="237"/>
    <row r="525" ht="15.75" customHeight="1" s="237"/>
    <row r="526" ht="15.75" customHeight="1" s="237"/>
    <row r="527" ht="15.75" customHeight="1" s="237"/>
    <row r="528" ht="15.75" customHeight="1" s="237"/>
    <row r="529" ht="15.75" customHeight="1" s="237"/>
    <row r="530" ht="15.75" customHeight="1" s="237"/>
    <row r="531" ht="15.75" customHeight="1" s="237"/>
    <row r="532" ht="15.75" customHeight="1" s="237"/>
    <row r="533" ht="15.75" customHeight="1" s="237"/>
    <row r="534" ht="15.75" customHeight="1" s="237"/>
    <row r="535" ht="15.75" customHeight="1" s="237"/>
    <row r="536" ht="15.75" customHeight="1" s="237"/>
    <row r="537" ht="15.75" customHeight="1" s="237"/>
    <row r="538" ht="15.75" customHeight="1" s="237"/>
    <row r="539" ht="15.75" customHeight="1" s="237"/>
    <row r="540" ht="15.75" customHeight="1" s="237"/>
    <row r="541" ht="15.75" customHeight="1" s="237"/>
    <row r="542" ht="15.75" customHeight="1" s="237"/>
    <row r="543" ht="15.75" customHeight="1" s="237"/>
    <row r="544" ht="15.75" customHeight="1" s="237"/>
    <row r="545" ht="15.75" customHeight="1" s="237"/>
    <row r="546" ht="15.75" customHeight="1" s="237"/>
    <row r="547" ht="15.75" customHeight="1" s="237"/>
    <row r="548" ht="15.75" customHeight="1" s="237"/>
    <row r="549" ht="15.75" customHeight="1" s="237"/>
    <row r="550" ht="15.75" customHeight="1" s="237"/>
    <row r="551" ht="15.75" customHeight="1" s="237"/>
    <row r="552" ht="15.75" customHeight="1" s="237"/>
    <row r="553" ht="15.75" customHeight="1" s="237"/>
    <row r="554" ht="15.75" customHeight="1" s="237"/>
    <row r="555" ht="15.75" customHeight="1" s="237"/>
    <row r="556" ht="15.75" customHeight="1" s="237"/>
    <row r="557" ht="15.75" customHeight="1" s="237"/>
    <row r="558" ht="15.75" customHeight="1" s="237"/>
    <row r="559" ht="15.75" customHeight="1" s="237"/>
    <row r="560" ht="15.75" customHeight="1" s="237"/>
    <row r="561" ht="15.75" customHeight="1" s="237"/>
    <row r="562" ht="15.75" customHeight="1" s="237"/>
    <row r="563" ht="15.75" customHeight="1" s="237"/>
    <row r="564" ht="15.75" customHeight="1" s="237"/>
    <row r="565" ht="15.75" customHeight="1" s="237"/>
    <row r="566" ht="15.75" customHeight="1" s="237"/>
    <row r="567" ht="15.75" customHeight="1" s="237"/>
    <row r="568" ht="15.75" customHeight="1" s="237"/>
    <row r="569" ht="15.75" customHeight="1" s="237"/>
    <row r="570" ht="15.75" customHeight="1" s="237"/>
    <row r="571" ht="15.75" customHeight="1" s="237"/>
    <row r="572" ht="15.75" customHeight="1" s="237"/>
    <row r="573" ht="15.75" customHeight="1" s="237"/>
    <row r="574" ht="15.75" customHeight="1" s="237"/>
    <row r="575" ht="15.75" customHeight="1" s="237"/>
    <row r="576" ht="15.75" customHeight="1" s="237"/>
    <row r="577" ht="15.75" customHeight="1" s="237"/>
    <row r="578" ht="15.75" customHeight="1" s="237"/>
    <row r="579" ht="15.75" customHeight="1" s="237"/>
    <row r="580" ht="15.75" customHeight="1" s="237"/>
    <row r="581" ht="15.75" customHeight="1" s="237"/>
    <row r="582" ht="15.75" customHeight="1" s="237"/>
    <row r="583" ht="15.75" customHeight="1" s="237"/>
    <row r="584" ht="15.75" customHeight="1" s="237"/>
    <row r="585" ht="15.75" customHeight="1" s="237"/>
    <row r="586" ht="15.75" customHeight="1" s="237"/>
    <row r="587" ht="15.75" customHeight="1" s="237"/>
    <row r="588" ht="15.75" customHeight="1" s="237"/>
    <row r="589" ht="15.75" customHeight="1" s="237"/>
    <row r="590" ht="15.75" customHeight="1" s="237"/>
    <row r="591" ht="15.75" customHeight="1" s="237"/>
    <row r="592" ht="15.75" customHeight="1" s="237"/>
    <row r="593" ht="15.75" customHeight="1" s="237"/>
    <row r="594" ht="15.75" customHeight="1" s="237"/>
    <row r="595" ht="15.75" customHeight="1" s="237"/>
    <row r="596" ht="15.75" customHeight="1" s="237"/>
    <row r="597" ht="15.75" customHeight="1" s="237"/>
    <row r="598" ht="15.75" customHeight="1" s="237"/>
    <row r="599" ht="15.75" customHeight="1" s="237"/>
    <row r="600" ht="15.75" customHeight="1" s="237"/>
    <row r="601" ht="15.75" customHeight="1" s="237"/>
    <row r="602" ht="15.75" customHeight="1" s="237"/>
    <row r="603" ht="15.75" customHeight="1" s="237"/>
    <row r="604" ht="15.75" customHeight="1" s="237"/>
    <row r="605" ht="15.75" customHeight="1" s="237"/>
    <row r="606" ht="15.75" customHeight="1" s="237"/>
    <row r="607" ht="15.75" customHeight="1" s="237"/>
    <row r="608" ht="15.75" customHeight="1" s="237"/>
    <row r="609" ht="15.75" customHeight="1" s="237"/>
    <row r="610" ht="15.75" customHeight="1" s="237"/>
    <row r="611" ht="15.75" customHeight="1" s="237"/>
    <row r="612" ht="15.75" customHeight="1" s="237"/>
    <row r="613" ht="15.75" customHeight="1" s="237"/>
    <row r="614" ht="15.75" customHeight="1" s="237"/>
    <row r="615" ht="15.75" customHeight="1" s="237"/>
    <row r="616" ht="15.75" customHeight="1" s="237"/>
    <row r="617" ht="15.75" customHeight="1" s="237"/>
    <row r="618" ht="15.75" customHeight="1" s="237"/>
    <row r="619" ht="15.75" customHeight="1" s="237"/>
    <row r="620" ht="15.75" customHeight="1" s="237"/>
    <row r="621" ht="15.75" customHeight="1" s="237"/>
    <row r="622" ht="15.75" customHeight="1" s="237"/>
    <row r="623" ht="15.75" customHeight="1" s="237"/>
    <row r="624" ht="15.75" customHeight="1" s="237"/>
    <row r="625" ht="15.75" customHeight="1" s="237"/>
    <row r="626" ht="15.75" customHeight="1" s="237"/>
    <row r="627" ht="15.75" customHeight="1" s="237"/>
    <row r="628" ht="15.75" customHeight="1" s="237"/>
    <row r="629" ht="15.75" customHeight="1" s="237"/>
    <row r="630" ht="15.75" customHeight="1" s="237"/>
    <row r="631" ht="15.75" customHeight="1" s="237"/>
    <row r="632" ht="15.75" customHeight="1" s="237"/>
    <row r="633" ht="15.75" customHeight="1" s="237"/>
    <row r="634" ht="15.75" customHeight="1" s="237"/>
    <row r="635" ht="15.75" customHeight="1" s="237"/>
    <row r="636" ht="15.75" customHeight="1" s="237"/>
    <row r="637" ht="15.75" customHeight="1" s="237"/>
    <row r="638" ht="15.75" customHeight="1" s="237"/>
    <row r="639" ht="15.75" customHeight="1" s="237"/>
    <row r="640" ht="15.75" customHeight="1" s="237"/>
    <row r="641" ht="15.75" customHeight="1" s="237"/>
    <row r="642" ht="15.75" customHeight="1" s="237"/>
    <row r="643" ht="15.75" customHeight="1" s="237"/>
    <row r="644" ht="15.75" customHeight="1" s="237"/>
    <row r="645" ht="15.75" customHeight="1" s="237"/>
    <row r="646" ht="15.75" customHeight="1" s="237"/>
    <row r="647" ht="15.75" customHeight="1" s="237"/>
    <row r="648" ht="15.75" customHeight="1" s="237"/>
    <row r="649" ht="15.75" customHeight="1" s="237"/>
    <row r="650" ht="15.75" customHeight="1" s="237"/>
    <row r="651" ht="15.75" customHeight="1" s="237"/>
    <row r="652" ht="15.75" customHeight="1" s="237"/>
    <row r="653" ht="15.75" customHeight="1" s="237"/>
    <row r="654" ht="15.75" customHeight="1" s="237"/>
    <row r="655" ht="15.75" customHeight="1" s="237"/>
    <row r="656" ht="15.75" customHeight="1" s="237"/>
    <row r="657" ht="15.75" customHeight="1" s="237"/>
    <row r="658" ht="15.75" customHeight="1" s="237"/>
    <row r="659" ht="15.75" customHeight="1" s="237"/>
    <row r="660" ht="15.75" customHeight="1" s="237"/>
    <row r="661" ht="15.75" customHeight="1" s="237"/>
    <row r="662" ht="15.75" customHeight="1" s="237"/>
    <row r="663" ht="15.75" customHeight="1" s="237"/>
    <row r="664" ht="15.75" customHeight="1" s="237"/>
    <row r="665" ht="15.75" customHeight="1" s="237"/>
    <row r="666" ht="15.75" customHeight="1" s="237"/>
    <row r="667" ht="15.75" customHeight="1" s="237"/>
    <row r="668" ht="15.75" customHeight="1" s="237"/>
    <row r="669" ht="15.75" customHeight="1" s="237"/>
    <row r="670" ht="15.75" customHeight="1" s="237"/>
    <row r="671" ht="15.75" customHeight="1" s="237"/>
    <row r="672" ht="15.75" customHeight="1" s="237"/>
    <row r="673" ht="15.75" customHeight="1" s="237"/>
    <row r="674" ht="15.75" customHeight="1" s="237"/>
    <row r="675" ht="15.75" customHeight="1" s="237"/>
    <row r="676" ht="15.75" customHeight="1" s="237"/>
    <row r="677" ht="15.75" customHeight="1" s="237"/>
    <row r="678" ht="15.75" customHeight="1" s="237"/>
    <row r="679" ht="15.75" customHeight="1" s="237"/>
    <row r="680" ht="15.75" customHeight="1" s="237"/>
    <row r="681" ht="15.75" customHeight="1" s="237"/>
    <row r="682" ht="15.75" customHeight="1" s="237"/>
    <row r="683" ht="15.75" customHeight="1" s="237"/>
    <row r="684" ht="15.75" customHeight="1" s="237"/>
    <row r="685" ht="15.75" customHeight="1" s="237"/>
    <row r="686" ht="15.75" customHeight="1" s="237"/>
    <row r="687" ht="15.75" customHeight="1" s="237"/>
    <row r="688" ht="15.75" customHeight="1" s="237"/>
    <row r="689" ht="15.75" customHeight="1" s="237"/>
    <row r="690" ht="15.75" customHeight="1" s="237"/>
    <row r="691" ht="15.75" customHeight="1" s="237"/>
    <row r="692" ht="15.75" customHeight="1" s="237"/>
    <row r="693" ht="15.75" customHeight="1" s="237"/>
    <row r="694" ht="15.75" customHeight="1" s="237"/>
    <row r="695" ht="15.75" customHeight="1" s="237"/>
    <row r="696" ht="15.75" customHeight="1" s="237"/>
    <row r="697" ht="15.75" customHeight="1" s="237"/>
    <row r="698" ht="15.75" customHeight="1" s="237"/>
    <row r="699" ht="15.75" customHeight="1" s="237"/>
    <row r="700" ht="15.75" customHeight="1" s="237"/>
    <row r="701" ht="15.75" customHeight="1" s="237"/>
    <row r="702" ht="15.75" customHeight="1" s="237"/>
    <row r="703" ht="15.75" customHeight="1" s="237"/>
    <row r="704" ht="15.75" customHeight="1" s="237"/>
    <row r="705" ht="15.75" customHeight="1" s="237"/>
    <row r="706" ht="15.75" customHeight="1" s="237"/>
    <row r="707" ht="15.75" customHeight="1" s="237"/>
    <row r="708" ht="15.75" customHeight="1" s="237"/>
    <row r="709" ht="15.75" customHeight="1" s="237"/>
    <row r="710" ht="15.75" customHeight="1" s="237"/>
    <row r="711" ht="15.75" customHeight="1" s="237"/>
    <row r="712" ht="15.75" customHeight="1" s="237"/>
    <row r="713" ht="15.75" customHeight="1" s="237"/>
    <row r="714" ht="15.75" customHeight="1" s="237"/>
    <row r="715" ht="15.75" customHeight="1" s="237"/>
    <row r="716" ht="15.75" customHeight="1" s="237"/>
    <row r="717" ht="15.75" customHeight="1" s="237"/>
    <row r="718" ht="15.75" customHeight="1" s="237"/>
    <row r="719" ht="15.75" customHeight="1" s="237"/>
    <row r="720" ht="15.75" customHeight="1" s="237"/>
    <row r="721" ht="15.75" customHeight="1" s="237"/>
    <row r="722" ht="15.75" customHeight="1" s="237"/>
    <row r="723" ht="15.75" customHeight="1" s="237"/>
    <row r="724" ht="15.75" customHeight="1" s="237"/>
    <row r="725" ht="15.75" customHeight="1" s="237"/>
    <row r="726" ht="15.75" customHeight="1" s="237"/>
    <row r="727" ht="15.75" customHeight="1" s="237"/>
    <row r="728" ht="15.75" customHeight="1" s="237"/>
    <row r="729" ht="15.75" customHeight="1" s="237"/>
    <row r="730" ht="15.75" customHeight="1" s="237"/>
    <row r="731" ht="15.75" customHeight="1" s="237"/>
    <row r="732" ht="15.75" customHeight="1" s="237"/>
    <row r="733" ht="15.75" customHeight="1" s="237"/>
    <row r="734" ht="15.75" customHeight="1" s="237"/>
    <row r="735" ht="15.75" customHeight="1" s="237"/>
    <row r="736" ht="15.75" customHeight="1" s="237"/>
    <row r="737" ht="15.75" customHeight="1" s="237"/>
    <row r="738" ht="15.75" customHeight="1" s="237"/>
    <row r="739" ht="15.75" customHeight="1" s="237"/>
    <row r="740" ht="15.75" customHeight="1" s="237"/>
    <row r="741" ht="15.75" customHeight="1" s="237"/>
    <row r="742" ht="15.75" customHeight="1" s="237"/>
    <row r="743" ht="15.75" customHeight="1" s="237"/>
    <row r="744" ht="15.75" customHeight="1" s="237"/>
    <row r="745" ht="15.75" customHeight="1" s="237"/>
    <row r="746" ht="15.75" customHeight="1" s="237"/>
    <row r="747" ht="15.75" customHeight="1" s="237"/>
    <row r="748" ht="15.75" customHeight="1" s="237"/>
    <row r="749" ht="15.75" customHeight="1" s="237"/>
    <row r="750" ht="15.75" customHeight="1" s="237"/>
    <row r="751" ht="15.75" customHeight="1" s="237"/>
    <row r="752" ht="15.75" customHeight="1" s="237"/>
    <row r="753" ht="15.75" customHeight="1" s="237"/>
    <row r="754" ht="15.75" customHeight="1" s="237"/>
    <row r="755" ht="15.75" customHeight="1" s="237"/>
    <row r="756" ht="15.75" customHeight="1" s="237"/>
    <row r="757" ht="15.75" customHeight="1" s="237"/>
    <row r="758" ht="15.75" customHeight="1" s="237"/>
    <row r="759" ht="15.75" customHeight="1" s="237"/>
    <row r="760" ht="15.75" customHeight="1" s="237"/>
    <row r="761" ht="15.75" customHeight="1" s="237"/>
    <row r="762" ht="15.75" customHeight="1" s="237"/>
    <row r="763" ht="15.75" customHeight="1" s="237"/>
    <row r="764" ht="15.75" customHeight="1" s="237"/>
    <row r="765" ht="15.75" customHeight="1" s="237"/>
    <row r="766" ht="15.75" customHeight="1" s="237"/>
    <row r="767" ht="15.75" customHeight="1" s="237"/>
    <row r="768" ht="15.75" customHeight="1" s="237"/>
    <row r="769" ht="15.75" customHeight="1" s="237"/>
    <row r="770" ht="15.75" customHeight="1" s="237"/>
    <row r="771" ht="15.75" customHeight="1" s="237"/>
    <row r="772" ht="15.75" customHeight="1" s="237"/>
    <row r="773" ht="15.75" customHeight="1" s="237"/>
    <row r="774" ht="15.75" customHeight="1" s="237"/>
    <row r="775" ht="15.75" customHeight="1" s="237"/>
    <row r="776" ht="15.75" customHeight="1" s="237"/>
    <row r="777" ht="15.75" customHeight="1" s="237"/>
    <row r="778" ht="15.75" customHeight="1" s="237"/>
    <row r="779" ht="15.75" customHeight="1" s="237"/>
    <row r="780" ht="15.75" customHeight="1" s="237"/>
    <row r="781" ht="15.75" customHeight="1" s="237"/>
    <row r="782" ht="15.75" customHeight="1" s="237"/>
    <row r="783" ht="15.75" customHeight="1" s="237"/>
    <row r="784" ht="15.75" customHeight="1" s="237"/>
    <row r="785" ht="15.75" customHeight="1" s="237"/>
    <row r="786" ht="15.75" customHeight="1" s="237"/>
    <row r="787" ht="15.75" customHeight="1" s="237"/>
    <row r="788" ht="15.75" customHeight="1" s="237"/>
    <row r="789" ht="15.75" customHeight="1" s="237"/>
    <row r="790" ht="15.75" customHeight="1" s="237"/>
    <row r="791" ht="15.75" customHeight="1" s="237"/>
    <row r="792" ht="15.75" customHeight="1" s="237"/>
    <row r="793" ht="15.75" customHeight="1" s="237"/>
    <row r="794" ht="15.75" customHeight="1" s="237"/>
    <row r="795" ht="15.75" customHeight="1" s="237"/>
    <row r="796" ht="15.75" customHeight="1" s="237"/>
    <row r="797" ht="15.75" customHeight="1" s="237"/>
    <row r="798" ht="15.75" customHeight="1" s="237"/>
    <row r="799" ht="15.75" customHeight="1" s="237"/>
    <row r="800" ht="15.75" customHeight="1" s="237"/>
    <row r="801" ht="15.75" customHeight="1" s="237"/>
    <row r="802" ht="15.75" customHeight="1" s="237"/>
    <row r="803" ht="15.75" customHeight="1" s="237"/>
    <row r="804" ht="15.75" customHeight="1" s="237"/>
    <row r="805" ht="15.75" customHeight="1" s="237"/>
    <row r="806" ht="15.75" customHeight="1" s="237"/>
    <row r="807" ht="15.75" customHeight="1" s="237"/>
    <row r="808" ht="15.75" customHeight="1" s="237"/>
    <row r="809" ht="15.75" customHeight="1" s="237"/>
    <row r="810" ht="15.75" customHeight="1" s="237"/>
    <row r="811" ht="15.75" customHeight="1" s="237"/>
    <row r="812" ht="15.75" customHeight="1" s="237"/>
    <row r="813" ht="15.75" customHeight="1" s="237"/>
    <row r="814" ht="15.75" customHeight="1" s="237"/>
    <row r="815" ht="15.75" customHeight="1" s="237"/>
    <row r="816" ht="15.75" customHeight="1" s="237"/>
    <row r="817" ht="15.75" customHeight="1" s="237"/>
    <row r="818" ht="15.75" customHeight="1" s="237"/>
    <row r="819" ht="15.75" customHeight="1" s="237"/>
    <row r="820" ht="15.75" customHeight="1" s="237"/>
    <row r="821" ht="15.75" customHeight="1" s="237"/>
    <row r="822" ht="15.75" customHeight="1" s="237"/>
    <row r="823" ht="15.75" customHeight="1" s="237"/>
    <row r="824" ht="15.75" customHeight="1" s="237"/>
    <row r="825" ht="15.75" customHeight="1" s="237"/>
    <row r="826" ht="15.75" customHeight="1" s="237"/>
    <row r="827" ht="15.75" customHeight="1" s="237"/>
    <row r="828" ht="15.75" customHeight="1" s="237"/>
    <row r="829" ht="15.75" customHeight="1" s="237"/>
    <row r="830" ht="15.75" customHeight="1" s="237"/>
    <row r="831" ht="15.75" customHeight="1" s="237"/>
    <row r="832" ht="15.75" customHeight="1" s="237"/>
    <row r="833" ht="15.75" customHeight="1" s="237"/>
    <row r="834" ht="15.75" customHeight="1" s="237"/>
    <row r="835" ht="15.75" customHeight="1" s="237"/>
    <row r="836" ht="15.75" customHeight="1" s="237"/>
    <row r="837" ht="15.75" customHeight="1" s="237"/>
    <row r="838" ht="15.75" customHeight="1" s="237"/>
    <row r="839" ht="15.75" customHeight="1" s="237"/>
    <row r="840" ht="15.75" customHeight="1" s="237"/>
    <row r="841" ht="15.75" customHeight="1" s="237"/>
    <row r="842" ht="15.75" customHeight="1" s="237"/>
    <row r="843" ht="15.75" customHeight="1" s="237"/>
    <row r="844" ht="15.75" customHeight="1" s="237"/>
    <row r="845" ht="15.75" customHeight="1" s="237"/>
    <row r="846" ht="15.75" customHeight="1" s="237"/>
    <row r="847" ht="15.75" customHeight="1" s="237"/>
    <row r="848" ht="15.75" customHeight="1" s="237"/>
    <row r="849" ht="15.75" customHeight="1" s="237"/>
    <row r="850" ht="15.75" customHeight="1" s="237"/>
    <row r="851" ht="15.75" customHeight="1" s="237"/>
    <row r="852" ht="15.75" customHeight="1" s="237"/>
    <row r="853" ht="15.75" customHeight="1" s="237"/>
    <row r="854" ht="15.75" customHeight="1" s="237"/>
    <row r="855" ht="15.75" customHeight="1" s="237"/>
    <row r="856" ht="15.75" customHeight="1" s="237"/>
    <row r="857" ht="15.75" customHeight="1" s="237"/>
    <row r="858" ht="15.75" customHeight="1" s="237"/>
    <row r="859" ht="15.75" customHeight="1" s="237"/>
    <row r="860" ht="15.75" customHeight="1" s="237"/>
    <row r="861" ht="15.75" customHeight="1" s="237"/>
    <row r="862" ht="15.75" customHeight="1" s="237"/>
    <row r="863" ht="15.75" customHeight="1" s="237"/>
    <row r="864" ht="15.75" customHeight="1" s="237"/>
    <row r="865" ht="15.75" customHeight="1" s="237"/>
    <row r="866" ht="15.75" customHeight="1" s="237"/>
    <row r="867" ht="15.75" customHeight="1" s="237"/>
    <row r="868" ht="15.75" customHeight="1" s="237"/>
    <row r="869" ht="15.75" customHeight="1" s="237"/>
    <row r="870" ht="15.75" customHeight="1" s="237"/>
    <row r="871" ht="15.75" customHeight="1" s="237"/>
    <row r="872" ht="15.75" customHeight="1" s="237"/>
    <row r="873" ht="15.75" customHeight="1" s="237"/>
    <row r="874" ht="15.75" customHeight="1" s="237"/>
    <row r="875" ht="15.75" customHeight="1" s="237"/>
    <row r="876" ht="15.75" customHeight="1" s="237"/>
    <row r="877" ht="15.75" customHeight="1" s="237"/>
    <row r="878" ht="15.75" customHeight="1" s="237"/>
    <row r="879" ht="15.75" customHeight="1" s="237"/>
    <row r="880" ht="15.75" customHeight="1" s="237"/>
    <row r="881" ht="15.75" customHeight="1" s="237"/>
    <row r="882" ht="15.75" customHeight="1" s="237"/>
    <row r="883" ht="15.75" customHeight="1" s="237"/>
    <row r="884" ht="15.75" customHeight="1" s="237"/>
    <row r="885" ht="15.75" customHeight="1" s="237"/>
    <row r="886" ht="15.75" customHeight="1" s="237"/>
    <row r="887" ht="15.75" customHeight="1" s="237"/>
    <row r="888" ht="15.75" customHeight="1" s="237"/>
    <row r="889" ht="15.75" customHeight="1" s="237"/>
    <row r="890" ht="15.75" customHeight="1" s="237"/>
    <row r="891" ht="15.75" customHeight="1" s="237"/>
    <row r="892" ht="15.75" customHeight="1" s="237"/>
    <row r="893" ht="15.75" customHeight="1" s="237"/>
    <row r="894" ht="15.75" customHeight="1" s="237"/>
    <row r="895" ht="15.75" customHeight="1" s="237"/>
    <row r="896" ht="15.75" customHeight="1" s="237"/>
    <row r="897" ht="15.75" customHeight="1" s="237"/>
    <row r="898" ht="15.75" customHeight="1" s="237"/>
    <row r="899" ht="15.75" customHeight="1" s="237"/>
    <row r="900" ht="15.75" customHeight="1" s="237"/>
    <row r="901" ht="15.75" customHeight="1" s="237"/>
    <row r="902" ht="15.75" customHeight="1" s="237"/>
    <row r="903" ht="15.75" customHeight="1" s="237"/>
    <row r="904" ht="15.75" customHeight="1" s="237"/>
    <row r="905" ht="15.75" customHeight="1" s="237"/>
    <row r="906" ht="15.75" customHeight="1" s="237"/>
    <row r="907" ht="15.75" customHeight="1" s="237"/>
    <row r="908" ht="15.75" customHeight="1" s="237"/>
    <row r="909" ht="15.75" customHeight="1" s="237"/>
    <row r="910" ht="15.75" customHeight="1" s="237"/>
    <row r="911" ht="15.75" customHeight="1" s="237"/>
    <row r="912" ht="15.75" customHeight="1" s="237"/>
    <row r="913" ht="15.75" customHeight="1" s="237"/>
    <row r="914" ht="15.75" customHeight="1" s="237"/>
    <row r="915" ht="15.75" customHeight="1" s="237"/>
    <row r="916" ht="15.75" customHeight="1" s="237"/>
    <row r="917" ht="15.75" customHeight="1" s="237"/>
    <row r="918" ht="15.75" customHeight="1" s="237"/>
    <row r="919" ht="15.75" customHeight="1" s="237"/>
    <row r="920" ht="15.75" customHeight="1" s="237"/>
    <row r="921" ht="15.75" customHeight="1" s="237"/>
    <row r="922" ht="15.75" customHeight="1" s="237"/>
    <row r="923" ht="15.75" customHeight="1" s="237"/>
    <row r="924" ht="15.75" customHeight="1" s="237"/>
    <row r="925" ht="15.75" customHeight="1" s="237"/>
    <row r="926" ht="15.75" customHeight="1" s="237"/>
    <row r="927" ht="15.75" customHeight="1" s="237"/>
    <row r="928" ht="15.75" customHeight="1" s="237"/>
    <row r="929" ht="15.75" customHeight="1" s="237"/>
    <row r="930" ht="15.75" customHeight="1" s="237"/>
    <row r="931" ht="15.75" customHeight="1" s="237"/>
    <row r="932" ht="15.75" customHeight="1" s="237"/>
    <row r="933" ht="15.75" customHeight="1" s="237"/>
    <row r="934" ht="15.75" customHeight="1" s="237"/>
    <row r="935" ht="15.75" customHeight="1" s="237"/>
    <row r="936" ht="15.75" customHeight="1" s="237"/>
    <row r="937" ht="15.75" customHeight="1" s="237"/>
    <row r="938" ht="15.75" customHeight="1" s="237"/>
    <row r="939" ht="15.75" customHeight="1" s="237"/>
    <row r="940" ht="15.75" customHeight="1" s="237"/>
    <row r="941" ht="15.75" customHeight="1" s="237"/>
    <row r="942" ht="15.75" customHeight="1" s="237"/>
    <row r="943" ht="15.75" customHeight="1" s="237"/>
    <row r="944" ht="15.75" customHeight="1" s="237"/>
    <row r="945" ht="15.75" customHeight="1" s="237"/>
    <row r="946" ht="15.75" customHeight="1" s="237"/>
    <row r="947" ht="15.75" customHeight="1" s="237"/>
    <row r="948" ht="15.75" customHeight="1" s="237"/>
    <row r="949" ht="15.75" customHeight="1" s="237"/>
    <row r="950" ht="15.75" customHeight="1" s="237"/>
    <row r="951" ht="15.75" customHeight="1" s="237"/>
    <row r="952" ht="15.75" customHeight="1" s="237"/>
    <row r="953" ht="15.75" customHeight="1" s="237"/>
    <row r="954" ht="15.75" customHeight="1" s="237"/>
    <row r="955" ht="15.75" customHeight="1" s="237"/>
    <row r="956" ht="15.75" customHeight="1" s="237"/>
    <row r="957" ht="15.75" customHeight="1" s="237"/>
    <row r="958" ht="15.75" customHeight="1" s="237"/>
    <row r="959" ht="15.75" customHeight="1" s="237"/>
    <row r="960" ht="15.75" customHeight="1" s="237"/>
    <row r="961" ht="15.75" customHeight="1" s="237"/>
    <row r="962" ht="15.75" customHeight="1" s="237"/>
    <row r="963" ht="15.75" customHeight="1" s="237"/>
    <row r="964" ht="15.75" customHeight="1" s="237"/>
    <row r="965" ht="15.75" customHeight="1" s="237"/>
    <row r="966" ht="15.75" customHeight="1" s="237"/>
    <row r="967" ht="15.75" customHeight="1" s="237"/>
    <row r="968" ht="15.75" customHeight="1" s="237"/>
    <row r="969" ht="15.75" customHeight="1" s="237"/>
    <row r="970" ht="15.75" customHeight="1" s="237"/>
    <row r="971" ht="15.75" customHeight="1" s="237"/>
    <row r="972" ht="15.75" customHeight="1" s="237"/>
    <row r="973" ht="15.75" customHeight="1" s="237"/>
    <row r="974" ht="15.75" customHeight="1" s="237"/>
    <row r="975" ht="15.75" customHeight="1" s="237"/>
    <row r="976" ht="15.75" customHeight="1" s="237"/>
    <row r="977" ht="15.75" customHeight="1" s="237"/>
    <row r="978" ht="15.75" customHeight="1" s="237"/>
    <row r="979" ht="15.75" customHeight="1" s="237"/>
    <row r="980" ht="15.75" customHeight="1" s="237"/>
    <row r="981" ht="15.75" customHeight="1" s="237"/>
    <row r="982" ht="15.75" customHeight="1" s="237"/>
    <row r="983" ht="15.75" customHeight="1" s="237"/>
    <row r="984" ht="15.75" customHeight="1" s="237"/>
    <row r="985" ht="15.75" customHeight="1" s="237"/>
    <row r="986" ht="15.75" customHeight="1" s="237"/>
    <row r="987" ht="15.75" customHeight="1" s="237"/>
    <row r="988" ht="15.75" customHeight="1" s="237"/>
    <row r="989" ht="15.75" customHeight="1" s="237"/>
    <row r="990" ht="15.75" customHeight="1" s="237"/>
    <row r="991" ht="15.75" customHeight="1" s="237"/>
    <row r="992" ht="15.75" customHeight="1" s="237"/>
    <row r="993" ht="15.75" customHeight="1" s="237"/>
    <row r="994" ht="15.75" customHeight="1" s="237"/>
    <row r="995" ht="15.75" customHeight="1" s="237"/>
    <row r="996" ht="15.75" customHeight="1" s="237"/>
    <row r="997" ht="15.75" customHeight="1" s="237"/>
    <row r="998" ht="15.75" customHeight="1" s="237"/>
    <row r="999" ht="15.75" customHeight="1" s="237"/>
    <row r="1000" ht="15.75" customHeight="1" s="237"/>
  </sheetData>
  <mergeCells count="2">
    <mergeCell ref="L1:O1"/>
    <mergeCell ref="Q1:R1"/>
  </mergeCells>
  <conditionalFormatting sqref="T4">
    <cfRule type="expression" priority="1" dxfId="0">
      <formula>T4="Expired"</formula>
    </cfRule>
  </conditionalFormatting>
  <conditionalFormatting sqref="T5">
    <cfRule type="expression" priority="2" dxfId="0">
      <formula>T5="Expired"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ali attar</dc:creator>
  <dcterms:created xsi:type="dcterms:W3CDTF">2023-10-15T09:08:12Z</dcterms:created>
  <dcterms:modified xsi:type="dcterms:W3CDTF">2025-03-13T07:41:16Z</dcterms:modified>
  <cp:lastModifiedBy>Walid Baassiri</cp:lastModifiedBy>
  <cp:lastPrinted>2025-03-04T13:11:51Z</cp:lastPrinted>
</cp:coreProperties>
</file>